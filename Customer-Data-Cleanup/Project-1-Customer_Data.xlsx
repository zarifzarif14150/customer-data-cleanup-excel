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arif\Downloads\"/>
    </mc:Choice>
  </mc:AlternateContent>
  <xr:revisionPtr revIDLastSave="0" documentId="8_{363E7898-36AB-40A2-8D21-6CC0C29FCC6F}" xr6:coauthVersionLast="47" xr6:coauthVersionMax="47" xr10:uidLastSave="{00000000-0000-0000-0000-000000000000}"/>
  <bookViews>
    <workbookView xWindow="-120" yWindow="-120" windowWidth="20730" windowHeight="11760" activeTab="1" xr2:uid="{5FAE814B-0398-4099-850E-14F471EE3534}"/>
  </bookViews>
  <sheets>
    <sheet name="Raw Data" sheetId="1" r:id="rId1"/>
    <sheet name="Cleaning Process" sheetId="2" r:id="rId2"/>
    <sheet name="Final Clean Data" sheetId="3" r:id="rId3"/>
  </sheets>
  <definedNames>
    <definedName name="_xlnm._FilterDatabase" localSheetId="2" hidden="1">'Final Clean Data'!$A$1:$H$1</definedName>
  </definedNames>
  <calcPr calcId="0"/>
</workbook>
</file>

<file path=xl/calcChain.xml><?xml version="1.0" encoding="utf-8"?>
<calcChain xmlns="http://schemas.openxmlformats.org/spreadsheetml/2006/main">
  <c r="O2" i="2" l="1" a="1"/>
  <c r="O2"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3" i="2"/>
  <c r="L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2" i="2"/>
  <c r="N33" i="2" l="1"/>
  <c r="N65" i="2"/>
  <c r="N315" i="2"/>
  <c r="N387" i="2"/>
  <c r="N448" i="2"/>
  <c r="N509" i="2"/>
  <c r="N568" i="2"/>
  <c r="N594" i="2"/>
  <c r="N610" i="2"/>
  <c r="N625" i="2"/>
  <c r="N641" i="2"/>
  <c r="N657" i="2"/>
  <c r="N673" i="2"/>
  <c r="N688" i="2"/>
  <c r="N703" i="2"/>
  <c r="N717" i="2"/>
  <c r="N732" i="2"/>
  <c r="N748" i="2"/>
  <c r="N764" i="2"/>
  <c r="N779" i="2"/>
  <c r="N794" i="2"/>
  <c r="N808" i="2"/>
  <c r="N822" i="2"/>
  <c r="N837" i="2"/>
  <c r="N374" i="2"/>
  <c r="N553" i="2"/>
  <c r="N606" i="2"/>
  <c r="N637" i="2"/>
  <c r="N669" i="2"/>
  <c r="N699" i="2"/>
  <c r="N744" i="2"/>
  <c r="N776" i="2"/>
  <c r="N804" i="2"/>
  <c r="N129" i="2"/>
  <c r="N345" i="2"/>
  <c r="N402" i="2"/>
  <c r="N464" i="2"/>
  <c r="N523" i="2"/>
  <c r="N578" i="2"/>
  <c r="N599" i="2"/>
  <c r="N614" i="2"/>
  <c r="N629" i="2"/>
  <c r="N645" i="2"/>
  <c r="N661" i="2"/>
  <c r="N677" i="2"/>
  <c r="N692" i="2"/>
  <c r="N707" i="2"/>
  <c r="N721" i="2"/>
  <c r="N736" i="2"/>
  <c r="N751" i="2"/>
  <c r="N768" i="2"/>
  <c r="N782" i="2"/>
  <c r="N798" i="2"/>
  <c r="N811" i="2"/>
  <c r="N826" i="2"/>
  <c r="N841" i="2"/>
  <c r="N433" i="2"/>
  <c r="N713" i="2"/>
  <c r="N790" i="2"/>
  <c r="N833" i="2"/>
  <c r="N193" i="2"/>
  <c r="N359" i="2"/>
  <c r="N418" i="2"/>
  <c r="N480" i="2"/>
  <c r="N538" i="2"/>
  <c r="N584" i="2"/>
  <c r="N602" i="2"/>
  <c r="N618" i="2"/>
  <c r="N633" i="2"/>
  <c r="N649" i="2"/>
  <c r="N665" i="2"/>
  <c r="N681" i="2"/>
  <c r="N696" i="2"/>
  <c r="N710" i="2"/>
  <c r="N725" i="2"/>
  <c r="N740" i="2"/>
  <c r="N758" i="2"/>
  <c r="N772" i="2"/>
  <c r="N786" i="2"/>
  <c r="N802" i="2"/>
  <c r="N814" i="2"/>
  <c r="N830" i="2"/>
  <c r="N844" i="2"/>
  <c r="N255" i="2"/>
  <c r="N496" i="2"/>
  <c r="N589" i="2"/>
  <c r="N621" i="2"/>
  <c r="N653" i="2"/>
  <c r="N685" i="2"/>
  <c r="N729" i="2"/>
  <c r="N762" i="2"/>
  <c r="N818" i="2"/>
  <c r="N840" i="2"/>
  <c r="N836" i="2"/>
  <c r="N832" i="2"/>
  <c r="N829" i="2"/>
  <c r="N825" i="2"/>
  <c r="N821" i="2"/>
  <c r="N817" i="2"/>
  <c r="N813" i="2"/>
  <c r="N810" i="2"/>
  <c r="N807" i="2"/>
  <c r="N801" i="2"/>
  <c r="N797" i="2"/>
  <c r="N793" i="2"/>
  <c r="N789" i="2"/>
  <c r="N785" i="2"/>
  <c r="N778" i="2"/>
  <c r="N775" i="2"/>
  <c r="N771" i="2"/>
  <c r="N767" i="2"/>
  <c r="N761" i="2"/>
  <c r="N757" i="2"/>
  <c r="N754" i="2"/>
  <c r="N750" i="2"/>
  <c r="N747" i="2"/>
  <c r="N743" i="2"/>
  <c r="N739" i="2"/>
  <c r="N735" i="2"/>
  <c r="N731" i="2"/>
  <c r="N728" i="2"/>
  <c r="N724" i="2"/>
  <c r="N720" i="2"/>
  <c r="N716" i="2"/>
  <c r="N712" i="2"/>
  <c r="N709" i="2"/>
  <c r="N706" i="2"/>
  <c r="N702" i="2"/>
  <c r="N698" i="2"/>
  <c r="N695" i="2"/>
  <c r="N691" i="2"/>
  <c r="N687" i="2"/>
  <c r="N684" i="2"/>
  <c r="N680" i="2"/>
  <c r="N676" i="2"/>
  <c r="N672" i="2"/>
  <c r="N668" i="2"/>
  <c r="N664" i="2"/>
  <c r="N660" i="2"/>
  <c r="N656" i="2"/>
  <c r="N652" i="2"/>
  <c r="N648" i="2"/>
  <c r="N644" i="2"/>
  <c r="N640" i="2"/>
  <c r="N636" i="2"/>
  <c r="N632" i="2"/>
  <c r="N628" i="2"/>
  <c r="N624" i="2"/>
  <c r="N620" i="2"/>
  <c r="N617" i="2"/>
  <c r="N613" i="2"/>
  <c r="N609" i="2"/>
  <c r="N605" i="2"/>
  <c r="N601" i="2"/>
  <c r="N598" i="2"/>
  <c r="N593" i="2"/>
  <c r="N587" i="2"/>
  <c r="N583" i="2"/>
  <c r="N575" i="2"/>
  <c r="N549" i="2"/>
  <c r="N534" i="2"/>
  <c r="N519" i="2"/>
  <c r="N492" i="2"/>
  <c r="N476" i="2"/>
  <c r="N460" i="2"/>
  <c r="N429" i="2"/>
  <c r="N414" i="2"/>
  <c r="N398" i="2"/>
  <c r="N384" i="2"/>
  <c r="N370" i="2"/>
  <c r="N355" i="2"/>
  <c r="N341" i="2"/>
  <c r="N299" i="2"/>
  <c r="N241" i="2"/>
  <c r="N177" i="2"/>
  <c r="N113" i="2"/>
  <c r="N49" i="2"/>
  <c r="N843" i="2"/>
  <c r="N839" i="2"/>
  <c r="N835" i="2"/>
  <c r="N831" i="2"/>
  <c r="N828" i="2"/>
  <c r="N824" i="2"/>
  <c r="N820" i="2"/>
  <c r="N816" i="2"/>
  <c r="N806" i="2"/>
  <c r="N803" i="2"/>
  <c r="N800" i="2"/>
  <c r="N796" i="2"/>
  <c r="N792" i="2"/>
  <c r="N788" i="2"/>
  <c r="N784" i="2"/>
  <c r="N781" i="2"/>
  <c r="N777" i="2"/>
  <c r="N774" i="2"/>
  <c r="N770" i="2"/>
  <c r="N766" i="2"/>
  <c r="N760" i="2"/>
  <c r="N756" i="2"/>
  <c r="N753" i="2"/>
  <c r="N749" i="2"/>
  <c r="N746" i="2"/>
  <c r="N742" i="2"/>
  <c r="N738" i="2"/>
  <c r="N734" i="2"/>
  <c r="N727" i="2"/>
  <c r="N723" i="2"/>
  <c r="N719" i="2"/>
  <c r="N715" i="2"/>
  <c r="N711" i="2"/>
  <c r="N705" i="2"/>
  <c r="N701" i="2"/>
  <c r="N697" i="2"/>
  <c r="N694" i="2"/>
  <c r="N690" i="2"/>
  <c r="N686" i="2"/>
  <c r="N683" i="2"/>
  <c r="N679" i="2"/>
  <c r="N675" i="2"/>
  <c r="N671" i="2"/>
  <c r="N667" i="2"/>
  <c r="N663" i="2"/>
  <c r="N659" i="2"/>
  <c r="N655" i="2"/>
  <c r="N651" i="2"/>
  <c r="N647" i="2"/>
  <c r="N643" i="2"/>
  <c r="N639" i="2"/>
  <c r="N635" i="2"/>
  <c r="N631" i="2"/>
  <c r="N627" i="2"/>
  <c r="N623" i="2"/>
  <c r="N616" i="2"/>
  <c r="N612" i="2"/>
  <c r="N608" i="2"/>
  <c r="N604" i="2"/>
  <c r="N597" i="2"/>
  <c r="N591" i="2"/>
  <c r="N586" i="2"/>
  <c r="N582" i="2"/>
  <c r="N561" i="2"/>
  <c r="N546" i="2"/>
  <c r="N530" i="2"/>
  <c r="N503" i="2"/>
  <c r="N488" i="2"/>
  <c r="N472" i="2"/>
  <c r="N456" i="2"/>
  <c r="N441" i="2"/>
  <c r="N425" i="2"/>
  <c r="N410" i="2"/>
  <c r="N394" i="2"/>
  <c r="N381" i="2"/>
  <c r="N366" i="2"/>
  <c r="N352" i="2"/>
  <c r="N337" i="2"/>
  <c r="N284" i="2"/>
  <c r="N225" i="2"/>
  <c r="N161" i="2"/>
  <c r="N97" i="2"/>
  <c r="N2" i="2"/>
  <c r="N6" i="2"/>
  <c r="N10" i="2"/>
  <c r="N14" i="2"/>
  <c r="N18" i="2"/>
  <c r="N22" i="2"/>
  <c r="N26" i="2"/>
  <c r="N30" i="2"/>
  <c r="N34" i="2"/>
  <c r="N38" i="2"/>
  <c r="N42" i="2"/>
  <c r="N46" i="2"/>
  <c r="N50" i="2"/>
  <c r="N54" i="2"/>
  <c r="N58" i="2"/>
  <c r="N62" i="2"/>
  <c r="N66" i="2"/>
  <c r="N70" i="2"/>
  <c r="N74" i="2"/>
  <c r="N78" i="2"/>
  <c r="N82" i="2"/>
  <c r="N86" i="2"/>
  <c r="N90" i="2"/>
  <c r="N94" i="2"/>
  <c r="N98" i="2"/>
  <c r="N102" i="2"/>
  <c r="N106" i="2"/>
  <c r="N110" i="2"/>
  <c r="N114" i="2"/>
  <c r="N118" i="2"/>
  <c r="N122" i="2"/>
  <c r="N126" i="2"/>
  <c r="N130" i="2"/>
  <c r="N134" i="2"/>
  <c r="N138" i="2"/>
  <c r="N142" i="2"/>
  <c r="N146" i="2"/>
  <c r="N150" i="2"/>
  <c r="N154" i="2"/>
  <c r="N158" i="2"/>
  <c r="N162" i="2"/>
  <c r="N166" i="2"/>
  <c r="N170" i="2"/>
  <c r="N174" i="2"/>
  <c r="N178" i="2"/>
  <c r="N182" i="2"/>
  <c r="N186" i="2"/>
  <c r="N190" i="2"/>
  <c r="N194" i="2"/>
  <c r="N198" i="2"/>
  <c r="N202" i="2"/>
  <c r="N206" i="2"/>
  <c r="N210" i="2"/>
  <c r="N214" i="2"/>
  <c r="N218" i="2"/>
  <c r="N222" i="2"/>
  <c r="N226" i="2"/>
  <c r="N230" i="2"/>
  <c r="N234" i="2"/>
  <c r="N238" i="2"/>
  <c r="N242" i="2"/>
  <c r="N246" i="2"/>
  <c r="N249" i="2"/>
  <c r="N256" i="2"/>
  <c r="N259" i="2"/>
  <c r="N266" i="2"/>
  <c r="N270" i="2"/>
  <c r="N274" i="2"/>
  <c r="N277" i="2"/>
  <c r="N281" i="2"/>
  <c r="N285" i="2"/>
  <c r="N289" i="2"/>
  <c r="N292" i="2"/>
  <c r="N296" i="2"/>
  <c r="N300" i="2"/>
  <c r="N304" i="2"/>
  <c r="N308" i="2"/>
  <c r="N312" i="2"/>
  <c r="N316" i="2"/>
  <c r="N320" i="2"/>
  <c r="N324" i="2"/>
  <c r="N328" i="2"/>
  <c r="N332" i="2"/>
  <c r="N3" i="2"/>
  <c r="N7" i="2"/>
  <c r="N11" i="2"/>
  <c r="N15" i="2"/>
  <c r="N19" i="2"/>
  <c r="N23" i="2"/>
  <c r="N27" i="2"/>
  <c r="N31" i="2"/>
  <c r="N35" i="2"/>
  <c r="N39" i="2"/>
  <c r="N43" i="2"/>
  <c r="N47" i="2"/>
  <c r="N51" i="2"/>
  <c r="N55" i="2"/>
  <c r="N59" i="2"/>
  <c r="N63" i="2"/>
  <c r="N67" i="2"/>
  <c r="N71" i="2"/>
  <c r="N75" i="2"/>
  <c r="N79" i="2"/>
  <c r="N83" i="2"/>
  <c r="N87" i="2"/>
  <c r="N91" i="2"/>
  <c r="N95" i="2"/>
  <c r="N99" i="2"/>
  <c r="N103" i="2"/>
  <c r="N107" i="2"/>
  <c r="N111" i="2"/>
  <c r="N115" i="2"/>
  <c r="N119" i="2"/>
  <c r="N123" i="2"/>
  <c r="N127" i="2"/>
  <c r="N131" i="2"/>
  <c r="N135" i="2"/>
  <c r="N139" i="2"/>
  <c r="N143" i="2"/>
  <c r="N147" i="2"/>
  <c r="N151" i="2"/>
  <c r="N155" i="2"/>
  <c r="N159" i="2"/>
  <c r="N163" i="2"/>
  <c r="N167" i="2"/>
  <c r="N171" i="2"/>
  <c r="N175" i="2"/>
  <c r="N179" i="2"/>
  <c r="N183" i="2"/>
  <c r="N187" i="2"/>
  <c r="N191" i="2"/>
  <c r="N195" i="2"/>
  <c r="N199" i="2"/>
  <c r="N203" i="2"/>
  <c r="N207" i="2"/>
  <c r="N211" i="2"/>
  <c r="N215" i="2"/>
  <c r="N219" i="2"/>
  <c r="N223" i="2"/>
  <c r="N227" i="2"/>
  <c r="N231" i="2"/>
  <c r="N235" i="2"/>
  <c r="N239" i="2"/>
  <c r="N243" i="2"/>
  <c r="N247" i="2"/>
  <c r="N250" i="2"/>
  <c r="N253" i="2"/>
  <c r="N260" i="2"/>
  <c r="N263" i="2"/>
  <c r="N267" i="2"/>
  <c r="N271" i="2"/>
  <c r="N275" i="2"/>
  <c r="N278" i="2"/>
  <c r="N282" i="2"/>
  <c r="N286" i="2"/>
  <c r="N293" i="2"/>
  <c r="N297" i="2"/>
  <c r="N301" i="2"/>
  <c r="N305" i="2"/>
  <c r="N309" i="2"/>
  <c r="N313" i="2"/>
  <c r="N317" i="2"/>
  <c r="N321" i="2"/>
  <c r="N325" i="2"/>
  <c r="N329" i="2"/>
  <c r="N333" i="2"/>
  <c r="N4" i="2"/>
  <c r="N8" i="2"/>
  <c r="N12" i="2"/>
  <c r="N16" i="2"/>
  <c r="N20" i="2"/>
  <c r="N24" i="2"/>
  <c r="N28" i="2"/>
  <c r="N32" i="2"/>
  <c r="N36" i="2"/>
  <c r="N40" i="2"/>
  <c r="N44" i="2"/>
  <c r="N48" i="2"/>
  <c r="N52" i="2"/>
  <c r="N56" i="2"/>
  <c r="N60" i="2"/>
  <c r="N64" i="2"/>
  <c r="N68" i="2"/>
  <c r="N72" i="2"/>
  <c r="N76" i="2"/>
  <c r="N80" i="2"/>
  <c r="N84" i="2"/>
  <c r="N88" i="2"/>
  <c r="N92" i="2"/>
  <c r="N96" i="2"/>
  <c r="N100" i="2"/>
  <c r="N104" i="2"/>
  <c r="N108" i="2"/>
  <c r="N112" i="2"/>
  <c r="N116" i="2"/>
  <c r="N120" i="2"/>
  <c r="N124" i="2"/>
  <c r="N128" i="2"/>
  <c r="N132" i="2"/>
  <c r="N136" i="2"/>
  <c r="N140" i="2"/>
  <c r="N144" i="2"/>
  <c r="N148" i="2"/>
  <c r="N152" i="2"/>
  <c r="N156" i="2"/>
  <c r="N160" i="2"/>
  <c r="N164" i="2"/>
  <c r="N168" i="2"/>
  <c r="N172" i="2"/>
  <c r="N176" i="2"/>
  <c r="N180" i="2"/>
  <c r="N184" i="2"/>
  <c r="N188" i="2"/>
  <c r="N192" i="2"/>
  <c r="N196" i="2"/>
  <c r="N200" i="2"/>
  <c r="N204" i="2"/>
  <c r="N208" i="2"/>
  <c r="N212" i="2"/>
  <c r="N216" i="2"/>
  <c r="N220" i="2"/>
  <c r="N224" i="2"/>
  <c r="N228" i="2"/>
  <c r="N232" i="2"/>
  <c r="N236" i="2"/>
  <c r="N240" i="2"/>
  <c r="N244" i="2"/>
  <c r="N251" i="2"/>
  <c r="N254" i="2"/>
  <c r="N257" i="2"/>
  <c r="N261" i="2"/>
  <c r="N264" i="2"/>
  <c r="N268" i="2"/>
  <c r="N272" i="2"/>
  <c r="N276" i="2"/>
  <c r="N279" i="2"/>
  <c r="N283" i="2"/>
  <c r="N287" i="2"/>
  <c r="N290" i="2"/>
  <c r="N294" i="2"/>
  <c r="N298" i="2"/>
  <c r="N302" i="2"/>
  <c r="N306" i="2"/>
  <c r="N310" i="2"/>
  <c r="N314" i="2"/>
  <c r="N318" i="2"/>
  <c r="N322" i="2"/>
  <c r="N326" i="2"/>
  <c r="N330" i="2"/>
  <c r="N334" i="2"/>
  <c r="N5" i="2"/>
  <c r="N21" i="2"/>
  <c r="N37" i="2"/>
  <c r="N53" i="2"/>
  <c r="N69" i="2"/>
  <c r="N85" i="2"/>
  <c r="N101" i="2"/>
  <c r="N117" i="2"/>
  <c r="N133" i="2"/>
  <c r="N149" i="2"/>
  <c r="N165" i="2"/>
  <c r="N181" i="2"/>
  <c r="N197" i="2"/>
  <c r="N213" i="2"/>
  <c r="N229" i="2"/>
  <c r="N245" i="2"/>
  <c r="N258" i="2"/>
  <c r="N273" i="2"/>
  <c r="N288" i="2"/>
  <c r="N303" i="2"/>
  <c r="N319" i="2"/>
  <c r="N335" i="2"/>
  <c r="N338" i="2"/>
  <c r="N342" i="2"/>
  <c r="N346" i="2"/>
  <c r="N350" i="2"/>
  <c r="N356" i="2"/>
  <c r="N360" i="2"/>
  <c r="N367" i="2"/>
  <c r="N371" i="2"/>
  <c r="N378" i="2"/>
  <c r="N382" i="2"/>
  <c r="N385" i="2"/>
  <c r="N391" i="2"/>
  <c r="N395" i="2"/>
  <c r="N399" i="2"/>
  <c r="N403" i="2"/>
  <c r="N407" i="2"/>
  <c r="N411" i="2"/>
  <c r="N415" i="2"/>
  <c r="N419" i="2"/>
  <c r="N423" i="2"/>
  <c r="N426" i="2"/>
  <c r="N430" i="2"/>
  <c r="N434" i="2"/>
  <c r="N438" i="2"/>
  <c r="N442" i="2"/>
  <c r="N445" i="2"/>
  <c r="N449" i="2"/>
  <c r="N453" i="2"/>
  <c r="N457" i="2"/>
  <c r="N461" i="2"/>
  <c r="N465" i="2"/>
  <c r="N469" i="2"/>
  <c r="N473" i="2"/>
  <c r="N477" i="2"/>
  <c r="N481" i="2"/>
  <c r="N485" i="2"/>
  <c r="N489" i="2"/>
  <c r="N493" i="2"/>
  <c r="N497" i="2"/>
  <c r="N500" i="2"/>
  <c r="N506" i="2"/>
  <c r="N510" i="2"/>
  <c r="N514" i="2"/>
  <c r="N520" i="2"/>
  <c r="N524" i="2"/>
  <c r="N528" i="2"/>
  <c r="N531" i="2"/>
  <c r="N535" i="2"/>
  <c r="N539" i="2"/>
  <c r="N543" i="2"/>
  <c r="N547" i="2"/>
  <c r="N550" i="2"/>
  <c r="N554" i="2"/>
  <c r="N558" i="2"/>
  <c r="N562" i="2"/>
  <c r="N565" i="2"/>
  <c r="N569" i="2"/>
  <c r="N573" i="2"/>
  <c r="N576" i="2"/>
  <c r="N580" i="2"/>
  <c r="N9" i="2"/>
  <c r="N25" i="2"/>
  <c r="N41" i="2"/>
  <c r="N57" i="2"/>
  <c r="N73" i="2"/>
  <c r="N89" i="2"/>
  <c r="N105" i="2"/>
  <c r="N121" i="2"/>
  <c r="N137" i="2"/>
  <c r="N153" i="2"/>
  <c r="N169" i="2"/>
  <c r="N185" i="2"/>
  <c r="N201" i="2"/>
  <c r="N217" i="2"/>
  <c r="N233" i="2"/>
  <c r="N248" i="2"/>
  <c r="N262" i="2"/>
  <c r="N291" i="2"/>
  <c r="N307" i="2"/>
  <c r="N323" i="2"/>
  <c r="N339" i="2"/>
  <c r="N343" i="2"/>
  <c r="N347" i="2"/>
  <c r="N353" i="2"/>
  <c r="N357" i="2"/>
  <c r="N361" i="2"/>
  <c r="N364" i="2"/>
  <c r="N368" i="2"/>
  <c r="N372" i="2"/>
  <c r="N375" i="2"/>
  <c r="N379" i="2"/>
  <c r="N386" i="2"/>
  <c r="N388" i="2"/>
  <c r="N392" i="2"/>
  <c r="N396" i="2"/>
  <c r="N400" i="2"/>
  <c r="N404" i="2"/>
  <c r="N408" i="2"/>
  <c r="N412" i="2"/>
  <c r="N416" i="2"/>
  <c r="N420" i="2"/>
  <c r="N424" i="2"/>
  <c r="N427" i="2"/>
  <c r="N431" i="2"/>
  <c r="N435" i="2"/>
  <c r="N439" i="2"/>
  <c r="N443" i="2"/>
  <c r="N446" i="2"/>
  <c r="N450" i="2"/>
  <c r="N454" i="2"/>
  <c r="N458" i="2"/>
  <c r="N462" i="2"/>
  <c r="N466" i="2"/>
  <c r="N470" i="2"/>
  <c r="N474" i="2"/>
  <c r="N478" i="2"/>
  <c r="N482" i="2"/>
  <c r="N486" i="2"/>
  <c r="N490" i="2"/>
  <c r="N494" i="2"/>
  <c r="N498" i="2"/>
  <c r="N501" i="2"/>
  <c r="N504" i="2"/>
  <c r="N507" i="2"/>
  <c r="N511" i="2"/>
  <c r="N515" i="2"/>
  <c r="N517" i="2"/>
  <c r="N521" i="2"/>
  <c r="N525" i="2"/>
  <c r="N532" i="2"/>
  <c r="N536" i="2"/>
  <c r="N540" i="2"/>
  <c r="N544" i="2"/>
  <c r="N548" i="2"/>
  <c r="N551" i="2"/>
  <c r="N555" i="2"/>
  <c r="N559" i="2"/>
  <c r="N563" i="2"/>
  <c r="N566" i="2"/>
  <c r="N570" i="2"/>
  <c r="N574" i="2"/>
  <c r="N577" i="2"/>
  <c r="N581" i="2"/>
  <c r="N585" i="2"/>
  <c r="N588" i="2"/>
  <c r="N592" i="2"/>
  <c r="N596" i="2"/>
  <c r="N13" i="2"/>
  <c r="N29" i="2"/>
  <c r="N45" i="2"/>
  <c r="N61" i="2"/>
  <c r="N77" i="2"/>
  <c r="N93" i="2"/>
  <c r="N109" i="2"/>
  <c r="N125" i="2"/>
  <c r="N141" i="2"/>
  <c r="N157" i="2"/>
  <c r="N173" i="2"/>
  <c r="N189" i="2"/>
  <c r="N205" i="2"/>
  <c r="N221" i="2"/>
  <c r="N237" i="2"/>
  <c r="N252" i="2"/>
  <c r="N265" i="2"/>
  <c r="N280" i="2"/>
  <c r="N295" i="2"/>
  <c r="N311" i="2"/>
  <c r="N327" i="2"/>
  <c r="N336" i="2"/>
  <c r="N340" i="2"/>
  <c r="N344" i="2"/>
  <c r="N348" i="2"/>
  <c r="N351" i="2"/>
  <c r="N354" i="2"/>
  <c r="N358" i="2"/>
  <c r="N362" i="2"/>
  <c r="N365" i="2"/>
  <c r="N369" i="2"/>
  <c r="N373" i="2"/>
  <c r="N376" i="2"/>
  <c r="N380" i="2"/>
  <c r="N383" i="2"/>
  <c r="N389" i="2"/>
  <c r="N393" i="2"/>
  <c r="N397" i="2"/>
  <c r="N401" i="2"/>
  <c r="N405" i="2"/>
  <c r="N409" i="2"/>
  <c r="N413" i="2"/>
  <c r="N417" i="2"/>
  <c r="N421" i="2"/>
  <c r="N428" i="2"/>
  <c r="N432" i="2"/>
  <c r="N436" i="2"/>
  <c r="N440" i="2"/>
  <c r="N444" i="2"/>
  <c r="N447" i="2"/>
  <c r="N451" i="2"/>
  <c r="N455" i="2"/>
  <c r="N459" i="2"/>
  <c r="N463" i="2"/>
  <c r="N467" i="2"/>
  <c r="N471" i="2"/>
  <c r="N475" i="2"/>
  <c r="N479" i="2"/>
  <c r="N483" i="2"/>
  <c r="N487" i="2"/>
  <c r="N491" i="2"/>
  <c r="N495" i="2"/>
  <c r="N502" i="2"/>
  <c r="N505" i="2"/>
  <c r="N508" i="2"/>
  <c r="N512" i="2"/>
  <c r="N516" i="2"/>
  <c r="N518" i="2"/>
  <c r="N522" i="2"/>
  <c r="N526" i="2"/>
  <c r="N529" i="2"/>
  <c r="N533" i="2"/>
  <c r="N537" i="2"/>
  <c r="N541" i="2"/>
  <c r="N545" i="2"/>
  <c r="N552" i="2"/>
  <c r="N556" i="2"/>
  <c r="N560" i="2"/>
  <c r="N564" i="2"/>
  <c r="N567" i="2"/>
  <c r="N571" i="2"/>
  <c r="N842" i="2"/>
  <c r="N838" i="2"/>
  <c r="N834" i="2"/>
  <c r="N827" i="2"/>
  <c r="N823" i="2"/>
  <c r="N819" i="2"/>
  <c r="N815" i="2"/>
  <c r="N812" i="2"/>
  <c r="N809" i="2"/>
  <c r="N805" i="2"/>
  <c r="N799" i="2"/>
  <c r="N795" i="2"/>
  <c r="N791" i="2"/>
  <c r="N787" i="2"/>
  <c r="N783" i="2"/>
  <c r="N780" i="2"/>
  <c r="N773" i="2"/>
  <c r="N769" i="2"/>
  <c r="N765" i="2"/>
  <c r="N763" i="2"/>
  <c r="N759" i="2"/>
  <c r="N755" i="2"/>
  <c r="N752" i="2"/>
  <c r="N745" i="2"/>
  <c r="N741" i="2"/>
  <c r="N737" i="2"/>
  <c r="N733" i="2"/>
  <c r="N730" i="2"/>
  <c r="N726" i="2"/>
  <c r="N722" i="2"/>
  <c r="N718" i="2"/>
  <c r="N714" i="2"/>
  <c r="N708" i="2"/>
  <c r="N704" i="2"/>
  <c r="N700" i="2"/>
  <c r="N693" i="2"/>
  <c r="N689" i="2"/>
  <c r="N682" i="2"/>
  <c r="N678" i="2"/>
  <c r="N674" i="2"/>
  <c r="N670" i="2"/>
  <c r="N666" i="2"/>
  <c r="N662" i="2"/>
  <c r="N658" i="2"/>
  <c r="N654" i="2"/>
  <c r="N650" i="2"/>
  <c r="N646" i="2"/>
  <c r="N642" i="2"/>
  <c r="N638" i="2"/>
  <c r="N634" i="2"/>
  <c r="N630" i="2"/>
  <c r="N626" i="2"/>
  <c r="N622" i="2"/>
  <c r="N619" i="2"/>
  <c r="N615" i="2"/>
  <c r="N611" i="2"/>
  <c r="N607" i="2"/>
  <c r="N603" i="2"/>
  <c r="N600" i="2"/>
  <c r="N595" i="2"/>
  <c r="N590" i="2"/>
  <c r="N579" i="2"/>
  <c r="N572" i="2"/>
  <c r="N557" i="2"/>
  <c r="N542" i="2"/>
  <c r="N527" i="2"/>
  <c r="N513" i="2"/>
  <c r="N499" i="2"/>
  <c r="N484" i="2"/>
  <c r="N468" i="2"/>
  <c r="N452" i="2"/>
  <c r="N437" i="2"/>
  <c r="N422" i="2"/>
  <c r="N406" i="2"/>
  <c r="N390" i="2"/>
  <c r="N377" i="2"/>
  <c r="N363" i="2"/>
  <c r="N349" i="2"/>
  <c r="N331" i="2"/>
  <c r="N269" i="2"/>
  <c r="N209" i="2"/>
  <c r="N145" i="2"/>
  <c r="N81" i="2"/>
  <c r="N1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4">
    <bk>
      <extLst>
        <ext uri="{3e2802c4-a4d2-4d8b-9148-e3be6c30e623}">
          <xlrd:rvb i="0"/>
        </ext>
      </extLst>
    </bk>
    <bk>
      <extLst>
        <ext uri="{3e2802c4-a4d2-4d8b-9148-e3be6c30e623}">
          <xlrd:rvb i="13"/>
        </ext>
      </extLst>
    </bk>
    <bk>
      <extLst>
        <ext uri="{3e2802c4-a4d2-4d8b-9148-e3be6c30e623}">
          <xlrd:rvb i="21"/>
        </ext>
      </extLst>
    </bk>
    <bk>
      <extLst>
        <ext uri="{3e2802c4-a4d2-4d8b-9148-e3be6c30e623}">
          <xlrd:rvb i="33"/>
        </ext>
      </extLst>
    </bk>
    <bk>
      <extLst>
        <ext uri="{3e2802c4-a4d2-4d8b-9148-e3be6c30e623}">
          <xlrd:rvb i="42"/>
        </ext>
      </extLst>
    </bk>
    <bk>
      <extLst>
        <ext uri="{3e2802c4-a4d2-4d8b-9148-e3be6c30e623}">
          <xlrd:rvb i="53"/>
        </ext>
      </extLst>
    </bk>
    <bk>
      <extLst>
        <ext uri="{3e2802c4-a4d2-4d8b-9148-e3be6c30e623}">
          <xlrd:rvb i="64"/>
        </ext>
      </extLst>
    </bk>
    <bk>
      <extLst>
        <ext uri="{3e2802c4-a4d2-4d8b-9148-e3be6c30e623}">
          <xlrd:rvb i="72"/>
        </ext>
      </extLst>
    </bk>
    <bk>
      <extLst>
        <ext uri="{3e2802c4-a4d2-4d8b-9148-e3be6c30e623}">
          <xlrd:rvb i="82"/>
        </ext>
      </extLst>
    </bk>
    <bk>
      <extLst>
        <ext uri="{3e2802c4-a4d2-4d8b-9148-e3be6c30e623}">
          <xlrd:rvb i="89"/>
        </ext>
      </extLst>
    </bk>
    <bk>
      <extLst>
        <ext uri="{3e2802c4-a4d2-4d8b-9148-e3be6c30e623}">
          <xlrd:rvb i="99"/>
        </ext>
      </extLst>
    </bk>
    <bk>
      <extLst>
        <ext uri="{3e2802c4-a4d2-4d8b-9148-e3be6c30e623}">
          <xlrd:rvb i="109"/>
        </ext>
      </extLst>
    </bk>
    <bk>
      <extLst>
        <ext uri="{3e2802c4-a4d2-4d8b-9148-e3be6c30e623}">
          <xlrd:rvb i="122"/>
        </ext>
      </extLst>
    </bk>
    <bk>
      <extLst>
        <ext uri="{3e2802c4-a4d2-4d8b-9148-e3be6c30e623}">
          <xlrd:rvb i="129"/>
        </ext>
      </extLst>
    </bk>
    <bk>
      <extLst>
        <ext uri="{3e2802c4-a4d2-4d8b-9148-e3be6c30e623}">
          <xlrd:rvb i="144"/>
        </ext>
      </extLst>
    </bk>
    <bk>
      <extLst>
        <ext uri="{3e2802c4-a4d2-4d8b-9148-e3be6c30e623}">
          <xlrd:rvb i="160"/>
        </ext>
      </extLst>
    </bk>
    <bk>
      <extLst>
        <ext uri="{3e2802c4-a4d2-4d8b-9148-e3be6c30e623}">
          <xlrd:rvb i="168"/>
        </ext>
      </extLst>
    </bk>
    <bk>
      <extLst>
        <ext uri="{3e2802c4-a4d2-4d8b-9148-e3be6c30e623}">
          <xlrd:rvb i="177"/>
        </ext>
      </extLst>
    </bk>
    <bk>
      <extLst>
        <ext uri="{3e2802c4-a4d2-4d8b-9148-e3be6c30e623}">
          <xlrd:rvb i="185"/>
        </ext>
      </extLst>
    </bk>
    <bk>
      <extLst>
        <ext uri="{3e2802c4-a4d2-4d8b-9148-e3be6c30e623}">
          <xlrd:rvb i="194"/>
        </ext>
      </extLst>
    </bk>
    <bk>
      <extLst>
        <ext uri="{3e2802c4-a4d2-4d8b-9148-e3be6c30e623}">
          <xlrd:rvb i="205"/>
        </ext>
      </extLst>
    </bk>
    <bk>
      <extLst>
        <ext uri="{3e2802c4-a4d2-4d8b-9148-e3be6c30e623}">
          <xlrd:rvb i="212"/>
        </ext>
      </extLst>
    </bk>
    <bk>
      <extLst>
        <ext uri="{3e2802c4-a4d2-4d8b-9148-e3be6c30e623}">
          <xlrd:rvb i="220"/>
        </ext>
      </extLst>
    </bk>
    <bk>
      <extLst>
        <ext uri="{3e2802c4-a4d2-4d8b-9148-e3be6c30e623}">
          <xlrd:rvb i="228"/>
        </ext>
      </extLst>
    </bk>
    <bk>
      <extLst>
        <ext uri="{3e2802c4-a4d2-4d8b-9148-e3be6c30e623}">
          <xlrd:rvb i="236"/>
        </ext>
      </extLst>
    </bk>
    <bk>
      <extLst>
        <ext uri="{3e2802c4-a4d2-4d8b-9148-e3be6c30e623}">
          <xlrd:rvb i="251"/>
        </ext>
      </extLst>
    </bk>
    <bk>
      <extLst>
        <ext uri="{3e2802c4-a4d2-4d8b-9148-e3be6c30e623}">
          <xlrd:rvb i="258"/>
        </ext>
      </extLst>
    </bk>
    <bk>
      <extLst>
        <ext uri="{3e2802c4-a4d2-4d8b-9148-e3be6c30e623}">
          <xlrd:rvb i="145"/>
        </ext>
      </extLst>
    </bk>
    <bk>
      <extLst>
        <ext uri="{3e2802c4-a4d2-4d8b-9148-e3be6c30e623}">
          <xlrd:rvb i="267"/>
        </ext>
      </extLst>
    </bk>
    <bk>
      <extLst>
        <ext uri="{3e2802c4-a4d2-4d8b-9148-e3be6c30e623}">
          <xlrd:rvb i="278"/>
        </ext>
      </extLst>
    </bk>
    <bk>
      <extLst>
        <ext uri="{3e2802c4-a4d2-4d8b-9148-e3be6c30e623}">
          <xlrd:rvb i="285"/>
        </ext>
      </extLst>
    </bk>
    <bk>
      <extLst>
        <ext uri="{3e2802c4-a4d2-4d8b-9148-e3be6c30e623}">
          <xlrd:rvb i="299"/>
        </ext>
      </extLst>
    </bk>
    <bk>
      <extLst>
        <ext uri="{3e2802c4-a4d2-4d8b-9148-e3be6c30e623}">
          <xlrd:rvb i="314"/>
        </ext>
      </extLst>
    </bk>
    <bk>
      <extLst>
        <ext uri="{3e2802c4-a4d2-4d8b-9148-e3be6c30e623}">
          <xlrd:rvb i="321"/>
        </ext>
      </extLst>
    </bk>
    <bk>
      <extLst>
        <ext uri="{3e2802c4-a4d2-4d8b-9148-e3be6c30e623}">
          <xlrd:rvb i="336"/>
        </ext>
      </extLst>
    </bk>
    <bk>
      <extLst>
        <ext uri="{3e2802c4-a4d2-4d8b-9148-e3be6c30e623}">
          <xlrd:rvb i="344"/>
        </ext>
      </extLst>
    </bk>
    <bk>
      <extLst>
        <ext uri="{3e2802c4-a4d2-4d8b-9148-e3be6c30e623}">
          <xlrd:rvb i="356"/>
        </ext>
      </extLst>
    </bk>
    <bk>
      <extLst>
        <ext uri="{3e2802c4-a4d2-4d8b-9148-e3be6c30e623}">
          <xlrd:rvb i="363"/>
        </ext>
      </extLst>
    </bk>
    <bk>
      <extLst>
        <ext uri="{3e2802c4-a4d2-4d8b-9148-e3be6c30e623}">
          <xlrd:rvb i="237"/>
        </ext>
      </extLst>
    </bk>
    <bk>
      <extLst>
        <ext uri="{3e2802c4-a4d2-4d8b-9148-e3be6c30e623}">
          <xlrd:rvb i="370"/>
        </ext>
      </extLst>
    </bk>
    <bk>
      <extLst>
        <ext uri="{3e2802c4-a4d2-4d8b-9148-e3be6c30e623}">
          <xlrd:rvb i="371"/>
        </ext>
      </extLst>
    </bk>
    <bk>
      <extLst>
        <ext uri="{3e2802c4-a4d2-4d8b-9148-e3be6c30e623}">
          <xlrd:rvb i="385"/>
        </ext>
      </extLst>
    </bk>
    <bk>
      <extLst>
        <ext uri="{3e2802c4-a4d2-4d8b-9148-e3be6c30e623}">
          <xlrd:rvb i="396"/>
        </ext>
      </extLst>
    </bk>
    <bk>
      <extLst>
        <ext uri="{3e2802c4-a4d2-4d8b-9148-e3be6c30e623}">
          <xlrd:rvb i="404"/>
        </ext>
      </extLst>
    </bk>
    <bk>
      <extLst>
        <ext uri="{3e2802c4-a4d2-4d8b-9148-e3be6c30e623}">
          <xlrd:rvb i="413"/>
        </ext>
      </extLst>
    </bk>
    <bk>
      <extLst>
        <ext uri="{3e2802c4-a4d2-4d8b-9148-e3be6c30e623}">
          <xlrd:rvb i="420"/>
        </ext>
      </extLst>
    </bk>
    <bk>
      <extLst>
        <ext uri="{3e2802c4-a4d2-4d8b-9148-e3be6c30e623}">
          <xlrd:rvb i="429"/>
        </ext>
      </extLst>
    </bk>
    <bk>
      <extLst>
        <ext uri="{3e2802c4-a4d2-4d8b-9148-e3be6c30e623}">
          <xlrd:rvb i="437"/>
        </ext>
      </extLst>
    </bk>
    <bk>
      <extLst>
        <ext uri="{3e2802c4-a4d2-4d8b-9148-e3be6c30e623}">
          <xlrd:rvb i="447"/>
        </ext>
      </extLst>
    </bk>
    <bk>
      <extLst>
        <ext uri="{3e2802c4-a4d2-4d8b-9148-e3be6c30e623}">
          <xlrd:rvb i="453"/>
        </ext>
      </extLst>
    </bk>
    <bk>
      <extLst>
        <ext uri="{3e2802c4-a4d2-4d8b-9148-e3be6c30e623}">
          <xlrd:rvb i="461"/>
        </ext>
      </extLst>
    </bk>
    <bk>
      <extLst>
        <ext uri="{3e2802c4-a4d2-4d8b-9148-e3be6c30e623}">
          <xlrd:rvb i="131"/>
        </ext>
      </extLst>
    </bk>
    <bk>
      <extLst>
        <ext uri="{3e2802c4-a4d2-4d8b-9148-e3be6c30e623}">
          <xlrd:rvb i="472"/>
        </ext>
      </extLst>
    </bk>
    <bk>
      <extLst>
        <ext uri="{3e2802c4-a4d2-4d8b-9148-e3be6c30e623}">
          <xlrd:rvb i="481"/>
        </ext>
      </extLst>
    </bk>
    <bk>
      <extLst>
        <ext uri="{3e2802c4-a4d2-4d8b-9148-e3be6c30e623}">
          <xlrd:rvb i="491"/>
        </ext>
      </extLst>
    </bk>
    <bk>
      <extLst>
        <ext uri="{3e2802c4-a4d2-4d8b-9148-e3be6c30e623}">
          <xlrd:rvb i="498"/>
        </ext>
      </extLst>
    </bk>
    <bk>
      <extLst>
        <ext uri="{3e2802c4-a4d2-4d8b-9148-e3be6c30e623}">
          <xlrd:rvb i="505"/>
        </ext>
      </extLst>
    </bk>
    <bk>
      <extLst>
        <ext uri="{3e2802c4-a4d2-4d8b-9148-e3be6c30e623}">
          <xlrd:rvb i="512"/>
        </ext>
      </extLst>
    </bk>
    <bk>
      <extLst>
        <ext uri="{3e2802c4-a4d2-4d8b-9148-e3be6c30e623}">
          <xlrd:rvb i="519"/>
        </ext>
      </extLst>
    </bk>
    <bk>
      <extLst>
        <ext uri="{3e2802c4-a4d2-4d8b-9148-e3be6c30e623}">
          <xlrd:rvb i="529"/>
        </ext>
      </extLst>
    </bk>
    <bk>
      <extLst>
        <ext uri="{3e2802c4-a4d2-4d8b-9148-e3be6c30e623}">
          <xlrd:rvb i="537"/>
        </ext>
      </extLst>
    </bk>
    <bk>
      <extLst>
        <ext uri="{3e2802c4-a4d2-4d8b-9148-e3be6c30e623}">
          <xlrd:rvb i="548"/>
        </ext>
      </extLst>
    </bk>
    <bk>
      <extLst>
        <ext uri="{3e2802c4-a4d2-4d8b-9148-e3be6c30e623}">
          <xlrd:rvb i="555"/>
        </ext>
      </extLst>
    </bk>
    <bk>
      <extLst>
        <ext uri="{3e2802c4-a4d2-4d8b-9148-e3be6c30e623}">
          <xlrd:rvb i="560"/>
        </ext>
      </extLst>
    </bk>
    <bk>
      <extLst>
        <ext uri="{3e2802c4-a4d2-4d8b-9148-e3be6c30e623}">
          <xlrd:rvb i="574"/>
        </ext>
      </extLst>
    </bk>
    <bk>
      <extLst>
        <ext uri="{3e2802c4-a4d2-4d8b-9148-e3be6c30e623}">
          <xlrd:rvb i="582"/>
        </ext>
      </extLst>
    </bk>
    <bk>
      <extLst>
        <ext uri="{3e2802c4-a4d2-4d8b-9148-e3be6c30e623}">
          <xlrd:rvb i="590"/>
        </ext>
      </extLst>
    </bk>
    <bk>
      <extLst>
        <ext uri="{3e2802c4-a4d2-4d8b-9148-e3be6c30e623}">
          <xlrd:rvb i="599"/>
        </ext>
      </extLst>
    </bk>
    <bk>
      <extLst>
        <ext uri="{3e2802c4-a4d2-4d8b-9148-e3be6c30e623}">
          <xlrd:rvb i="609"/>
        </ext>
      </extLst>
    </bk>
    <bk>
      <extLst>
        <ext uri="{3e2802c4-a4d2-4d8b-9148-e3be6c30e623}">
          <xlrd:rvb i="616"/>
        </ext>
      </extLst>
    </bk>
    <bk>
      <extLst>
        <ext uri="{3e2802c4-a4d2-4d8b-9148-e3be6c30e623}">
          <xlrd:rvb i="624"/>
        </ext>
      </extLst>
    </bk>
    <bk>
      <extLst>
        <ext uri="{3e2802c4-a4d2-4d8b-9148-e3be6c30e623}">
          <xlrd:rvb i="635"/>
        </ext>
      </extLst>
    </bk>
    <bk>
      <extLst>
        <ext uri="{3e2802c4-a4d2-4d8b-9148-e3be6c30e623}">
          <xlrd:rvb i="643"/>
        </ext>
      </extLst>
    </bk>
    <bk>
      <extLst>
        <ext uri="{3e2802c4-a4d2-4d8b-9148-e3be6c30e623}">
          <xlrd:rvb i="300"/>
        </ext>
      </extLst>
    </bk>
    <bk>
      <extLst>
        <ext uri="{3e2802c4-a4d2-4d8b-9148-e3be6c30e623}">
          <xlrd:rvb i="651"/>
        </ext>
      </extLst>
    </bk>
    <bk>
      <extLst>
        <ext uri="{3e2802c4-a4d2-4d8b-9148-e3be6c30e623}">
          <xlrd:rvb i="660"/>
        </ext>
      </extLst>
    </bk>
    <bk>
      <extLst>
        <ext uri="{3e2802c4-a4d2-4d8b-9148-e3be6c30e623}">
          <xlrd:rvb i="668"/>
        </ext>
      </extLst>
    </bk>
    <bk>
      <extLst>
        <ext uri="{3e2802c4-a4d2-4d8b-9148-e3be6c30e623}">
          <xlrd:rvb i="322"/>
        </ext>
      </extLst>
    </bk>
    <bk>
      <extLst>
        <ext uri="{3e2802c4-a4d2-4d8b-9148-e3be6c30e623}">
          <xlrd:rvb i="286"/>
        </ext>
      </extLst>
    </bk>
    <bk>
      <extLst>
        <ext uri="{3e2802c4-a4d2-4d8b-9148-e3be6c30e623}">
          <xlrd:rvb i="679"/>
        </ext>
      </extLst>
    </bk>
    <bk>
      <extLst>
        <ext uri="{3e2802c4-a4d2-4d8b-9148-e3be6c30e623}">
          <xlrd:rvb i="690"/>
        </ext>
      </extLst>
    </bk>
    <bk>
      <extLst>
        <ext uri="{3e2802c4-a4d2-4d8b-9148-e3be6c30e623}">
          <xlrd:rvb i="698"/>
        </ext>
      </extLst>
    </bk>
    <bk>
      <extLst>
        <ext uri="{3e2802c4-a4d2-4d8b-9148-e3be6c30e623}">
          <xlrd:rvb i="707"/>
        </ext>
      </extLst>
    </bk>
    <bk>
      <extLst>
        <ext uri="{3e2802c4-a4d2-4d8b-9148-e3be6c30e623}">
          <xlrd:rvb i="715"/>
        </ext>
      </extLst>
    </bk>
  </futureMetadata>
  <cellMetadata count="1">
    <bk>
      <rc t="1" v="0"/>
    </bk>
  </cellMetadata>
  <valueMetadata count="8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valueMetadata>
</metadata>
</file>

<file path=xl/sharedStrings.xml><?xml version="1.0" encoding="utf-8"?>
<sst xmlns="http://schemas.openxmlformats.org/spreadsheetml/2006/main" count="18030" uniqueCount="4889">
  <si>
    <t>Customer ID</t>
  </si>
  <si>
    <t>First Name</t>
  </si>
  <si>
    <t>Last Name</t>
  </si>
  <si>
    <t>Email</t>
  </si>
  <si>
    <t>Gender</t>
  </si>
  <si>
    <t>Phone Number</t>
  </si>
  <si>
    <t>Country</t>
  </si>
  <si>
    <t>City</t>
  </si>
  <si>
    <t>Ellyn</t>
  </si>
  <si>
    <t>Gobel</t>
  </si>
  <si>
    <t>egobel0@simplemachines.org</t>
  </si>
  <si>
    <t>Female</t>
  </si>
  <si>
    <t>428 421 8624</t>
  </si>
  <si>
    <t>Bangladesh</t>
  </si>
  <si>
    <t>Coxâ€™s BÄzÄr</t>
  </si>
  <si>
    <t>Jermayne</t>
  </si>
  <si>
    <t>Jaine</t>
  </si>
  <si>
    <t>jjaine1@chron.com</t>
  </si>
  <si>
    <t>Male</t>
  </si>
  <si>
    <t>477 182 0502</t>
  </si>
  <si>
    <t>Khagrachhari</t>
  </si>
  <si>
    <t>Bing</t>
  </si>
  <si>
    <t>Woliter</t>
  </si>
  <si>
    <t>bwoliter2@apache.org</t>
  </si>
  <si>
    <t>892 703 1046</t>
  </si>
  <si>
    <t>NÄrÄyanganj</t>
  </si>
  <si>
    <t>Cirillo</t>
  </si>
  <si>
    <t>Davidovic</t>
  </si>
  <si>
    <t>cdavidovic3@privacy.gov.au</t>
  </si>
  <si>
    <t>Genderqueer</t>
  </si>
  <si>
    <t>396 660 3768</t>
  </si>
  <si>
    <t>TungipÄra</t>
  </si>
  <si>
    <t>Devinne</t>
  </si>
  <si>
    <t>Cunnington</t>
  </si>
  <si>
    <t>dcunnington4@flickr.com</t>
  </si>
  <si>
    <t>837 299 8531</t>
  </si>
  <si>
    <t>LakshmÄ«pur</t>
  </si>
  <si>
    <t>Nicolai</t>
  </si>
  <si>
    <t>Andrews</t>
  </si>
  <si>
    <t>nandrews5@goo.gl</t>
  </si>
  <si>
    <t>373 215 2651</t>
  </si>
  <si>
    <t>Char BhadrÄsan</t>
  </si>
  <si>
    <t>Gabriellia</t>
  </si>
  <si>
    <t>Feighry</t>
  </si>
  <si>
    <t>gfeighry6@businesswire.com</t>
  </si>
  <si>
    <t>673 744 7113</t>
  </si>
  <si>
    <t>RÄipur</t>
  </si>
  <si>
    <t>Diahann</t>
  </si>
  <si>
    <t>Dimic</t>
  </si>
  <si>
    <t>ddimic7@fotki.com</t>
  </si>
  <si>
    <t>961 940 5462</t>
  </si>
  <si>
    <t>Mathba</t>
  </si>
  <si>
    <t>Nichole</t>
  </si>
  <si>
    <t>Cridlan</t>
  </si>
  <si>
    <t>ncridlan8@delicious.com</t>
  </si>
  <si>
    <t>262 963 4530</t>
  </si>
  <si>
    <t>Comilla</t>
  </si>
  <si>
    <t>Francesca</t>
  </si>
  <si>
    <t>Hasell</t>
  </si>
  <si>
    <t>fhasell9@pagesperso-orange.fr</t>
  </si>
  <si>
    <t>652 495 0574</t>
  </si>
  <si>
    <t>LÄkshÄm</t>
  </si>
  <si>
    <t>Sherie</t>
  </si>
  <si>
    <t>Acosta</t>
  </si>
  <si>
    <t>sacostaa@sphinn.com</t>
  </si>
  <si>
    <t>641 203 0875</t>
  </si>
  <si>
    <t>Sakhipur</t>
  </si>
  <si>
    <t>Karel</t>
  </si>
  <si>
    <t>Tutill</t>
  </si>
  <si>
    <t>ktutillb@tiny.cc</t>
  </si>
  <si>
    <t>495 671 1440</t>
  </si>
  <si>
    <t>DinÄjpur</t>
  </si>
  <si>
    <t>Lorenzo</t>
  </si>
  <si>
    <t>Sertin</t>
  </si>
  <si>
    <t>lsertinc@pcworld.com</t>
  </si>
  <si>
    <t>447 177 7616</t>
  </si>
  <si>
    <t>NÄlchiti</t>
  </si>
  <si>
    <t>Celia</t>
  </si>
  <si>
    <t>Asey</t>
  </si>
  <si>
    <t>caseyd@illinois.edu</t>
  </si>
  <si>
    <t>233 990 4153</t>
  </si>
  <si>
    <t>Sarankhola</t>
  </si>
  <si>
    <t>Jakob</t>
  </si>
  <si>
    <t>Aird</t>
  </si>
  <si>
    <t>jairde@ycombinator.com</t>
  </si>
  <si>
    <t>619 450 0043</t>
  </si>
  <si>
    <t>Jessore</t>
  </si>
  <si>
    <t>Andrey</t>
  </si>
  <si>
    <t>Luchelli</t>
  </si>
  <si>
    <t>aluchellif@alexa.com</t>
  </si>
  <si>
    <t>182 649 4641</t>
  </si>
  <si>
    <t>Tungi</t>
  </si>
  <si>
    <t>Molly</t>
  </si>
  <si>
    <t>Steinham</t>
  </si>
  <si>
    <t>msteinhamg@mac.com</t>
  </si>
  <si>
    <t>514 976 4876</t>
  </si>
  <si>
    <t>Shibganj</t>
  </si>
  <si>
    <t>Mercedes</t>
  </si>
  <si>
    <t>Serjent</t>
  </si>
  <si>
    <t>mserjenth@omniture.com</t>
  </si>
  <si>
    <t>678 323 7455</t>
  </si>
  <si>
    <t>Bera</t>
  </si>
  <si>
    <t>Marietta</t>
  </si>
  <si>
    <t>Golsworthy</t>
  </si>
  <si>
    <t>mgolsworthyi@yahoo.com</t>
  </si>
  <si>
    <t>707 959 9604</t>
  </si>
  <si>
    <t>Sioux</t>
  </si>
  <si>
    <t>Roston</t>
  </si>
  <si>
    <t>srostonj@people.com.cn</t>
  </si>
  <si>
    <t>686 860 9990</t>
  </si>
  <si>
    <t>Morrelgonj</t>
  </si>
  <si>
    <t>Marna</t>
  </si>
  <si>
    <t>Skipton</t>
  </si>
  <si>
    <t>mskiptonk@wikia.com</t>
  </si>
  <si>
    <t>212 458 1232</t>
  </si>
  <si>
    <t>SÄtkania</t>
  </si>
  <si>
    <t>Dallis</t>
  </si>
  <si>
    <t>Sturror</t>
  </si>
  <si>
    <t>dsturrorl@blogtalkradio.com</t>
  </si>
  <si>
    <t>403 162 9416</t>
  </si>
  <si>
    <t>BhÄtpÄra Abhaynagar</t>
  </si>
  <si>
    <t>Haywood</t>
  </si>
  <si>
    <t>Langelay</t>
  </si>
  <si>
    <t>hlangelaym@digg.com</t>
  </si>
  <si>
    <t>976 631 2029</t>
  </si>
  <si>
    <t>Saidpur</t>
  </si>
  <si>
    <t>Gordon</t>
  </si>
  <si>
    <t>Ayres</t>
  </si>
  <si>
    <t>gayresn@vimeo.com</t>
  </si>
  <si>
    <t>380 967 6720</t>
  </si>
  <si>
    <t>Gaurnadi</t>
  </si>
  <si>
    <t>Jo</t>
  </si>
  <si>
    <t>Casbourne</t>
  </si>
  <si>
    <t>jcasbourneo@census.gov</t>
  </si>
  <si>
    <t>938 694 0753</t>
  </si>
  <si>
    <t>SirÄjganj</t>
  </si>
  <si>
    <t>Lorinda</t>
  </si>
  <si>
    <t>Sawkin</t>
  </si>
  <si>
    <t>lsawkinp@admin.ch</t>
  </si>
  <si>
    <t>943 882 8583</t>
  </si>
  <si>
    <t>Bhola</t>
  </si>
  <si>
    <t>Inge</t>
  </si>
  <si>
    <t>Karlowicz</t>
  </si>
  <si>
    <t>ikarlowiczq@elpais.com</t>
  </si>
  <si>
    <t>898 215 2372</t>
  </si>
  <si>
    <t>Joannes</t>
  </si>
  <si>
    <t>Hartle</t>
  </si>
  <si>
    <t>jhartler@accuweather.com</t>
  </si>
  <si>
    <t>391 481 1931</t>
  </si>
  <si>
    <t>SandwÄ«p</t>
  </si>
  <si>
    <t>Thorin</t>
  </si>
  <si>
    <t>Sneesbie</t>
  </si>
  <si>
    <t>tsneesbies@eepurl.com</t>
  </si>
  <si>
    <t>735 144 7492</t>
  </si>
  <si>
    <t>Netrakona</t>
  </si>
  <si>
    <t>Lars</t>
  </si>
  <si>
    <t>Dismore</t>
  </si>
  <si>
    <t>ldismoret@simplemachines.org</t>
  </si>
  <si>
    <t>889 231 8269</t>
  </si>
  <si>
    <t>Titos</t>
  </si>
  <si>
    <t>Armsby</t>
  </si>
  <si>
    <t>tarmsbyu@posterous.com</t>
  </si>
  <si>
    <t>925 326 5197</t>
  </si>
  <si>
    <t>RaojÄn</t>
  </si>
  <si>
    <t>Daniela</t>
  </si>
  <si>
    <t>Sabbatier</t>
  </si>
  <si>
    <t>dsabbatierv@mapquest.com</t>
  </si>
  <si>
    <t>442 569 6113</t>
  </si>
  <si>
    <t>Phultala</t>
  </si>
  <si>
    <t>Konstanze</t>
  </si>
  <si>
    <t>Hollingshead</t>
  </si>
  <si>
    <t>khollingsheadw@sakura.ne.jp</t>
  </si>
  <si>
    <t>873 305 5431</t>
  </si>
  <si>
    <t>Kishorganj</t>
  </si>
  <si>
    <t>Danna</t>
  </si>
  <si>
    <t>Rawlyns</t>
  </si>
  <si>
    <t>drawlynsx@google.ru</t>
  </si>
  <si>
    <t>473 281 8544</t>
  </si>
  <si>
    <t>DohÄr</t>
  </si>
  <si>
    <t>Trixy</t>
  </si>
  <si>
    <t>Wenman</t>
  </si>
  <si>
    <t>twenmany@prlog.org</t>
  </si>
  <si>
    <t>944 149 0674</t>
  </si>
  <si>
    <t>PÄbna</t>
  </si>
  <si>
    <t>Peg</t>
  </si>
  <si>
    <t>Devonald</t>
  </si>
  <si>
    <t>pdevonaldz@gov.uk</t>
  </si>
  <si>
    <t>741 922 9213</t>
  </si>
  <si>
    <t>Bogra</t>
  </si>
  <si>
    <t>Goldarina</t>
  </si>
  <si>
    <t>Jime</t>
  </si>
  <si>
    <t>gjime10@cnn.com</t>
  </si>
  <si>
    <t>276 784 5595</t>
  </si>
  <si>
    <t>Belinda</t>
  </si>
  <si>
    <t>MacElane</t>
  </si>
  <si>
    <t>bmacelane11@nymag.com</t>
  </si>
  <si>
    <t>615 612 8396</t>
  </si>
  <si>
    <t>Orsola</t>
  </si>
  <si>
    <t>Topper</t>
  </si>
  <si>
    <t>otopper12@taobao.com</t>
  </si>
  <si>
    <t>448 577 0881</t>
  </si>
  <si>
    <t>Elliot</t>
  </si>
  <si>
    <t>Havelin</t>
  </si>
  <si>
    <t>ehavelin13@google.es</t>
  </si>
  <si>
    <t>828 265 2936</t>
  </si>
  <si>
    <t>SÄtkhira</t>
  </si>
  <si>
    <t>Shandy</t>
  </si>
  <si>
    <t>Melley</t>
  </si>
  <si>
    <t>smelley14@theguardian.com</t>
  </si>
  <si>
    <t>926 134 9974</t>
  </si>
  <si>
    <t>BherÄmÄra</t>
  </si>
  <si>
    <t>Dell</t>
  </si>
  <si>
    <t>Densell</t>
  </si>
  <si>
    <t>ddensell15@businessinsider.com</t>
  </si>
  <si>
    <t>147 974 1081</t>
  </si>
  <si>
    <t>BhÄndÄria</t>
  </si>
  <si>
    <t>Kippie</t>
  </si>
  <si>
    <t>Spirritt</t>
  </si>
  <si>
    <t>kspirritt16@gov.uk</t>
  </si>
  <si>
    <t>893 208 6695</t>
  </si>
  <si>
    <t>Isidoro</t>
  </si>
  <si>
    <t>Harlin</t>
  </si>
  <si>
    <t>iharlin17@cdc.gov</t>
  </si>
  <si>
    <t>571 802 2743</t>
  </si>
  <si>
    <t>Narsingdi</t>
  </si>
  <si>
    <t>Flinn</t>
  </si>
  <si>
    <t>Chattelaine</t>
  </si>
  <si>
    <t>fchattelaine18@deliciousdays.com</t>
  </si>
  <si>
    <t>Non-binary</t>
  </si>
  <si>
    <t>367 270 5135</t>
  </si>
  <si>
    <t>SarishÄbÄri</t>
  </si>
  <si>
    <t>Forster</t>
  </si>
  <si>
    <t>Risman</t>
  </si>
  <si>
    <t>frisman19@imgur.com</t>
  </si>
  <si>
    <t>940 814 3346</t>
  </si>
  <si>
    <t>Brandais</t>
  </si>
  <si>
    <t>Folkes</t>
  </si>
  <si>
    <t>bfolkes1a@furl.net</t>
  </si>
  <si>
    <t>475 336 6261</t>
  </si>
  <si>
    <t>Marylynne</t>
  </si>
  <si>
    <t>Gundrey</t>
  </si>
  <si>
    <t>mgundrey1b@msn.com</t>
  </si>
  <si>
    <t>246 231 5646</t>
  </si>
  <si>
    <t>LÄlmohan</t>
  </si>
  <si>
    <t>Eolanda</t>
  </si>
  <si>
    <t>Pach</t>
  </si>
  <si>
    <t>epach1c@odnoklassniki.ru</t>
  </si>
  <si>
    <t>720 912 4139</t>
  </si>
  <si>
    <t>Charlene</t>
  </si>
  <si>
    <t>Mattaus</t>
  </si>
  <si>
    <t>cmattaus1d@bigcartel.com</t>
  </si>
  <si>
    <t>536 574 5764</t>
  </si>
  <si>
    <t>Uttar Char Fasson</t>
  </si>
  <si>
    <t>Miguelita</t>
  </si>
  <si>
    <t>Andres</t>
  </si>
  <si>
    <t>mandres1e@discovery.com</t>
  </si>
  <si>
    <t>823 497 1495</t>
  </si>
  <si>
    <t>Irvin</t>
  </si>
  <si>
    <t>Panswick</t>
  </si>
  <si>
    <t>ipanswick1f@istockphoto.com</t>
  </si>
  <si>
    <t>451 600 2915</t>
  </si>
  <si>
    <t>Lalmanirhat</t>
  </si>
  <si>
    <t>Janice</t>
  </si>
  <si>
    <t>Buscher</t>
  </si>
  <si>
    <t>jbuscher1g@shutterfly.com</t>
  </si>
  <si>
    <t>982 851 5926</t>
  </si>
  <si>
    <t>Feni</t>
  </si>
  <si>
    <t>Nady</t>
  </si>
  <si>
    <t>Janaud</t>
  </si>
  <si>
    <t>njanaud1h@fastcompany.com</t>
  </si>
  <si>
    <t>492 236 8271</t>
  </si>
  <si>
    <t>Lindsey</t>
  </si>
  <si>
    <t>Ridges</t>
  </si>
  <si>
    <t>lridges1i@usa.gov</t>
  </si>
  <si>
    <t>Agender</t>
  </si>
  <si>
    <t>418 522 4465</t>
  </si>
  <si>
    <t>Khulna</t>
  </si>
  <si>
    <t>Lewie</t>
  </si>
  <si>
    <t>Golder</t>
  </si>
  <si>
    <t>lgolder1j@howstuffworks.com</t>
  </si>
  <si>
    <t>Polygender</t>
  </si>
  <si>
    <t>750 567 0648</t>
  </si>
  <si>
    <t>KÄlia</t>
  </si>
  <si>
    <t>Huntington</t>
  </si>
  <si>
    <t>Leyband</t>
  </si>
  <si>
    <t>hleyband1k@last.fm</t>
  </si>
  <si>
    <t>357 547 4147</t>
  </si>
  <si>
    <t>Narail</t>
  </si>
  <si>
    <t>Modesty</t>
  </si>
  <si>
    <t>Chason</t>
  </si>
  <si>
    <t>mchason1l@pagesperso-orange.fr</t>
  </si>
  <si>
    <t>106 622 0107</t>
  </si>
  <si>
    <t>Lurleen</t>
  </si>
  <si>
    <t>Kielty</t>
  </si>
  <si>
    <t>lkielty1m@blinklist.com</t>
  </si>
  <si>
    <t>585 623 8660</t>
  </si>
  <si>
    <t>Mymensingh</t>
  </si>
  <si>
    <t>Lu</t>
  </si>
  <si>
    <t>Sexton</t>
  </si>
  <si>
    <t>lsexton1n@w3.org</t>
  </si>
  <si>
    <t>767 518 7052</t>
  </si>
  <si>
    <t>Frango</t>
  </si>
  <si>
    <t>gfrango1o@wikimedia.org</t>
  </si>
  <si>
    <t>649 688 4737</t>
  </si>
  <si>
    <t>Rochester</t>
  </si>
  <si>
    <t>Arniz</t>
  </si>
  <si>
    <t>rarniz1p@creativecommons.org</t>
  </si>
  <si>
    <t>502 365 1544</t>
  </si>
  <si>
    <t>MirzÄpur</t>
  </si>
  <si>
    <t>Balduin</t>
  </si>
  <si>
    <t>Medler</t>
  </si>
  <si>
    <t>bmedler1q@gravatar.com</t>
  </si>
  <si>
    <t>417 107 4906</t>
  </si>
  <si>
    <t>Connie</t>
  </si>
  <si>
    <t>Thomesson</t>
  </si>
  <si>
    <t>cthomesson1r@mozilla.com</t>
  </si>
  <si>
    <t>948 283 4744</t>
  </si>
  <si>
    <t>RÄmganj</t>
  </si>
  <si>
    <t>Violette</t>
  </si>
  <si>
    <t>Fildes</t>
  </si>
  <si>
    <t>vfildes1s@imgur.com</t>
  </si>
  <si>
    <t>972 659 9486</t>
  </si>
  <si>
    <t>Panchagarh</t>
  </si>
  <si>
    <t>Em</t>
  </si>
  <si>
    <t>Okenden</t>
  </si>
  <si>
    <t>eokenden1t@jugem.jp</t>
  </si>
  <si>
    <t>913 472 4408</t>
  </si>
  <si>
    <t>Wheeler</t>
  </si>
  <si>
    <t>Basili</t>
  </si>
  <si>
    <t>wbasili1u@intel.com</t>
  </si>
  <si>
    <t>359 548 9251</t>
  </si>
  <si>
    <t>Parbatipur</t>
  </si>
  <si>
    <t>Bryon</t>
  </si>
  <si>
    <t>Kingett</t>
  </si>
  <si>
    <t>bkingett1v@unc.edu</t>
  </si>
  <si>
    <t>379 213 0012</t>
  </si>
  <si>
    <t>PÄr Naogaon</t>
  </si>
  <si>
    <t>Rica</t>
  </si>
  <si>
    <t>Rew</t>
  </si>
  <si>
    <t>rrew1w@trellian.com</t>
  </si>
  <si>
    <t>433 825 0262</t>
  </si>
  <si>
    <t>Bertina</t>
  </si>
  <si>
    <t>Parlet</t>
  </si>
  <si>
    <t>bparlet1x@unblog.fr</t>
  </si>
  <si>
    <t>447 524 5778</t>
  </si>
  <si>
    <t>Habiganj</t>
  </si>
  <si>
    <t>La verne</t>
  </si>
  <si>
    <t>Hassett</t>
  </si>
  <si>
    <t>lhassett1y@dion.ne.jp</t>
  </si>
  <si>
    <t>389 607 6143</t>
  </si>
  <si>
    <t>Bhairab BÄzÄr</t>
  </si>
  <si>
    <t>Georgiana</t>
  </si>
  <si>
    <t>Naisey</t>
  </si>
  <si>
    <t>gnaisey1z@ifeng.com</t>
  </si>
  <si>
    <t>942 819 8688</t>
  </si>
  <si>
    <t>Kristi</t>
  </si>
  <si>
    <t>Zanetto</t>
  </si>
  <si>
    <t>kzanetto20@china.com.cn</t>
  </si>
  <si>
    <t>Genderfluid</t>
  </si>
  <si>
    <t>267 830 9424</t>
  </si>
  <si>
    <t>BurhÄnuddin</t>
  </si>
  <si>
    <t>Rora</t>
  </si>
  <si>
    <t>Hennington</t>
  </si>
  <si>
    <t>rhennington21@g.co</t>
  </si>
  <si>
    <t>578 703 2099</t>
  </si>
  <si>
    <t>JhingergÄcha</t>
  </si>
  <si>
    <t>Rudie</t>
  </si>
  <si>
    <t>Sommersett</t>
  </si>
  <si>
    <t>rsommersett22@army.mil</t>
  </si>
  <si>
    <t>444 165 4509</t>
  </si>
  <si>
    <t>Uriah</t>
  </si>
  <si>
    <t>McClary</t>
  </si>
  <si>
    <t>umcclary23@sphinn.com</t>
  </si>
  <si>
    <t>822 658 8084</t>
  </si>
  <si>
    <t>Gafargaon</t>
  </si>
  <si>
    <t>Kenon</t>
  </si>
  <si>
    <t>Bellon</t>
  </si>
  <si>
    <t>kbellon24@noaa.gov</t>
  </si>
  <si>
    <t>339 838 7658</t>
  </si>
  <si>
    <t>Sylhet</t>
  </si>
  <si>
    <t>Ange</t>
  </si>
  <si>
    <t>Haydock</t>
  </si>
  <si>
    <t>ahaydock25@jigsy.com</t>
  </si>
  <si>
    <t>624 966 3077</t>
  </si>
  <si>
    <t>Janel</t>
  </si>
  <si>
    <t>Gotfrey</t>
  </si>
  <si>
    <t>jgotfrey26@taobao.com</t>
  </si>
  <si>
    <t>833 177 2931</t>
  </si>
  <si>
    <t>Rhodia</t>
  </si>
  <si>
    <t>Cleft</t>
  </si>
  <si>
    <t>rcleft27@auda.org.au</t>
  </si>
  <si>
    <t>915 224 0054</t>
  </si>
  <si>
    <t>Val</t>
  </si>
  <si>
    <t>Odell</t>
  </si>
  <si>
    <t>vodell28@auda.org.au</t>
  </si>
  <si>
    <t>508 597 6466</t>
  </si>
  <si>
    <t>Danielovitch</t>
  </si>
  <si>
    <t>tdanielovitch29@storify.com</t>
  </si>
  <si>
    <t>278 679 3581</t>
  </si>
  <si>
    <t>HÄjÄ«ganj</t>
  </si>
  <si>
    <t>Gavin</t>
  </si>
  <si>
    <t>Lawrey</t>
  </si>
  <si>
    <t>glawrey2a@google.nl</t>
  </si>
  <si>
    <t>249 696 1801</t>
  </si>
  <si>
    <t>KÄlÄ«ganj</t>
  </si>
  <si>
    <t>Ailina</t>
  </si>
  <si>
    <t>McVicar</t>
  </si>
  <si>
    <t>amcvicar2b@amazon.co.uk</t>
  </si>
  <si>
    <t>769 238 9574</t>
  </si>
  <si>
    <t>Norman</t>
  </si>
  <si>
    <t>Stancer</t>
  </si>
  <si>
    <t>nstancer2c@free.fr</t>
  </si>
  <si>
    <t>784 632 1624</t>
  </si>
  <si>
    <t>Carina</t>
  </si>
  <si>
    <t>Baytrop</t>
  </si>
  <si>
    <t>cbaytrop2d@dropbox.com</t>
  </si>
  <si>
    <t>231 144 5091</t>
  </si>
  <si>
    <t>Xenos</t>
  </si>
  <si>
    <t>Mills</t>
  </si>
  <si>
    <t>xmills2e@last.fm</t>
  </si>
  <si>
    <t>307 579 2258</t>
  </si>
  <si>
    <t>Vale</t>
  </si>
  <si>
    <t>Freiburger</t>
  </si>
  <si>
    <t>vfreiburger2f@sitemeter.com</t>
  </si>
  <si>
    <t>888 177 1930</t>
  </si>
  <si>
    <t>NawÄbganj</t>
  </si>
  <si>
    <t>Yance</t>
  </si>
  <si>
    <t>Whistlecraft</t>
  </si>
  <si>
    <t>ywhistlecraft2g@bluehost.com</t>
  </si>
  <si>
    <t>732 825 3960</t>
  </si>
  <si>
    <t>Daniel</t>
  </si>
  <si>
    <t>Bonfield</t>
  </si>
  <si>
    <t>dbonfield2h@elpais.com</t>
  </si>
  <si>
    <t>398 542 4889</t>
  </si>
  <si>
    <t>Anny</t>
  </si>
  <si>
    <t>Dowd</t>
  </si>
  <si>
    <t>adowd2i@microsoft.com</t>
  </si>
  <si>
    <t>818 673 6991</t>
  </si>
  <si>
    <t>Manikchari</t>
  </si>
  <si>
    <t>Lorna</t>
  </si>
  <si>
    <t>Chaize</t>
  </si>
  <si>
    <t>lchaize2j@php.net</t>
  </si>
  <si>
    <t>696 890 5351</t>
  </si>
  <si>
    <t>Callean</t>
  </si>
  <si>
    <t>Melby</t>
  </si>
  <si>
    <t>cmelby2k@cbc.ca</t>
  </si>
  <si>
    <t>444 107 7504</t>
  </si>
  <si>
    <t>Lissy</t>
  </si>
  <si>
    <t>Biddwell</t>
  </si>
  <si>
    <t>lbiddwell2l@elpais.com</t>
  </si>
  <si>
    <t>726 760 2555</t>
  </si>
  <si>
    <t>Didi</t>
  </si>
  <si>
    <t>Bulmer</t>
  </si>
  <si>
    <t>dbulmer2m@intel.com</t>
  </si>
  <si>
    <t>712 421 1663</t>
  </si>
  <si>
    <t>Amanda</t>
  </si>
  <si>
    <t>Niesel</t>
  </si>
  <si>
    <t>aniesel2n@jiathis.com</t>
  </si>
  <si>
    <t>744 136 8320</t>
  </si>
  <si>
    <t>Weidar</t>
  </si>
  <si>
    <t>McErlaine</t>
  </si>
  <si>
    <t>wmcerlaine2o@goodreads.com</t>
  </si>
  <si>
    <t>874 107 7509</t>
  </si>
  <si>
    <t>Corrine</t>
  </si>
  <si>
    <t>Loveard</t>
  </si>
  <si>
    <t>cloveard2p@paginegialle.it</t>
  </si>
  <si>
    <t>408 622 2375</t>
  </si>
  <si>
    <t>Philbert</t>
  </si>
  <si>
    <t>Treffrey</t>
  </si>
  <si>
    <t>ptreffrey2q@apple.com</t>
  </si>
  <si>
    <t>479 416 6873</t>
  </si>
  <si>
    <t>Felic</t>
  </si>
  <si>
    <t>Daughtrey</t>
  </si>
  <si>
    <t>fdaughtrey2r@a8.net</t>
  </si>
  <si>
    <t>172 980 3780</t>
  </si>
  <si>
    <t>Tierney</t>
  </si>
  <si>
    <t>Velde</t>
  </si>
  <si>
    <t>tvelde2s@blinklist.com</t>
  </si>
  <si>
    <t>538 544 4505</t>
  </si>
  <si>
    <t>Lenard</t>
  </si>
  <si>
    <t>Pettit</t>
  </si>
  <si>
    <t>lpettit2t@harvard.edu</t>
  </si>
  <si>
    <t>592 875 3256</t>
  </si>
  <si>
    <t>Cordula</t>
  </si>
  <si>
    <t>Yegorkov</t>
  </si>
  <si>
    <t>cyegorkov2u@hhs.gov</t>
  </si>
  <si>
    <t>686 221 6931</t>
  </si>
  <si>
    <t>Kesabpur</t>
  </si>
  <si>
    <t>Katherina</t>
  </si>
  <si>
    <t>Deyenhardt</t>
  </si>
  <si>
    <t>kdeyenhardt2v@amazon.com</t>
  </si>
  <si>
    <t>720 237 4919</t>
  </si>
  <si>
    <t>Deidre</t>
  </si>
  <si>
    <t>Tuma</t>
  </si>
  <si>
    <t>dtuma2w@indiatimes.com</t>
  </si>
  <si>
    <t>769 513 6272</t>
  </si>
  <si>
    <t>Georgeanna</t>
  </si>
  <si>
    <t>Leile</t>
  </si>
  <si>
    <t>gleile2x@globo.com</t>
  </si>
  <si>
    <t>370 454 9136</t>
  </si>
  <si>
    <t>Erena</t>
  </si>
  <si>
    <t>Rathborne</t>
  </si>
  <si>
    <t>erathborne2y@yellowpages.com</t>
  </si>
  <si>
    <t>786 735 8409</t>
  </si>
  <si>
    <t>FarÄ«dpur</t>
  </si>
  <si>
    <t>Jasmine</t>
  </si>
  <si>
    <t>Skellern</t>
  </si>
  <si>
    <t>jskellern2z@timesonline.co.uk</t>
  </si>
  <si>
    <t>333 435 3721</t>
  </si>
  <si>
    <t>Cristine</t>
  </si>
  <si>
    <t>Crotch</t>
  </si>
  <si>
    <t>ccrotch30@biblegateway.com</t>
  </si>
  <si>
    <t>375 972 4394</t>
  </si>
  <si>
    <t>Kasper</t>
  </si>
  <si>
    <t>Dowglass</t>
  </si>
  <si>
    <t>kdowglass31@rambler.ru</t>
  </si>
  <si>
    <t>664 978 6606</t>
  </si>
  <si>
    <t>Howey</t>
  </si>
  <si>
    <t>Blondelle</t>
  </si>
  <si>
    <t>hblondelle32@walmart.com</t>
  </si>
  <si>
    <t>957 936 0526</t>
  </si>
  <si>
    <t>Linc</t>
  </si>
  <si>
    <t>Twiname</t>
  </si>
  <si>
    <t>ltwiname33@census.gov</t>
  </si>
  <si>
    <t>916 230 3297</t>
  </si>
  <si>
    <t>Denice</t>
  </si>
  <si>
    <t>Ridout</t>
  </si>
  <si>
    <t>dridout34@pinterest.com</t>
  </si>
  <si>
    <t>882 440 3221</t>
  </si>
  <si>
    <t>Griffith</t>
  </si>
  <si>
    <t>Meegan</t>
  </si>
  <si>
    <t>gmeegan35@parallels.com</t>
  </si>
  <si>
    <t>213 106 5891</t>
  </si>
  <si>
    <t>Isidora</t>
  </si>
  <si>
    <t>Swaisland</t>
  </si>
  <si>
    <t>iswaisland36@youtu.be</t>
  </si>
  <si>
    <t>990 531 2227</t>
  </si>
  <si>
    <t>Antonietta</t>
  </si>
  <si>
    <t>Willacot</t>
  </si>
  <si>
    <t>awillacot37@ustream.tv</t>
  </si>
  <si>
    <t>235 769 2593</t>
  </si>
  <si>
    <t>Wallie</t>
  </si>
  <si>
    <t>Swaine</t>
  </si>
  <si>
    <t>wswaine38@theguardian.com</t>
  </si>
  <si>
    <t>180 596 1257</t>
  </si>
  <si>
    <t>Clarabelle</t>
  </si>
  <si>
    <t>Dulin</t>
  </si>
  <si>
    <t>cdulin39@springer.com</t>
  </si>
  <si>
    <t>743 333 4577</t>
  </si>
  <si>
    <t>Sherpur</t>
  </si>
  <si>
    <t>Lolita</t>
  </si>
  <si>
    <t>Ketteman</t>
  </si>
  <si>
    <t>lketteman3a@tinypic.com</t>
  </si>
  <si>
    <t>273 554 3782</t>
  </si>
  <si>
    <t>Aldric</t>
  </si>
  <si>
    <t>Dotterill</t>
  </si>
  <si>
    <t>adotterill3b@alibaba.com</t>
  </si>
  <si>
    <t>371 534 1168</t>
  </si>
  <si>
    <t>MÄdÄrÄ«pur</t>
  </si>
  <si>
    <t>North</t>
  </si>
  <si>
    <t>Romme</t>
  </si>
  <si>
    <t>nromme3c@opensource.org</t>
  </si>
  <si>
    <t>985 557 5701</t>
  </si>
  <si>
    <t>Madelle</t>
  </si>
  <si>
    <t>Rosentholer</t>
  </si>
  <si>
    <t>mrosentholer3d@ibm.com</t>
  </si>
  <si>
    <t>283 495 0079</t>
  </si>
  <si>
    <t>Fatikchari</t>
  </si>
  <si>
    <t>Reinaldo</t>
  </si>
  <si>
    <t>Llopis</t>
  </si>
  <si>
    <t>rllopis3e@plala.or.jp</t>
  </si>
  <si>
    <t>656 618 8606</t>
  </si>
  <si>
    <t>Sheilakathryn</t>
  </si>
  <si>
    <t>MacCardle</t>
  </si>
  <si>
    <t>smaccardle3f@spiegel.de</t>
  </si>
  <si>
    <t>735 160 9224</t>
  </si>
  <si>
    <t>Hugibert</t>
  </si>
  <si>
    <t>Roth</t>
  </si>
  <si>
    <t>hroth3g@networksolutions.com</t>
  </si>
  <si>
    <t>385 875 6509</t>
  </si>
  <si>
    <t>Evie</t>
  </si>
  <si>
    <t>Dobsons</t>
  </si>
  <si>
    <t>edobsons3h@hc360.com</t>
  </si>
  <si>
    <t>328 422 3623</t>
  </si>
  <si>
    <t>Cord</t>
  </si>
  <si>
    <t>Krabbe</t>
  </si>
  <si>
    <t>ckrabbe3i@walmart.com</t>
  </si>
  <si>
    <t>399 392 5061</t>
  </si>
  <si>
    <t>ShÄhzÄdpur</t>
  </si>
  <si>
    <t>Lyndsey</t>
  </si>
  <si>
    <t>Boldock</t>
  </si>
  <si>
    <t>lboldock3j@qq.com</t>
  </si>
  <si>
    <t>399 693 4271</t>
  </si>
  <si>
    <t>Daisey</t>
  </si>
  <si>
    <t>Haddeston</t>
  </si>
  <si>
    <t>dhaddeston3k@wufoo.com</t>
  </si>
  <si>
    <t>241 843 3101</t>
  </si>
  <si>
    <t>BarisÄl</t>
  </si>
  <si>
    <t>Maximo</t>
  </si>
  <si>
    <t>Barrington</t>
  </si>
  <si>
    <t>mbarrington3l@exblog.jp</t>
  </si>
  <si>
    <t>461 755 6384</t>
  </si>
  <si>
    <t>Baniachang</t>
  </si>
  <si>
    <t>Davy</t>
  </si>
  <si>
    <t>Rhodes</t>
  </si>
  <si>
    <t>drhodes3m@sina.com.cn</t>
  </si>
  <si>
    <t>885 848 2088</t>
  </si>
  <si>
    <t>Roda</t>
  </si>
  <si>
    <t>Kornousek</t>
  </si>
  <si>
    <t>rkornousek3n@dedecms.com</t>
  </si>
  <si>
    <t>937 354 5973</t>
  </si>
  <si>
    <t>Ruthi</t>
  </si>
  <si>
    <t>MacCarlich</t>
  </si>
  <si>
    <t>rmaccarlich3o@google.ru</t>
  </si>
  <si>
    <t>565 342 5292</t>
  </si>
  <si>
    <t>Pearla</t>
  </si>
  <si>
    <t>Whybrow</t>
  </si>
  <si>
    <t>pwhybrow3p@telegraph.co.uk</t>
  </si>
  <si>
    <t>601 669 1037</t>
  </si>
  <si>
    <t>Dhaka</t>
  </si>
  <si>
    <t>Carrol</t>
  </si>
  <si>
    <t>Minihane</t>
  </si>
  <si>
    <t>cminihane3q@studiopress.com</t>
  </si>
  <si>
    <t>378 557 3980</t>
  </si>
  <si>
    <t>Millisent</t>
  </si>
  <si>
    <t>Roma</t>
  </si>
  <si>
    <t>mroma3r@vk.com</t>
  </si>
  <si>
    <t>331 133 8546</t>
  </si>
  <si>
    <t>Joypur HÄt</t>
  </si>
  <si>
    <t>Talia</t>
  </si>
  <si>
    <t>Bould</t>
  </si>
  <si>
    <t>tbould3s@mayoclinic.com</t>
  </si>
  <si>
    <t>842 552 6872</t>
  </si>
  <si>
    <t>Rob</t>
  </si>
  <si>
    <t>Rowena</t>
  </si>
  <si>
    <t>rrowena3t@irs.gov</t>
  </si>
  <si>
    <t>373 180 3458</t>
  </si>
  <si>
    <t>Sancho</t>
  </si>
  <si>
    <t>Coney</t>
  </si>
  <si>
    <t>sconey3u@cbc.ca</t>
  </si>
  <si>
    <t>152 615 5868</t>
  </si>
  <si>
    <t>Nowlamary</t>
  </si>
  <si>
    <t>Addy</t>
  </si>
  <si>
    <t>Romke</t>
  </si>
  <si>
    <t>aromke3v@craigslist.org</t>
  </si>
  <si>
    <t>339 354 3848</t>
  </si>
  <si>
    <t>Caro</t>
  </si>
  <si>
    <t>Kuschke</t>
  </si>
  <si>
    <t>ckuschke3w@ebay.com</t>
  </si>
  <si>
    <t>183 778 7160</t>
  </si>
  <si>
    <t>Rangpur</t>
  </si>
  <si>
    <t>Vivie</t>
  </si>
  <si>
    <t>Kelsow</t>
  </si>
  <si>
    <t>vkelsow3x@typepad.com</t>
  </si>
  <si>
    <t>143 882 2083</t>
  </si>
  <si>
    <t>Badarganj</t>
  </si>
  <si>
    <t>Neel</t>
  </si>
  <si>
    <t>Partrick</t>
  </si>
  <si>
    <t>npartrick3y@aol.com</t>
  </si>
  <si>
    <t>272 811 5462</t>
  </si>
  <si>
    <t>ChhÄtak</t>
  </si>
  <si>
    <t>Any</t>
  </si>
  <si>
    <t>Postlewhite</t>
  </si>
  <si>
    <t>apostlewhite3z@posterous.com</t>
  </si>
  <si>
    <t>578 403 1599</t>
  </si>
  <si>
    <t>Carny</t>
  </si>
  <si>
    <t>Tapsell</t>
  </si>
  <si>
    <t>ctapsell40@mysql.com</t>
  </si>
  <si>
    <t>635 774 6070</t>
  </si>
  <si>
    <t>Marta</t>
  </si>
  <si>
    <t>Pudden</t>
  </si>
  <si>
    <t>mpudden41@ebay.com</t>
  </si>
  <si>
    <t>250 432 8473</t>
  </si>
  <si>
    <t>ChhÄgalnÄiya</t>
  </si>
  <si>
    <t>Erny</t>
  </si>
  <si>
    <t>Kirsop</t>
  </si>
  <si>
    <t>ekirsop42@umich.edu</t>
  </si>
  <si>
    <t>324 167 1114</t>
  </si>
  <si>
    <t>TeknÄf</t>
  </si>
  <si>
    <t>Brocky</t>
  </si>
  <si>
    <t>Neising</t>
  </si>
  <si>
    <t>bneising43@apple.com</t>
  </si>
  <si>
    <t>255 261 4258</t>
  </si>
  <si>
    <t>Kylie</t>
  </si>
  <si>
    <t>Braker</t>
  </si>
  <si>
    <t>kbraker44@usatoday.com</t>
  </si>
  <si>
    <t>577 324 8780</t>
  </si>
  <si>
    <t>NÄgarpur</t>
  </si>
  <si>
    <t>Silvia</t>
  </si>
  <si>
    <t>Sawart</t>
  </si>
  <si>
    <t>ssawart45@tripod.com</t>
  </si>
  <si>
    <t>547 432 6015</t>
  </si>
  <si>
    <t>Andriette</t>
  </si>
  <si>
    <t>Gulleford</t>
  </si>
  <si>
    <t>agulleford46@sphinn.com</t>
  </si>
  <si>
    <t>762 486 9475</t>
  </si>
  <si>
    <t>Robbi</t>
  </si>
  <si>
    <t>Ridgeway</t>
  </si>
  <si>
    <t>rridgeway47@engadget.com</t>
  </si>
  <si>
    <t>160 288 3482</t>
  </si>
  <si>
    <t>ChilmÄri</t>
  </si>
  <si>
    <t>Cointon</t>
  </si>
  <si>
    <t>Duddin</t>
  </si>
  <si>
    <t>cduddin48@umn.edu</t>
  </si>
  <si>
    <t>415 699 9697</t>
  </si>
  <si>
    <t>PÄ«rgaaj</t>
  </si>
  <si>
    <t>Sharity</t>
  </si>
  <si>
    <t>Pegg</t>
  </si>
  <si>
    <t>spegg49@redcross.org</t>
  </si>
  <si>
    <t>615 186 7432</t>
  </si>
  <si>
    <t>Jimmy</t>
  </si>
  <si>
    <t>Willimot</t>
  </si>
  <si>
    <t>jwillimot4a@delicious.com</t>
  </si>
  <si>
    <t>453 474 8360</t>
  </si>
  <si>
    <t>Karlotte</t>
  </si>
  <si>
    <t>Entres</t>
  </si>
  <si>
    <t>kentres4b@pcworld.com</t>
  </si>
  <si>
    <t>834 217 0443</t>
  </si>
  <si>
    <t>Lorena</t>
  </si>
  <si>
    <t>Croxton</t>
  </si>
  <si>
    <t>lcroxton4c@smugmug.com</t>
  </si>
  <si>
    <t>884 859 3658</t>
  </si>
  <si>
    <t>Calida</t>
  </si>
  <si>
    <t>Puckinghorne</t>
  </si>
  <si>
    <t>cpuckinghorne4d@bloomberg.com</t>
  </si>
  <si>
    <t>284 906 8021</t>
  </si>
  <si>
    <t>Jock</t>
  </si>
  <si>
    <t>Woollard</t>
  </si>
  <si>
    <t>jwoollard4e@macromedia.com</t>
  </si>
  <si>
    <t>814 415 1908</t>
  </si>
  <si>
    <t>Kelsey</t>
  </si>
  <si>
    <t>Gyurkovics</t>
  </si>
  <si>
    <t>kgyurkovics4f@chicagotribune.com</t>
  </si>
  <si>
    <t>489 757 8259</t>
  </si>
  <si>
    <t>Samuel</t>
  </si>
  <si>
    <t>Ragot</t>
  </si>
  <si>
    <t>sragot4g@techcrunch.com</t>
  </si>
  <si>
    <t>563 654 1191</t>
  </si>
  <si>
    <t>Dora</t>
  </si>
  <si>
    <t>Asken</t>
  </si>
  <si>
    <t>dasken4h@state.tx.us</t>
  </si>
  <si>
    <t>100 234 9082</t>
  </si>
  <si>
    <t>Cari</t>
  </si>
  <si>
    <t>Corten</t>
  </si>
  <si>
    <t>ccorten4i@lulu.com</t>
  </si>
  <si>
    <t>768 162 9597</t>
  </si>
  <si>
    <t>Piotr</t>
  </si>
  <si>
    <t>Stampe</t>
  </si>
  <si>
    <t>pstampe4j@senate.gov</t>
  </si>
  <si>
    <t>713 394 8879</t>
  </si>
  <si>
    <t>Delora</t>
  </si>
  <si>
    <t>Makepeace</t>
  </si>
  <si>
    <t>dmakepeace4k@cisco.com</t>
  </si>
  <si>
    <t>821 204 0786</t>
  </si>
  <si>
    <t>Belvia</t>
  </si>
  <si>
    <t>Janicijevic</t>
  </si>
  <si>
    <t>bjanicijevic4l@howstuffworks.com</t>
  </si>
  <si>
    <t>899 707 6208</t>
  </si>
  <si>
    <t>Carolyn</t>
  </si>
  <si>
    <t>Havill</t>
  </si>
  <si>
    <t>chavill4m@ycombinator.com</t>
  </si>
  <si>
    <t>799 647 0503</t>
  </si>
  <si>
    <t>Pris</t>
  </si>
  <si>
    <t>Speechly</t>
  </si>
  <si>
    <t>pspeechly4n@mapy.cz</t>
  </si>
  <si>
    <t>771 942 5395</t>
  </si>
  <si>
    <t>Nara</t>
  </si>
  <si>
    <t>Gunning</t>
  </si>
  <si>
    <t>ngunning4o@lulu.com</t>
  </si>
  <si>
    <t>Bigender</t>
  </si>
  <si>
    <t>700 964 3451</t>
  </si>
  <si>
    <t>Allix</t>
  </si>
  <si>
    <t>Hurle</t>
  </si>
  <si>
    <t>ahurle4p@cornell.edu</t>
  </si>
  <si>
    <t>958 320 7357</t>
  </si>
  <si>
    <t>Gabriele</t>
  </si>
  <si>
    <t>Scammonden</t>
  </si>
  <si>
    <t>gscammonden4q@forbes.com</t>
  </si>
  <si>
    <t>114 809 9505</t>
  </si>
  <si>
    <t>ThÄkurgaon</t>
  </si>
  <si>
    <t>Evin</t>
  </si>
  <si>
    <t>Jerger</t>
  </si>
  <si>
    <t>ejerger4r@aboutads.info</t>
  </si>
  <si>
    <t>940 532 4278</t>
  </si>
  <si>
    <t>Tania</t>
  </si>
  <si>
    <t>Wellstood</t>
  </si>
  <si>
    <t>twellstood4s@printfriendly.com</t>
  </si>
  <si>
    <t>987 262 0755</t>
  </si>
  <si>
    <t>Gusty</t>
  </si>
  <si>
    <t>Bolam</t>
  </si>
  <si>
    <t>gbolam4t@narod.ru</t>
  </si>
  <si>
    <t>151 389 4868</t>
  </si>
  <si>
    <t>Sadie</t>
  </si>
  <si>
    <t>Leavold</t>
  </si>
  <si>
    <t>sleavold4u@nyu.edu</t>
  </si>
  <si>
    <t>695 919 8604</t>
  </si>
  <si>
    <t>Seline</t>
  </si>
  <si>
    <t>Reeves</t>
  </si>
  <si>
    <t>sreeves4v@spiegel.de</t>
  </si>
  <si>
    <t>241 433 6562</t>
  </si>
  <si>
    <t>Tan</t>
  </si>
  <si>
    <t>Fridlington</t>
  </si>
  <si>
    <t>tfridlington4w@istockphoto.com</t>
  </si>
  <si>
    <t>709 996 3221</t>
  </si>
  <si>
    <t>Ishurdi</t>
  </si>
  <si>
    <t>Kliment</t>
  </si>
  <si>
    <t>Trustram</t>
  </si>
  <si>
    <t>ktrustram4x@ebay.com</t>
  </si>
  <si>
    <t>631 592 5107</t>
  </si>
  <si>
    <t>Chittagong</t>
  </si>
  <si>
    <t>Goldia</t>
  </si>
  <si>
    <t>Yong</t>
  </si>
  <si>
    <t>gyong4y@goo.ne.jp</t>
  </si>
  <si>
    <t>855 632 1708</t>
  </si>
  <si>
    <t>BÄjitpur</t>
  </si>
  <si>
    <t>Candra</t>
  </si>
  <si>
    <t>Cordall</t>
  </si>
  <si>
    <t>ccordall4z@infoseek.co.jp</t>
  </si>
  <si>
    <t>204 599 5712</t>
  </si>
  <si>
    <t>Lucais</t>
  </si>
  <si>
    <t>Yakuntsov</t>
  </si>
  <si>
    <t>lyakuntsov50@umn.edu</t>
  </si>
  <si>
    <t>661 715 3568</t>
  </si>
  <si>
    <t>Neely</t>
  </si>
  <si>
    <t>Spurge</t>
  </si>
  <si>
    <t>nspurge51@columbia.edu</t>
  </si>
  <si>
    <t>147 453 6275</t>
  </si>
  <si>
    <t>Alma</t>
  </si>
  <si>
    <t>Nelles</t>
  </si>
  <si>
    <t>anelles52@twitter.com</t>
  </si>
  <si>
    <t>822 271 3564</t>
  </si>
  <si>
    <t>Wilhelm</t>
  </si>
  <si>
    <t>Spens</t>
  </si>
  <si>
    <t>wspens53@google.com</t>
  </si>
  <si>
    <t>168 757 6162</t>
  </si>
  <si>
    <t>Randa</t>
  </si>
  <si>
    <t>Dyet</t>
  </si>
  <si>
    <t>rdyet54@godaddy.com</t>
  </si>
  <si>
    <t>575 622 1213</t>
  </si>
  <si>
    <t>Maulavi BÄzÄr</t>
  </si>
  <si>
    <t>Nancey</t>
  </si>
  <si>
    <t>Blyden</t>
  </si>
  <si>
    <t>nblyden55@amazonaws.com</t>
  </si>
  <si>
    <t>594 948 6858</t>
  </si>
  <si>
    <t>Jennette</t>
  </si>
  <si>
    <t>Clinton</t>
  </si>
  <si>
    <t>jclinton56@bravesites.com</t>
  </si>
  <si>
    <t>214 600 6882</t>
  </si>
  <si>
    <t>Konstantin</t>
  </si>
  <si>
    <t>Skettles</t>
  </si>
  <si>
    <t>kskettles57@yahoo.co.jp</t>
  </si>
  <si>
    <t>835 575 1004</t>
  </si>
  <si>
    <t>Arabela</t>
  </si>
  <si>
    <t>Robottom</t>
  </si>
  <si>
    <t>arobottom58@skyrock.com</t>
  </si>
  <si>
    <t>391 225 5473</t>
  </si>
  <si>
    <t>Adelaida</t>
  </si>
  <si>
    <t>Mawd</t>
  </si>
  <si>
    <t>amawd59@kickstarter.com</t>
  </si>
  <si>
    <t>138 652 3340</t>
  </si>
  <si>
    <t>Colleen</t>
  </si>
  <si>
    <t>Root</t>
  </si>
  <si>
    <t>croot5a@jigsy.com</t>
  </si>
  <si>
    <t>181 744 5208</t>
  </si>
  <si>
    <t>Griff</t>
  </si>
  <si>
    <t>Dank</t>
  </si>
  <si>
    <t>gdank5b@sitemeter.com</t>
  </si>
  <si>
    <t>888 353 1829</t>
  </si>
  <si>
    <t>Itch</t>
  </si>
  <si>
    <t>Darth</t>
  </si>
  <si>
    <t>idarth5c@digg.com</t>
  </si>
  <si>
    <t>752 240 6178</t>
  </si>
  <si>
    <t>Lennie</t>
  </si>
  <si>
    <t>McTrusty</t>
  </si>
  <si>
    <t>lmctrusty5d@imageshack.us</t>
  </si>
  <si>
    <t>371 829 5511</t>
  </si>
  <si>
    <t>Shauna</t>
  </si>
  <si>
    <t>MacKim</t>
  </si>
  <si>
    <t>smackim5e@technorati.com</t>
  </si>
  <si>
    <t>615 295 5779</t>
  </si>
  <si>
    <t>Marten</t>
  </si>
  <si>
    <t>Volks</t>
  </si>
  <si>
    <t>mvolks5f@un.org</t>
  </si>
  <si>
    <t>620 481 4284</t>
  </si>
  <si>
    <t>Etti</t>
  </si>
  <si>
    <t>McDyer</t>
  </si>
  <si>
    <t>emcdyer5g@arstechnica.com</t>
  </si>
  <si>
    <t>364 668 1924</t>
  </si>
  <si>
    <t>Thornton</t>
  </si>
  <si>
    <t>Raxworthy</t>
  </si>
  <si>
    <t>traxworthy5h@mapy.cz</t>
  </si>
  <si>
    <t>646 204 3709</t>
  </si>
  <si>
    <t>Worthington</t>
  </si>
  <si>
    <t>Morewood</t>
  </si>
  <si>
    <t>wmorewood5i@technorati.com</t>
  </si>
  <si>
    <t>669 873 0566</t>
  </si>
  <si>
    <t>Meredith</t>
  </si>
  <si>
    <t>Mowbury</t>
  </si>
  <si>
    <t>mmowbury5j@microsoft.com</t>
  </si>
  <si>
    <t>236 424 7643</t>
  </si>
  <si>
    <t>Ailee</t>
  </si>
  <si>
    <t>Galliford</t>
  </si>
  <si>
    <t>agalliford5k@netscape.com</t>
  </si>
  <si>
    <t>904 392 4222</t>
  </si>
  <si>
    <t>Bridget</t>
  </si>
  <si>
    <t>Pettingill</t>
  </si>
  <si>
    <t>bpettingill5l@e-recht24.de</t>
  </si>
  <si>
    <t>264 705 9408</t>
  </si>
  <si>
    <t>Mellicent</t>
  </si>
  <si>
    <t>Staunton</t>
  </si>
  <si>
    <t>mstaunton5m@surveymonkey.com</t>
  </si>
  <si>
    <t>252 531 3290</t>
  </si>
  <si>
    <t>Gilbert</t>
  </si>
  <si>
    <t>Annandale</t>
  </si>
  <si>
    <t>gannandale5n@artisteer.com</t>
  </si>
  <si>
    <t>458 588 3284</t>
  </si>
  <si>
    <t>Pirojpur</t>
  </si>
  <si>
    <t>Gladi</t>
  </si>
  <si>
    <t>Thaxter</t>
  </si>
  <si>
    <t>gthaxter5o@vistaprint.com</t>
  </si>
  <si>
    <t>419 846 1918</t>
  </si>
  <si>
    <t>Anestassia</t>
  </si>
  <si>
    <t>Dempster</t>
  </si>
  <si>
    <t>adempster5p@hc360.com</t>
  </si>
  <si>
    <t>512 668 2854</t>
  </si>
  <si>
    <t>Ignacio</t>
  </si>
  <si>
    <t>Thomke</t>
  </si>
  <si>
    <t>ithomke5q@pinterest.com</t>
  </si>
  <si>
    <t>571 599 9250</t>
  </si>
  <si>
    <t>Heindrick</t>
  </si>
  <si>
    <t>Bausmann</t>
  </si>
  <si>
    <t>hbausmann5r@oakley.com</t>
  </si>
  <si>
    <t>306 664 4099</t>
  </si>
  <si>
    <t>Nageswari</t>
  </si>
  <si>
    <t>Allister</t>
  </si>
  <si>
    <t>Murname</t>
  </si>
  <si>
    <t>amurname5s@zdnet.com</t>
  </si>
  <si>
    <t>467 563 1845</t>
  </si>
  <si>
    <t>Doralynn</t>
  </si>
  <si>
    <t>Stobie</t>
  </si>
  <si>
    <t>dstobie5t@abc.net.au</t>
  </si>
  <si>
    <t>449 642 6845</t>
  </si>
  <si>
    <t>Lezlie</t>
  </si>
  <si>
    <t>Stredwick</t>
  </si>
  <si>
    <t>lstredwick5u@sogou.com</t>
  </si>
  <si>
    <t>405 268 3337</t>
  </si>
  <si>
    <t>Rosy</t>
  </si>
  <si>
    <t>Fitzer</t>
  </si>
  <si>
    <t>rfitzer5v@ucsd.edu</t>
  </si>
  <si>
    <t>353 623 6759</t>
  </si>
  <si>
    <t>Klarika</t>
  </si>
  <si>
    <t>Cahillane</t>
  </si>
  <si>
    <t>kcahillane5w@harvard.edu</t>
  </si>
  <si>
    <t>460 771 0729</t>
  </si>
  <si>
    <t>Rhona</t>
  </si>
  <si>
    <t>Fairlem</t>
  </si>
  <si>
    <t>rfairlem5x@yolasite.com</t>
  </si>
  <si>
    <t>931 608 8483</t>
  </si>
  <si>
    <t>Gabi</t>
  </si>
  <si>
    <t>Laugharne</t>
  </si>
  <si>
    <t>glaugharne5y@oaic.gov.au</t>
  </si>
  <si>
    <t>445 858 8234</t>
  </si>
  <si>
    <t>Kiri</t>
  </si>
  <si>
    <t>Menaul</t>
  </si>
  <si>
    <t>kmenaul5z@joomla.org</t>
  </si>
  <si>
    <t>749 360 2893</t>
  </si>
  <si>
    <t>Caleb</t>
  </si>
  <si>
    <t>Crudge</t>
  </si>
  <si>
    <t>ccrudge60@nymag.com</t>
  </si>
  <si>
    <t>672 628 4243</t>
  </si>
  <si>
    <t>Maurita</t>
  </si>
  <si>
    <t>Masser</t>
  </si>
  <si>
    <t>mmasser61@mayoclinic.com</t>
  </si>
  <si>
    <t>678 587 4629</t>
  </si>
  <si>
    <t>Tyrus</t>
  </si>
  <si>
    <t>Hasling</t>
  </si>
  <si>
    <t>thasling62@dagondesign.com</t>
  </si>
  <si>
    <t>842 389 5059</t>
  </si>
  <si>
    <t>Fred</t>
  </si>
  <si>
    <t>Paynes</t>
  </si>
  <si>
    <t>fpaynes63@nymag.com</t>
  </si>
  <si>
    <t>347 574 3790</t>
  </si>
  <si>
    <t>Florenza</t>
  </si>
  <si>
    <t>Roocroft</t>
  </si>
  <si>
    <t>froocroft64@abc.net.au</t>
  </si>
  <si>
    <t>223 123 8909</t>
  </si>
  <si>
    <t>Ossie</t>
  </si>
  <si>
    <t>Watt</t>
  </si>
  <si>
    <t>owatt65@ted.com</t>
  </si>
  <si>
    <t>191 792 5663</t>
  </si>
  <si>
    <t>Emalee</t>
  </si>
  <si>
    <t>Clem</t>
  </si>
  <si>
    <t>eclem66@usnews.com</t>
  </si>
  <si>
    <t>396 573 4909</t>
  </si>
  <si>
    <t>Challiss</t>
  </si>
  <si>
    <t>hchalliss67@cyberchimps.com</t>
  </si>
  <si>
    <t>736 366 8950</t>
  </si>
  <si>
    <t>Emmerich</t>
  </si>
  <si>
    <t>Calderhead</t>
  </si>
  <si>
    <t>ecalderhead68@goo.gl</t>
  </si>
  <si>
    <t>507 343 8951</t>
  </si>
  <si>
    <t>Isidro</t>
  </si>
  <si>
    <t>Gerner</t>
  </si>
  <si>
    <t>igerner69@friendfeed.com</t>
  </si>
  <si>
    <t>355 562 5303</t>
  </si>
  <si>
    <t>Gwyneth</t>
  </si>
  <si>
    <t>Mordan</t>
  </si>
  <si>
    <t>gmordan6a@trellian.com</t>
  </si>
  <si>
    <t>803 865 2776</t>
  </si>
  <si>
    <t>Alister</t>
  </si>
  <si>
    <t>Mewis</t>
  </si>
  <si>
    <t>amewis6b@cpanel.net</t>
  </si>
  <si>
    <t>343 975 1586</t>
  </si>
  <si>
    <t>Francois</t>
  </si>
  <si>
    <t>Gumey</t>
  </si>
  <si>
    <t>fgumey6c@bloglovin.com</t>
  </si>
  <si>
    <t>742 828 1032</t>
  </si>
  <si>
    <t>Patiya</t>
  </si>
  <si>
    <t>Gypsy</t>
  </si>
  <si>
    <t>Torre</t>
  </si>
  <si>
    <t>gtorre6d@go.com</t>
  </si>
  <si>
    <t>767 992 9195</t>
  </si>
  <si>
    <t>Desmond</t>
  </si>
  <si>
    <t>Jaskowicz</t>
  </si>
  <si>
    <t>djaskowicz6e@unicef.org</t>
  </si>
  <si>
    <t>895 749 9832</t>
  </si>
  <si>
    <t>Addison</t>
  </si>
  <si>
    <t>Swindell</t>
  </si>
  <si>
    <t>aswindell6f@state.tx.us</t>
  </si>
  <si>
    <t>268 313 8499</t>
  </si>
  <si>
    <t>Sashenka</t>
  </si>
  <si>
    <t>Zywicki</t>
  </si>
  <si>
    <t>szywicki6g@rediff.com</t>
  </si>
  <si>
    <t>589 195 6392</t>
  </si>
  <si>
    <t>Dimitri</t>
  </si>
  <si>
    <t>Povall</t>
  </si>
  <si>
    <t>dpovall6h@hud.gov</t>
  </si>
  <si>
    <t>297 175 6017</t>
  </si>
  <si>
    <t>Gail</t>
  </si>
  <si>
    <t>Willers</t>
  </si>
  <si>
    <t>gwillers6i@intel.com</t>
  </si>
  <si>
    <t>804 387 9255</t>
  </si>
  <si>
    <t>Patrice</t>
  </si>
  <si>
    <t>Dionisio</t>
  </si>
  <si>
    <t>pdionisio6j@elpais.com</t>
  </si>
  <si>
    <t>604 207 9486</t>
  </si>
  <si>
    <t>Rollins</t>
  </si>
  <si>
    <t>Kent</t>
  </si>
  <si>
    <t>rkent6k@creativecommons.org</t>
  </si>
  <si>
    <t>383 445 9400</t>
  </si>
  <si>
    <t>Jamesy</t>
  </si>
  <si>
    <t>Thay</t>
  </si>
  <si>
    <t>jthay6l@nymag.com</t>
  </si>
  <si>
    <t>272 458 3407</t>
  </si>
  <si>
    <t>Margarete</t>
  </si>
  <si>
    <t>Maidlow</t>
  </si>
  <si>
    <t>mmaidlow6m@princeton.edu</t>
  </si>
  <si>
    <t>801 844 2972</t>
  </si>
  <si>
    <t>Thorndike</t>
  </si>
  <si>
    <t>Storah</t>
  </si>
  <si>
    <t>tstorah6n@indiegogo.com</t>
  </si>
  <si>
    <t>597 801 9071</t>
  </si>
  <si>
    <t>Boony</t>
  </si>
  <si>
    <t>Massen</t>
  </si>
  <si>
    <t>bmassen6o@livejournal.com</t>
  </si>
  <si>
    <t>720 684 1737</t>
  </si>
  <si>
    <t>Nikoletta</t>
  </si>
  <si>
    <t>Lind</t>
  </si>
  <si>
    <t>nlind6p@shop-pro.jp</t>
  </si>
  <si>
    <t>381 252 3161</t>
  </si>
  <si>
    <t>Cheryl</t>
  </si>
  <si>
    <t>Tease</t>
  </si>
  <si>
    <t>ctease6q@icio.us</t>
  </si>
  <si>
    <t>758 801 9139</t>
  </si>
  <si>
    <t>Randene</t>
  </si>
  <si>
    <t>Hacker</t>
  </si>
  <si>
    <t>rhacker6r@shutterfly.com</t>
  </si>
  <si>
    <t>339 572 1563</t>
  </si>
  <si>
    <t>Adriano</t>
  </si>
  <si>
    <t>Razoux</t>
  </si>
  <si>
    <t>arazoux6s@elpais.com</t>
  </si>
  <si>
    <t>363 272 2047</t>
  </si>
  <si>
    <t>Pail</t>
  </si>
  <si>
    <t>Devany</t>
  </si>
  <si>
    <t>pdevany6t@diigo.com</t>
  </si>
  <si>
    <t>109 749 4995</t>
  </si>
  <si>
    <t>Lucas</t>
  </si>
  <si>
    <t>Zelner</t>
  </si>
  <si>
    <t>lzelner6u@theglobeandmail.com</t>
  </si>
  <si>
    <t>480 825 4069</t>
  </si>
  <si>
    <t>Dewie</t>
  </si>
  <si>
    <t>McCraine</t>
  </si>
  <si>
    <t>dmccraine6v@apple.com</t>
  </si>
  <si>
    <t>986 797 3615</t>
  </si>
  <si>
    <t>Gordy</t>
  </si>
  <si>
    <t>Stambridge</t>
  </si>
  <si>
    <t>gstambridge6w@de.vu</t>
  </si>
  <si>
    <t>444 373 8536</t>
  </si>
  <si>
    <t>Corbett</t>
  </si>
  <si>
    <t>Whistan</t>
  </si>
  <si>
    <t>cwhistan6x@gravatar.com</t>
  </si>
  <si>
    <t>149 868 3692</t>
  </si>
  <si>
    <t>Ulla</t>
  </si>
  <si>
    <t>Scotchmur</t>
  </si>
  <si>
    <t>uscotchmur6y@istockphoto.com</t>
  </si>
  <si>
    <t>727 834 6892</t>
  </si>
  <si>
    <t>PÄlang</t>
  </si>
  <si>
    <t>Valentijn</t>
  </si>
  <si>
    <t>Edlin</t>
  </si>
  <si>
    <t>vedlin6z@goo.gl</t>
  </si>
  <si>
    <t>331 512 6229</t>
  </si>
  <si>
    <t>Orsa</t>
  </si>
  <si>
    <t>Nacey</t>
  </si>
  <si>
    <t>onacey70@barnesandnoble.com</t>
  </si>
  <si>
    <t>751 945 0279</t>
  </si>
  <si>
    <t>Malachi</t>
  </si>
  <si>
    <t>Stonman</t>
  </si>
  <si>
    <t>mstonman71@merriam-webster.com</t>
  </si>
  <si>
    <t>426 419 3461</t>
  </si>
  <si>
    <t>Boy</t>
  </si>
  <si>
    <t>Grayling</t>
  </si>
  <si>
    <t>bgrayling72@jalbum.net</t>
  </si>
  <si>
    <t>554 726 9025</t>
  </si>
  <si>
    <t>Bobina</t>
  </si>
  <si>
    <t>Soall</t>
  </si>
  <si>
    <t>bsoall73@jalbum.net</t>
  </si>
  <si>
    <t>433 910 6536</t>
  </si>
  <si>
    <t>Alysia</t>
  </si>
  <si>
    <t>Malloy</t>
  </si>
  <si>
    <t>amalloy74@smh.com.au</t>
  </si>
  <si>
    <t>700 131 0623</t>
  </si>
  <si>
    <t>Jerad</t>
  </si>
  <si>
    <t>Meade</t>
  </si>
  <si>
    <t>jmeade75@naver.com</t>
  </si>
  <si>
    <t>537 847 1037</t>
  </si>
  <si>
    <t>Ludwig</t>
  </si>
  <si>
    <t>Swett</t>
  </si>
  <si>
    <t>lswett76@amazon.com</t>
  </si>
  <si>
    <t>421 245 5304</t>
  </si>
  <si>
    <t>Annelise</t>
  </si>
  <si>
    <t>Harry</t>
  </si>
  <si>
    <t>aharry77@pagesperso-orange.fr</t>
  </si>
  <si>
    <t>879 741 0338</t>
  </si>
  <si>
    <t>Austen</t>
  </si>
  <si>
    <t>Knatt</t>
  </si>
  <si>
    <t>aknatt78@instagram.com</t>
  </si>
  <si>
    <t>959 573 0033</t>
  </si>
  <si>
    <t>Leo</t>
  </si>
  <si>
    <t>Yurshev</t>
  </si>
  <si>
    <t>lyurshev79@goo.ne.jp</t>
  </si>
  <si>
    <t>738 120 4771</t>
  </si>
  <si>
    <t>Venus</t>
  </si>
  <si>
    <t>Vasilchikov</t>
  </si>
  <si>
    <t>vvasilchikov7a@sciencedaily.com</t>
  </si>
  <si>
    <t>465 115 6762</t>
  </si>
  <si>
    <t>Zachariah</t>
  </si>
  <si>
    <t>Kersting</t>
  </si>
  <si>
    <t>zkersting7b@yolasite.com</t>
  </si>
  <si>
    <t>160 481 5881</t>
  </si>
  <si>
    <t>Brianne</t>
  </si>
  <si>
    <t>Irnys</t>
  </si>
  <si>
    <t>birnys7c@huffingtonpost.com</t>
  </si>
  <si>
    <t>413 435 7557</t>
  </si>
  <si>
    <t>Annadiana</t>
  </si>
  <si>
    <t>Bardill</t>
  </si>
  <si>
    <t>abardill7d@github.com</t>
  </si>
  <si>
    <t>216 562 2583</t>
  </si>
  <si>
    <t>Winnifred</t>
  </si>
  <si>
    <t>Simion</t>
  </si>
  <si>
    <t>wsimion7e@usa.gov</t>
  </si>
  <si>
    <t>817 230 6872</t>
  </si>
  <si>
    <t>Cecilla</t>
  </si>
  <si>
    <t>Lammers</t>
  </si>
  <si>
    <t>clammers7f@xrea.com</t>
  </si>
  <si>
    <t>967 689 0100</t>
  </si>
  <si>
    <t>Page</t>
  </si>
  <si>
    <t>Whiteoak</t>
  </si>
  <si>
    <t>pwhiteoak7g@si.edu</t>
  </si>
  <si>
    <t>563 795 9608</t>
  </si>
  <si>
    <t>Sheelah</t>
  </si>
  <si>
    <t>Endean</t>
  </si>
  <si>
    <t>sendean7h@ebay.com</t>
  </si>
  <si>
    <t>689 884 5657</t>
  </si>
  <si>
    <t>Shaun</t>
  </si>
  <si>
    <t>Minigo</t>
  </si>
  <si>
    <t>sminigo7i@nps.gov</t>
  </si>
  <si>
    <t>718 227 1574</t>
  </si>
  <si>
    <t>JamÄlpur</t>
  </si>
  <si>
    <t>Edouard</t>
  </si>
  <si>
    <t>Disney</t>
  </si>
  <si>
    <t>edisney7j@jigsy.com</t>
  </si>
  <si>
    <t>635 139 8735</t>
  </si>
  <si>
    <t>Jeremias</t>
  </si>
  <si>
    <t>Zolini</t>
  </si>
  <si>
    <t>jzolini7k@miibeian.gov.cn</t>
  </si>
  <si>
    <t>208 770 7544</t>
  </si>
  <si>
    <t>Coreen</t>
  </si>
  <si>
    <t>Cherry</t>
  </si>
  <si>
    <t>ccherry7l@nsw.gov.au</t>
  </si>
  <si>
    <t>490 740 5419</t>
  </si>
  <si>
    <t>Nannie</t>
  </si>
  <si>
    <t>Folbig</t>
  </si>
  <si>
    <t>nfolbig7m@howstuffworks.com</t>
  </si>
  <si>
    <t>131 398 8860</t>
  </si>
  <si>
    <t>Abbye</t>
  </si>
  <si>
    <t>Nyland</t>
  </si>
  <si>
    <t>anyland7n@wikipedia.org</t>
  </si>
  <si>
    <t>625 219 7970</t>
  </si>
  <si>
    <t>Maryjane</t>
  </si>
  <si>
    <t>Moquin</t>
  </si>
  <si>
    <t>mmoquin7o@tamu.edu</t>
  </si>
  <si>
    <t>116 987 3476</t>
  </si>
  <si>
    <t>Kushtia</t>
  </si>
  <si>
    <t>Nisse</t>
  </si>
  <si>
    <t>Harsnep</t>
  </si>
  <si>
    <t>nharsnep7p@webeden.co.uk</t>
  </si>
  <si>
    <t>556 473 0934</t>
  </si>
  <si>
    <t>Titus</t>
  </si>
  <si>
    <t>Butten</t>
  </si>
  <si>
    <t>tbutten7q@bbb.org</t>
  </si>
  <si>
    <t>331 650 1083</t>
  </si>
  <si>
    <t>Alice</t>
  </si>
  <si>
    <t>Robertazzi</t>
  </si>
  <si>
    <t>arobertazzi7r@live.com</t>
  </si>
  <si>
    <t>130 417 7194</t>
  </si>
  <si>
    <t>TÄngÄil</t>
  </si>
  <si>
    <t>Devy</t>
  </si>
  <si>
    <t>Killbey</t>
  </si>
  <si>
    <t>dkillbey7s@bravesites.com</t>
  </si>
  <si>
    <t>892 295 0060</t>
  </si>
  <si>
    <t>Deerdre</t>
  </si>
  <si>
    <t>Bernli</t>
  </si>
  <si>
    <t>dbernli7t@examiner.com</t>
  </si>
  <si>
    <t>386 575 5349</t>
  </si>
  <si>
    <t>Elfrieda</t>
  </si>
  <si>
    <t>MacDearmaid</t>
  </si>
  <si>
    <t>emacdearmaid7u@xinhuanet.com</t>
  </si>
  <si>
    <t>404 791 6634</t>
  </si>
  <si>
    <t>Viviana</t>
  </si>
  <si>
    <t>Littlejohn</t>
  </si>
  <si>
    <t>vlittlejohn7v@berkeley.edu</t>
  </si>
  <si>
    <t>832 228 9306</t>
  </si>
  <si>
    <t>Sheeree</t>
  </si>
  <si>
    <t>Ubanks</t>
  </si>
  <si>
    <t>subanks7w@de.vu</t>
  </si>
  <si>
    <t>712 223 2600</t>
  </si>
  <si>
    <t>Paten</t>
  </si>
  <si>
    <t>Hugin</t>
  </si>
  <si>
    <t>phugin7x@aboutads.info</t>
  </si>
  <si>
    <t>362 415 4009</t>
  </si>
  <si>
    <t>Cassius</t>
  </si>
  <si>
    <t>Redgrove</t>
  </si>
  <si>
    <t>credgrove7y@hubpages.com</t>
  </si>
  <si>
    <t>365 219 8203</t>
  </si>
  <si>
    <t>Moina</t>
  </si>
  <si>
    <t>Christauffour</t>
  </si>
  <si>
    <t>mchristauffour7z@who.int</t>
  </si>
  <si>
    <t>747 658 2305</t>
  </si>
  <si>
    <t>Lindsay</t>
  </si>
  <si>
    <t>Gulland</t>
  </si>
  <si>
    <t>lgulland80@java.com</t>
  </si>
  <si>
    <t>553 731 6180</t>
  </si>
  <si>
    <t>Michal</t>
  </si>
  <si>
    <t>Sparke</t>
  </si>
  <si>
    <t>msparke81@fda.gov</t>
  </si>
  <si>
    <t>941 439 8387</t>
  </si>
  <si>
    <t>Jamal</t>
  </si>
  <si>
    <t>Dewdney</t>
  </si>
  <si>
    <t>jdewdney82@netvibes.com</t>
  </si>
  <si>
    <t>187 744 7741</t>
  </si>
  <si>
    <t>Emmet</t>
  </si>
  <si>
    <t>Saville</t>
  </si>
  <si>
    <t>esaville83@sciencedaily.com</t>
  </si>
  <si>
    <t>597 214 4152</t>
  </si>
  <si>
    <t>Marchall</t>
  </si>
  <si>
    <t>Mousley</t>
  </si>
  <si>
    <t>mmousley84@thetimes.co.uk</t>
  </si>
  <si>
    <t>135 345 5127</t>
  </si>
  <si>
    <t>Winifield</t>
  </si>
  <si>
    <t>Rapp</t>
  </si>
  <si>
    <t>wrapp85@google.com.au</t>
  </si>
  <si>
    <t>927 167 4941</t>
  </si>
  <si>
    <t>Joli</t>
  </si>
  <si>
    <t>Creamer</t>
  </si>
  <si>
    <t>jcreamer86@icio.us</t>
  </si>
  <si>
    <t>796 951 3657</t>
  </si>
  <si>
    <t>Kirby</t>
  </si>
  <si>
    <t>Warder</t>
  </si>
  <si>
    <t>kwarder87@cafepress.com</t>
  </si>
  <si>
    <t>854 545 4943</t>
  </si>
  <si>
    <t>Kinnie</t>
  </si>
  <si>
    <t>Tait</t>
  </si>
  <si>
    <t>ktait88@umich.edu</t>
  </si>
  <si>
    <t>777 960 8816</t>
  </si>
  <si>
    <t>Jeremy</t>
  </si>
  <si>
    <t>Bithany</t>
  </si>
  <si>
    <t>jbithany89@stumbleupon.com</t>
  </si>
  <si>
    <t>345 947 7212</t>
  </si>
  <si>
    <t>Jozef</t>
  </si>
  <si>
    <t>Boodle</t>
  </si>
  <si>
    <t>jboodle8a@google.es</t>
  </si>
  <si>
    <t>536 513 2902</t>
  </si>
  <si>
    <t>Haley</t>
  </si>
  <si>
    <t>Andrzejczak</t>
  </si>
  <si>
    <t>handrzejczak8b@google.pl</t>
  </si>
  <si>
    <t>541 302 6695</t>
  </si>
  <si>
    <t>Susie</t>
  </si>
  <si>
    <t>Bourhill</t>
  </si>
  <si>
    <t>sbourhill8c@yolasite.com</t>
  </si>
  <si>
    <t>767 950 8897</t>
  </si>
  <si>
    <t>Beaufort</t>
  </si>
  <si>
    <t>Bravery</t>
  </si>
  <si>
    <t>bbravery8d@bigcartel.com</t>
  </si>
  <si>
    <t>835 530 7259</t>
  </si>
  <si>
    <t>Torrence</t>
  </si>
  <si>
    <t>Tinwell</t>
  </si>
  <si>
    <t>ttinwell8e@nba.com</t>
  </si>
  <si>
    <t>768 785 6500</t>
  </si>
  <si>
    <t>Ellen</t>
  </si>
  <si>
    <t>Brightwell</t>
  </si>
  <si>
    <t>ebrightwell8f@va.gov</t>
  </si>
  <si>
    <t>846 772 5568</t>
  </si>
  <si>
    <t>Nolan</t>
  </si>
  <si>
    <t>Ikins</t>
  </si>
  <si>
    <t>nikins8g@ycombinator.com</t>
  </si>
  <si>
    <t>499 184 7552</t>
  </si>
  <si>
    <t>Felizio</t>
  </si>
  <si>
    <t>Ewer</t>
  </si>
  <si>
    <t>fewer8h@smugmug.com</t>
  </si>
  <si>
    <t>142 501 2610</t>
  </si>
  <si>
    <t>Kary</t>
  </si>
  <si>
    <t>Tracey</t>
  </si>
  <si>
    <t>ktracey8i@nymag.com</t>
  </si>
  <si>
    <t>475 322 6549</t>
  </si>
  <si>
    <t>Jabez</t>
  </si>
  <si>
    <t>Labroue</t>
  </si>
  <si>
    <t>jlabroue8j@ibm.com</t>
  </si>
  <si>
    <t>534 939 9594</t>
  </si>
  <si>
    <t>Farrel</t>
  </si>
  <si>
    <t>Yele</t>
  </si>
  <si>
    <t>fyele8k@mediafire.com</t>
  </si>
  <si>
    <t>575 859 9397</t>
  </si>
  <si>
    <t>Felicia</t>
  </si>
  <si>
    <t>Sawdon</t>
  </si>
  <si>
    <t>fsawdon8l@comsenz.com</t>
  </si>
  <si>
    <t>382 991 4652</t>
  </si>
  <si>
    <t>Andris</t>
  </si>
  <si>
    <t>Caldairou</t>
  </si>
  <si>
    <t>acaldairou8m@diigo.com</t>
  </si>
  <si>
    <t>448 875 9328</t>
  </si>
  <si>
    <t>Christyna</t>
  </si>
  <si>
    <t>Glavis</t>
  </si>
  <si>
    <t>cglavis8n@theglobeandmail.com</t>
  </si>
  <si>
    <t>224 907 7799</t>
  </si>
  <si>
    <t>Marijn</t>
  </si>
  <si>
    <t>MacCallester</t>
  </si>
  <si>
    <t>mmaccallester8o@ucoz.ru</t>
  </si>
  <si>
    <t>590 167 3120</t>
  </si>
  <si>
    <t>Gamaliel</t>
  </si>
  <si>
    <t>Bims</t>
  </si>
  <si>
    <t>gbims8p@mapy.cz</t>
  </si>
  <si>
    <t>188 880 5672</t>
  </si>
  <si>
    <t>Hendrik</t>
  </si>
  <si>
    <t>Rawson</t>
  </si>
  <si>
    <t>hrawson8q@chron.com</t>
  </si>
  <si>
    <t>802 505 0285</t>
  </si>
  <si>
    <t>Celestyna</t>
  </si>
  <si>
    <t>Guildford</t>
  </si>
  <si>
    <t>cguildford8r@dropbox.com</t>
  </si>
  <si>
    <t>858 140 9515</t>
  </si>
  <si>
    <t>Jordan</t>
  </si>
  <si>
    <t>Arlott</t>
  </si>
  <si>
    <t>jarlott8s@state.tx.us</t>
  </si>
  <si>
    <t>814 163 1213</t>
  </si>
  <si>
    <t>Dierdre</t>
  </si>
  <si>
    <t>Cardenas</t>
  </si>
  <si>
    <t>dcardenas8t@upenn.edu</t>
  </si>
  <si>
    <t>258 752 5362</t>
  </si>
  <si>
    <t>Sherman</t>
  </si>
  <si>
    <t>Edgson</t>
  </si>
  <si>
    <t>sedgson8u@zdnet.com</t>
  </si>
  <si>
    <t>864 732 5290</t>
  </si>
  <si>
    <t>Winson</t>
  </si>
  <si>
    <t>hwinson8v@wiley.com</t>
  </si>
  <si>
    <t>374 836 9161</t>
  </si>
  <si>
    <t>Derek</t>
  </si>
  <si>
    <t>Bleckly</t>
  </si>
  <si>
    <t>dbleckly8w@soup.io</t>
  </si>
  <si>
    <t>252 586 8507</t>
  </si>
  <si>
    <t>Keri</t>
  </si>
  <si>
    <t>Amburgy</t>
  </si>
  <si>
    <t>kamburgy8x@wikispaces.com</t>
  </si>
  <si>
    <t>385 520 1798</t>
  </si>
  <si>
    <t>Dulce</t>
  </si>
  <si>
    <t>Bianco</t>
  </si>
  <si>
    <t>dbianco8y@ifeng.com</t>
  </si>
  <si>
    <t>638 954 6046</t>
  </si>
  <si>
    <t>Hazlegrove</t>
  </si>
  <si>
    <t>ghazlegrove8z@cafepress.com</t>
  </si>
  <si>
    <t>672 773 0084</t>
  </si>
  <si>
    <t>Salvidor</t>
  </si>
  <si>
    <t>Raison</t>
  </si>
  <si>
    <t>sraison90@seesaa.net</t>
  </si>
  <si>
    <t>265 585 5768</t>
  </si>
  <si>
    <t>Eula</t>
  </si>
  <si>
    <t>Berford</t>
  </si>
  <si>
    <t>eberford91@google.cn</t>
  </si>
  <si>
    <t>808 800 1164</t>
  </si>
  <si>
    <t>Regan</t>
  </si>
  <si>
    <t>Schneider</t>
  </si>
  <si>
    <t>rschneider92@marketwatch.com</t>
  </si>
  <si>
    <t>403 529 4327</t>
  </si>
  <si>
    <t>Rosco</t>
  </si>
  <si>
    <t>Chalker</t>
  </si>
  <si>
    <t>rchalker93@naver.com</t>
  </si>
  <si>
    <t>648 726 9173</t>
  </si>
  <si>
    <t>Doris</t>
  </si>
  <si>
    <t>Malthus</t>
  </si>
  <si>
    <t>dmalthus94@state.tx.us</t>
  </si>
  <si>
    <t>574 247 4396</t>
  </si>
  <si>
    <t>Filia</t>
  </si>
  <si>
    <t>Cuel</t>
  </si>
  <si>
    <t>fcuel95@house.gov</t>
  </si>
  <si>
    <t>991 973 6426</t>
  </si>
  <si>
    <t>Vaughan</t>
  </si>
  <si>
    <t>Endacott</t>
  </si>
  <si>
    <t>vendacott96@deliciousdays.com</t>
  </si>
  <si>
    <t>279 783 8081</t>
  </si>
  <si>
    <t>Christel</t>
  </si>
  <si>
    <t>Grayne</t>
  </si>
  <si>
    <t>cgrayne97@gnu.org</t>
  </si>
  <si>
    <t>136 349 4649</t>
  </si>
  <si>
    <t>MuktÄgÄcha</t>
  </si>
  <si>
    <t>Hilliary</t>
  </si>
  <si>
    <t>Dowsett</t>
  </si>
  <si>
    <t>hdowsett98@wsj.com</t>
  </si>
  <si>
    <t>930 396 3899</t>
  </si>
  <si>
    <t>Bernardina</t>
  </si>
  <si>
    <t>Serman</t>
  </si>
  <si>
    <t>bserman99@ning.com</t>
  </si>
  <si>
    <t>569 377 1877</t>
  </si>
  <si>
    <t>Fifine</t>
  </si>
  <si>
    <t>Heisman</t>
  </si>
  <si>
    <t>fheisman9a@webeden.co.uk</t>
  </si>
  <si>
    <t>145 631 3968</t>
  </si>
  <si>
    <t>Jewell</t>
  </si>
  <si>
    <t>Camis</t>
  </si>
  <si>
    <t>jcamis9b@jigsy.com</t>
  </si>
  <si>
    <t>833 470 3070</t>
  </si>
  <si>
    <t>Steffen</t>
  </si>
  <si>
    <t>Pineaux</t>
  </si>
  <si>
    <t>spineaux9c@craigslist.org</t>
  </si>
  <si>
    <t>463 459 8811</t>
  </si>
  <si>
    <t>Travers</t>
  </si>
  <si>
    <t>Tipping</t>
  </si>
  <si>
    <t>ttipping9d@senate.gov</t>
  </si>
  <si>
    <t>808 151 7286</t>
  </si>
  <si>
    <t>Ignaz</t>
  </si>
  <si>
    <t>Odney</t>
  </si>
  <si>
    <t>iodney9e@t.co</t>
  </si>
  <si>
    <t>261 772 8066</t>
  </si>
  <si>
    <t>Michelle</t>
  </si>
  <si>
    <t>Emmatt</t>
  </si>
  <si>
    <t>memmatt9f@va.gov</t>
  </si>
  <si>
    <t>788 565 3618</t>
  </si>
  <si>
    <t>Justen</t>
  </si>
  <si>
    <t>Nunes Nabarro</t>
  </si>
  <si>
    <t>jnunesnabarro9g@taobao.com</t>
  </si>
  <si>
    <t>607 490 9163</t>
  </si>
  <si>
    <t>Delmore</t>
  </si>
  <si>
    <t>Rable</t>
  </si>
  <si>
    <t>drable9h@godaddy.com</t>
  </si>
  <si>
    <t>581 581 7396</t>
  </si>
  <si>
    <t>Scarface</t>
  </si>
  <si>
    <t>Jovasevic</t>
  </si>
  <si>
    <t>sjovasevic9i@creativecommons.org</t>
  </si>
  <si>
    <t>512 633 7204</t>
  </si>
  <si>
    <t>Denni</t>
  </si>
  <si>
    <t>BoHlingolsen</t>
  </si>
  <si>
    <t>dbohlingolsen9j@si.edu</t>
  </si>
  <si>
    <t>464 665 1452</t>
  </si>
  <si>
    <t>Padriac</t>
  </si>
  <si>
    <t>Menendez</t>
  </si>
  <si>
    <t>pmenendez9k@histats.com</t>
  </si>
  <si>
    <t>707 150 0871</t>
  </si>
  <si>
    <t>Haze</t>
  </si>
  <si>
    <t>Simonitto</t>
  </si>
  <si>
    <t>hsimonitto9l@people.com.cn</t>
  </si>
  <si>
    <t>159 858 2209</t>
  </si>
  <si>
    <t>Burr</t>
  </si>
  <si>
    <t>Valler</t>
  </si>
  <si>
    <t>bvaller9m@bloglovin.com</t>
  </si>
  <si>
    <t>976 843 9914</t>
  </si>
  <si>
    <t>Nanci</t>
  </si>
  <si>
    <t>Cluely</t>
  </si>
  <si>
    <t>ncluely9n@ted.com</t>
  </si>
  <si>
    <t>395 724 4331</t>
  </si>
  <si>
    <t>Wild</t>
  </si>
  <si>
    <t>owild9o@washington.edu</t>
  </si>
  <si>
    <t>642 813 4098</t>
  </si>
  <si>
    <t>Aubry</t>
  </si>
  <si>
    <t>Coggles</t>
  </si>
  <si>
    <t>acoggles9p@bizjournals.com</t>
  </si>
  <si>
    <t>223 545 0477</t>
  </si>
  <si>
    <t>Marney</t>
  </si>
  <si>
    <t>Riccelli</t>
  </si>
  <si>
    <t>mriccelli9q@imgur.com</t>
  </si>
  <si>
    <t>799 923 1421</t>
  </si>
  <si>
    <t>Royall</t>
  </si>
  <si>
    <t>Kunz</t>
  </si>
  <si>
    <t>rkunz9r@jimdo.com</t>
  </si>
  <si>
    <t>433 748 2453</t>
  </si>
  <si>
    <t>Walther</t>
  </si>
  <si>
    <t>Feild</t>
  </si>
  <si>
    <t>wfeild9s@ovh.net</t>
  </si>
  <si>
    <t>349 592 0880</t>
  </si>
  <si>
    <t>Reiko</t>
  </si>
  <si>
    <t>Carncross</t>
  </si>
  <si>
    <t>rcarncross9t@unc.edu</t>
  </si>
  <si>
    <t>881 728 7416</t>
  </si>
  <si>
    <t>Edd</t>
  </si>
  <si>
    <t>Hele</t>
  </si>
  <si>
    <t>ehele9u@google.com.br</t>
  </si>
  <si>
    <t>191 811 1367</t>
  </si>
  <si>
    <t>Almeda</t>
  </si>
  <si>
    <t>Eastcourt</t>
  </si>
  <si>
    <t>aeastcourt9v@naver.com</t>
  </si>
  <si>
    <t>172 540 3403</t>
  </si>
  <si>
    <t>Mathilde</t>
  </si>
  <si>
    <t>Puttrell</t>
  </si>
  <si>
    <t>mputtrell9w@yale.edu</t>
  </si>
  <si>
    <t>990 249 7144</t>
  </si>
  <si>
    <t>Gunter</t>
  </si>
  <si>
    <t>Laste</t>
  </si>
  <si>
    <t>942 555 0846</t>
  </si>
  <si>
    <t>Aurie</t>
  </si>
  <si>
    <t>Gallen</t>
  </si>
  <si>
    <t>agallen9y@ow.ly</t>
  </si>
  <si>
    <t>564 764 5406</t>
  </si>
  <si>
    <t>Nathanael</t>
  </si>
  <si>
    <t>Drinkhall</t>
  </si>
  <si>
    <t>ndrinkhall9z@sohu.com</t>
  </si>
  <si>
    <t>831 953 5615</t>
  </si>
  <si>
    <t>Gianna</t>
  </si>
  <si>
    <t>Lambrook</t>
  </si>
  <si>
    <t>glambrooka0@myspace.com</t>
  </si>
  <si>
    <t>112 145 6820</t>
  </si>
  <si>
    <t>Arlan</t>
  </si>
  <si>
    <t>Zuanelli</t>
  </si>
  <si>
    <t>azuanellia1@godaddy.com</t>
  </si>
  <si>
    <t>911 589 5989</t>
  </si>
  <si>
    <t>Bourke</t>
  </si>
  <si>
    <t>Chyuerton</t>
  </si>
  <si>
    <t>bchyuertona2@samsung.com</t>
  </si>
  <si>
    <t>323 404 9431</t>
  </si>
  <si>
    <t>Yancey</t>
  </si>
  <si>
    <t>Gorelli</t>
  </si>
  <si>
    <t>ygorellia3@opensource.org</t>
  </si>
  <si>
    <t>865 414 1759</t>
  </si>
  <si>
    <t>Fara</t>
  </si>
  <si>
    <t>Vasichev</t>
  </si>
  <si>
    <t>fvasicheva4@squidoo.com</t>
  </si>
  <si>
    <t>521 897 5711</t>
  </si>
  <si>
    <t>Ariela</t>
  </si>
  <si>
    <t>Brackley</t>
  </si>
  <si>
    <t>abrackleya5@webs.com</t>
  </si>
  <si>
    <t>949 464 9201</t>
  </si>
  <si>
    <t>Darleen</t>
  </si>
  <si>
    <t>Whetnell</t>
  </si>
  <si>
    <t>dwhetnella6@springer.com</t>
  </si>
  <si>
    <t>820 802 0166</t>
  </si>
  <si>
    <t>Rubin</t>
  </si>
  <si>
    <t>Franceschi</t>
  </si>
  <si>
    <t>rfranceschia7@businesswire.com</t>
  </si>
  <si>
    <t>310 573 7904</t>
  </si>
  <si>
    <t>Pablo</t>
  </si>
  <si>
    <t>Bourgourd</t>
  </si>
  <si>
    <t>pbourgourda8@cargocollective.com</t>
  </si>
  <si>
    <t>935 695 5950</t>
  </si>
  <si>
    <t>Osmond</t>
  </si>
  <si>
    <t>Langston</t>
  </si>
  <si>
    <t>olangstona9@dedecms.com</t>
  </si>
  <si>
    <t>528 816 1956</t>
  </si>
  <si>
    <t>Ricardo</t>
  </si>
  <si>
    <t>Gonnin</t>
  </si>
  <si>
    <t>rgonninaa@tumblr.com</t>
  </si>
  <si>
    <t>251 309 4489</t>
  </si>
  <si>
    <t>Pete</t>
  </si>
  <si>
    <t>Woolmore</t>
  </si>
  <si>
    <t>pwoolmoreab@nytimes.com</t>
  </si>
  <si>
    <t>516 555 7814</t>
  </si>
  <si>
    <t>Minetta</t>
  </si>
  <si>
    <t>MacMaster</t>
  </si>
  <si>
    <t>mmacmasterac@disqus.com</t>
  </si>
  <si>
    <t>737 913 9109</t>
  </si>
  <si>
    <t>Maggie</t>
  </si>
  <si>
    <t>Mattin</t>
  </si>
  <si>
    <t>mmattinad@sciencedaily.com</t>
  </si>
  <si>
    <t>878 659 9469</t>
  </si>
  <si>
    <t>Clemmy</t>
  </si>
  <si>
    <t>cbourgourdae@t.co</t>
  </si>
  <si>
    <t>200 426 2957</t>
  </si>
  <si>
    <t>Shelden</t>
  </si>
  <si>
    <t>Ealden</t>
  </si>
  <si>
    <t>sealdenaf@lycos.com</t>
  </si>
  <si>
    <t>934 190 9359</t>
  </si>
  <si>
    <t>Hernando</t>
  </si>
  <si>
    <t>Van der Son</t>
  </si>
  <si>
    <t>hvandersonag@mozilla.org</t>
  </si>
  <si>
    <t>627 596 6835</t>
  </si>
  <si>
    <t>Kevon</t>
  </si>
  <si>
    <t>O' Lone</t>
  </si>
  <si>
    <t>koloneah@google.de</t>
  </si>
  <si>
    <t>213 970 8399</t>
  </si>
  <si>
    <t>Morlee</t>
  </si>
  <si>
    <t>Hardiman</t>
  </si>
  <si>
    <t>mhardimanai@noaa.gov</t>
  </si>
  <si>
    <t>616 283 8125</t>
  </si>
  <si>
    <t>Dusty</t>
  </si>
  <si>
    <t>Schwier</t>
  </si>
  <si>
    <t>dschwieraj@altervista.org</t>
  </si>
  <si>
    <t>368 534 4850</t>
  </si>
  <si>
    <t>Cheston</t>
  </si>
  <si>
    <t>Balling</t>
  </si>
  <si>
    <t>cballingak@ask.com</t>
  </si>
  <si>
    <t>320 464 2973</t>
  </si>
  <si>
    <t>Katha</t>
  </si>
  <si>
    <t>Scudder</t>
  </si>
  <si>
    <t>kscudderal@si.edu</t>
  </si>
  <si>
    <t>802 291 5181</t>
  </si>
  <si>
    <t>Beatrisa</t>
  </si>
  <si>
    <t>Lyver</t>
  </si>
  <si>
    <t>blyveram@techcrunch.com</t>
  </si>
  <si>
    <t>124 934 4213</t>
  </si>
  <si>
    <t>RÄjshÄhi</t>
  </si>
  <si>
    <t>Shelly</t>
  </si>
  <si>
    <t>Padly</t>
  </si>
  <si>
    <t>spadlyan@sitemeter.com</t>
  </si>
  <si>
    <t>971 431 2441</t>
  </si>
  <si>
    <t>Eadmund</t>
  </si>
  <si>
    <t>Test</t>
  </si>
  <si>
    <t>etestao@wufoo.com</t>
  </si>
  <si>
    <t>385 826 6404</t>
  </si>
  <si>
    <t>Pavia</t>
  </si>
  <si>
    <t>Pleuman</t>
  </si>
  <si>
    <t>ppleumanap@utexas.edu</t>
  </si>
  <si>
    <t>741 541 0924</t>
  </si>
  <si>
    <t>Porty</t>
  </si>
  <si>
    <t>Meach</t>
  </si>
  <si>
    <t>pmeachaq@linkedin.com</t>
  </si>
  <si>
    <t>909 526 1246</t>
  </si>
  <si>
    <t>Kitti</t>
  </si>
  <si>
    <t>Bougen</t>
  </si>
  <si>
    <t>kbougenar@odnoklassniki.ru</t>
  </si>
  <si>
    <t>683 226 0789</t>
  </si>
  <si>
    <t>Scott</t>
  </si>
  <si>
    <t>Botler</t>
  </si>
  <si>
    <t>sbotleras@yelp.com</t>
  </si>
  <si>
    <t>454 696 2421</t>
  </si>
  <si>
    <t>Gracia</t>
  </si>
  <si>
    <t>Androlli</t>
  </si>
  <si>
    <t>gandrolliat@fotki.com</t>
  </si>
  <si>
    <t>734 904 6508</t>
  </si>
  <si>
    <t>Guglielma</t>
  </si>
  <si>
    <t>Ellin</t>
  </si>
  <si>
    <t>gellinau@huffingtonpost.com</t>
  </si>
  <si>
    <t>983 857 8396</t>
  </si>
  <si>
    <t>Harwilll</t>
  </si>
  <si>
    <t>Hankard</t>
  </si>
  <si>
    <t>hhankardav@netscape.com</t>
  </si>
  <si>
    <t>472 614 6881</t>
  </si>
  <si>
    <t>Nicholle</t>
  </si>
  <si>
    <t>Barbisch</t>
  </si>
  <si>
    <t>402 670 2156</t>
  </si>
  <si>
    <t>Herculie</t>
  </si>
  <si>
    <t>Heald</t>
  </si>
  <si>
    <t>hhealdax@barnesandnoble.com</t>
  </si>
  <si>
    <t>293 622 3462</t>
  </si>
  <si>
    <t>Tally</t>
  </si>
  <si>
    <t>Gowers</t>
  </si>
  <si>
    <t>tgowersay@fema.gov</t>
  </si>
  <si>
    <t>613 539 3293</t>
  </si>
  <si>
    <t>Tito</t>
  </si>
  <si>
    <t>Hammerberger</t>
  </si>
  <si>
    <t>thammerbergeraz@about.com</t>
  </si>
  <si>
    <t>585 531 1905</t>
  </si>
  <si>
    <t>Wake</t>
  </si>
  <si>
    <t>Flaubert</t>
  </si>
  <si>
    <t>wflaubertb0@nature.com</t>
  </si>
  <si>
    <t>430 963 6287</t>
  </si>
  <si>
    <t>Odille</t>
  </si>
  <si>
    <t>Dadley</t>
  </si>
  <si>
    <t>odadleyb1@yellowbook.com</t>
  </si>
  <si>
    <t>828 202 1411</t>
  </si>
  <si>
    <t>Nicole</t>
  </si>
  <si>
    <t>Wixey</t>
  </si>
  <si>
    <t>nwixeyb2@miibeian.gov.cn</t>
  </si>
  <si>
    <t>168 777 4417</t>
  </si>
  <si>
    <t>Dulcy</t>
  </si>
  <si>
    <t>Tomaino</t>
  </si>
  <si>
    <t>dtomainob3@dmoz.org</t>
  </si>
  <si>
    <t>562 189 7887</t>
  </si>
  <si>
    <t>Alexio</t>
  </si>
  <si>
    <t>Pinck</t>
  </si>
  <si>
    <t>apinckb4@weather.com</t>
  </si>
  <si>
    <t>149 695 3745</t>
  </si>
  <si>
    <t>Elden</t>
  </si>
  <si>
    <t>Tither</t>
  </si>
  <si>
    <t>etitherb5@i2i.jp</t>
  </si>
  <si>
    <t>566 238 1957</t>
  </si>
  <si>
    <t>Pebrook</t>
  </si>
  <si>
    <t>Petrie</t>
  </si>
  <si>
    <t>ppetrieb6@census.gov</t>
  </si>
  <si>
    <t>257 331 5658</t>
  </si>
  <si>
    <t>Carol-jean</t>
  </si>
  <si>
    <t>Whitney</t>
  </si>
  <si>
    <t>cwhitneyb7@hostgator.com</t>
  </si>
  <si>
    <t>363 692 3724</t>
  </si>
  <si>
    <t>Pinchas</t>
  </si>
  <si>
    <t>Tembridge</t>
  </si>
  <si>
    <t>ptembridgeb8@biblegateway.com</t>
  </si>
  <si>
    <t>440 930 9554</t>
  </si>
  <si>
    <t>Mable</t>
  </si>
  <si>
    <t>MacPaik</t>
  </si>
  <si>
    <t>mmacpaikb9@aol.com</t>
  </si>
  <si>
    <t>539 753 4005</t>
  </si>
  <si>
    <t>NabÄ«nagar</t>
  </si>
  <si>
    <t>Roi</t>
  </si>
  <si>
    <t>OIlier</t>
  </si>
  <si>
    <t>roilierba@nba.com</t>
  </si>
  <si>
    <t>621 642 9812</t>
  </si>
  <si>
    <t>Trent</t>
  </si>
  <si>
    <t>MacGall</t>
  </si>
  <si>
    <t>tmacgallbb@ox.ac.uk</t>
  </si>
  <si>
    <t>852 507 7729</t>
  </si>
  <si>
    <t>Stacey</t>
  </si>
  <si>
    <t>Eliesco</t>
  </si>
  <si>
    <t>seliescobc@arstechnica.com</t>
  </si>
  <si>
    <t>855 320 5966</t>
  </si>
  <si>
    <t>Urson</t>
  </si>
  <si>
    <t>Cumberledge</t>
  </si>
  <si>
    <t>ucumberledgebd@google.ru</t>
  </si>
  <si>
    <t>166 714 9991</t>
  </si>
  <si>
    <t>Ingeborg</t>
  </si>
  <si>
    <t>Fingleton</t>
  </si>
  <si>
    <t>ifingletonbe@i2i.jp</t>
  </si>
  <si>
    <t>919 587 1978</t>
  </si>
  <si>
    <t>Zedekiah</t>
  </si>
  <si>
    <t>Middler</t>
  </si>
  <si>
    <t>zmiddlerbf@wikispaces.com</t>
  </si>
  <si>
    <t>871 103 8491</t>
  </si>
  <si>
    <t>Danila</t>
  </si>
  <si>
    <t>Bigley</t>
  </si>
  <si>
    <t>dbigleybg@goodreads.com</t>
  </si>
  <si>
    <t>514 260 8494</t>
  </si>
  <si>
    <t>Amelita</t>
  </si>
  <si>
    <t>Gibard</t>
  </si>
  <si>
    <t>agibardbh@e-recht24.de</t>
  </si>
  <si>
    <t>744 617 4894</t>
  </si>
  <si>
    <t>Cheri</t>
  </si>
  <si>
    <t>Sans</t>
  </si>
  <si>
    <t>csansbi@google.nl</t>
  </si>
  <si>
    <t>526 501 8664</t>
  </si>
  <si>
    <t>Blake</t>
  </si>
  <si>
    <t>Brownsill</t>
  </si>
  <si>
    <t>bbrownsillbj@miitbeian.gov.cn</t>
  </si>
  <si>
    <t>231 218 4645</t>
  </si>
  <si>
    <t>Dorey</t>
  </si>
  <si>
    <t>Armal</t>
  </si>
  <si>
    <t>darmalbk@thetimes.co.uk</t>
  </si>
  <si>
    <t>721 182 4230</t>
  </si>
  <si>
    <t>Mehendiganj</t>
  </si>
  <si>
    <t>Hershel</t>
  </si>
  <si>
    <t>Alonso</t>
  </si>
  <si>
    <t>halonsobl@miitbeian.gov.cn</t>
  </si>
  <si>
    <t>674 380 6474</t>
  </si>
  <si>
    <t>Edgard</t>
  </si>
  <si>
    <t>Goadby</t>
  </si>
  <si>
    <t>egoadbybm@free.fr</t>
  </si>
  <si>
    <t>962 354 2506</t>
  </si>
  <si>
    <t>Elph</t>
  </si>
  <si>
    <t>celphbn@jimdo.com</t>
  </si>
  <si>
    <t>530 438 0617</t>
  </si>
  <si>
    <t>Brit</t>
  </si>
  <si>
    <t>Sotheby</t>
  </si>
  <si>
    <t>bsothebybo@opera.com</t>
  </si>
  <si>
    <t>696 309 4808</t>
  </si>
  <si>
    <t>Bebb</t>
  </si>
  <si>
    <t>mbebbbp@usa.gov</t>
  </si>
  <si>
    <t>315 961 9687</t>
  </si>
  <si>
    <t>Carlin</t>
  </si>
  <si>
    <t>Sellstrom</t>
  </si>
  <si>
    <t>csellstrombq@liveinternet.ru</t>
  </si>
  <si>
    <t>105 460 5906</t>
  </si>
  <si>
    <t>Kaylil</t>
  </si>
  <si>
    <t>Taborre</t>
  </si>
  <si>
    <t>ktaborrebr@wsj.com</t>
  </si>
  <si>
    <t>160 408 8677</t>
  </si>
  <si>
    <t>Darcie</t>
  </si>
  <si>
    <t>June</t>
  </si>
  <si>
    <t>743 103 8287</t>
  </si>
  <si>
    <t>Corty</t>
  </si>
  <si>
    <t>Foxten</t>
  </si>
  <si>
    <t>cfoxtenbt@so-net.ne.jp</t>
  </si>
  <si>
    <t>226 652 1922</t>
  </si>
  <si>
    <t>Freddy</t>
  </si>
  <si>
    <t>Orro</t>
  </si>
  <si>
    <t>forrobu@google.cn</t>
  </si>
  <si>
    <t>909 371 8540</t>
  </si>
  <si>
    <t>Kaine</t>
  </si>
  <si>
    <t>Freeborn</t>
  </si>
  <si>
    <t>kfreebornbv@ted.com</t>
  </si>
  <si>
    <t>780 687 8609</t>
  </si>
  <si>
    <t>Julian</t>
  </si>
  <si>
    <t>Valintine</t>
  </si>
  <si>
    <t>jvalintinebw@tripod.com</t>
  </si>
  <si>
    <t>685 742 0119</t>
  </si>
  <si>
    <t>Aime</t>
  </si>
  <si>
    <t>Gripton</t>
  </si>
  <si>
    <t>agriptonbx@printfriendly.com</t>
  </si>
  <si>
    <t>332 860 8420</t>
  </si>
  <si>
    <t>Mayer</t>
  </si>
  <si>
    <t>Gutowski</t>
  </si>
  <si>
    <t>mgutowskiby@biglobe.ne.jp</t>
  </si>
  <si>
    <t>735 249 7134</t>
  </si>
  <si>
    <t>Lazaro</t>
  </si>
  <si>
    <t>Tuffin</t>
  </si>
  <si>
    <t>ltuffinbz@hugedomains.com</t>
  </si>
  <si>
    <t>915 967 1104</t>
  </si>
  <si>
    <t>Corabella</t>
  </si>
  <si>
    <t>Lutz</t>
  </si>
  <si>
    <t>clutzc0@dot.gov</t>
  </si>
  <si>
    <t>491 493 1444</t>
  </si>
  <si>
    <t>Graveney</t>
  </si>
  <si>
    <t>mgraveneyc1@army.mil</t>
  </si>
  <si>
    <t>227 627 2134</t>
  </si>
  <si>
    <t>Brandon</t>
  </si>
  <si>
    <t>Copcutt</t>
  </si>
  <si>
    <t>bcopcuttc2@gizmodo.com</t>
  </si>
  <si>
    <t>685 218 5690</t>
  </si>
  <si>
    <t>Aldus</t>
  </si>
  <si>
    <t>Kenryd</t>
  </si>
  <si>
    <t>akenrydc3@uiuc.edu</t>
  </si>
  <si>
    <t>175 111 3351</t>
  </si>
  <si>
    <t>Viva</t>
  </si>
  <si>
    <t>Wicher</t>
  </si>
  <si>
    <t>vwicherc4@usnews.com</t>
  </si>
  <si>
    <t>647 460 7988</t>
  </si>
  <si>
    <t>BÄndarban</t>
  </si>
  <si>
    <t>Tyler</t>
  </si>
  <si>
    <t>Tamlett</t>
  </si>
  <si>
    <t>ttamlettc5@phoca.cz</t>
  </si>
  <si>
    <t>118 613 6406</t>
  </si>
  <si>
    <t>Pattie</t>
  </si>
  <si>
    <t>Woodward</t>
  </si>
  <si>
    <t>pwoodwardc6@blogtalkradio.com</t>
  </si>
  <si>
    <t>768 160 3129</t>
  </si>
  <si>
    <t>Colene</t>
  </si>
  <si>
    <t>Beevers</t>
  </si>
  <si>
    <t>cbeeversc7@shinystat.com</t>
  </si>
  <si>
    <t>706 570 9074</t>
  </si>
  <si>
    <t>Ethelred</t>
  </si>
  <si>
    <t>Farragher</t>
  </si>
  <si>
    <t>efarragherc8@ed.gov</t>
  </si>
  <si>
    <t>425 436 7073</t>
  </si>
  <si>
    <t>Lydon</t>
  </si>
  <si>
    <t>Barukh</t>
  </si>
  <si>
    <t>lbarukhc9@theguardian.com</t>
  </si>
  <si>
    <t>909 705 2628</t>
  </si>
  <si>
    <t>Myranda</t>
  </si>
  <si>
    <t>Thackham</t>
  </si>
  <si>
    <t>mthackhamca@illinois.edu</t>
  </si>
  <si>
    <t>968 563 7701</t>
  </si>
  <si>
    <t>Emmalynne</t>
  </si>
  <si>
    <t>Edrich</t>
  </si>
  <si>
    <t>eedrichcb@behance.net</t>
  </si>
  <si>
    <t>720 948 1251</t>
  </si>
  <si>
    <t>Woody</t>
  </si>
  <si>
    <t>Farmar</t>
  </si>
  <si>
    <t>wfarmarcc@technorati.com</t>
  </si>
  <si>
    <t>867 974 9694</t>
  </si>
  <si>
    <t>Carree</t>
  </si>
  <si>
    <t>Wildor</t>
  </si>
  <si>
    <t>cwildorcd@discovery.com</t>
  </si>
  <si>
    <t>294 213 5258</t>
  </si>
  <si>
    <t>Nickey</t>
  </si>
  <si>
    <t>Cade</t>
  </si>
  <si>
    <t>ncadece@plala.or.jp</t>
  </si>
  <si>
    <t>850 121 0637</t>
  </si>
  <si>
    <t>Ambrosi</t>
  </si>
  <si>
    <t>Tyght</t>
  </si>
  <si>
    <t>atyghtcf@spiegel.de</t>
  </si>
  <si>
    <t>264 793 8230</t>
  </si>
  <si>
    <t>Valentine</t>
  </si>
  <si>
    <t>Scarf</t>
  </si>
  <si>
    <t>vscarfcg@google.ca</t>
  </si>
  <si>
    <t>451 489 0597</t>
  </si>
  <si>
    <t>Hanna</t>
  </si>
  <si>
    <t>Burd</t>
  </si>
  <si>
    <t>hburdch@bloglovin.com</t>
  </si>
  <si>
    <t>812 802 2747</t>
  </si>
  <si>
    <t>Judye</t>
  </si>
  <si>
    <t>Dullaghan</t>
  </si>
  <si>
    <t>117 117 6716</t>
  </si>
  <si>
    <t>Alfy</t>
  </si>
  <si>
    <t>Petrelli</t>
  </si>
  <si>
    <t>apetrellicj@uiuc.edu</t>
  </si>
  <si>
    <t>175 220 0204</t>
  </si>
  <si>
    <t>Dyna</t>
  </si>
  <si>
    <t>Riccioppo</t>
  </si>
  <si>
    <t>driccioppock@constantcontact.com</t>
  </si>
  <si>
    <t>283 243 0335</t>
  </si>
  <si>
    <t>Irena</t>
  </si>
  <si>
    <t>Manners</t>
  </si>
  <si>
    <t>imannerscl@accuweather.com</t>
  </si>
  <si>
    <t>714 611 2949</t>
  </si>
  <si>
    <t>Melli</t>
  </si>
  <si>
    <t>Kinsey</t>
  </si>
  <si>
    <t>mkinseycm@chronoengine.com</t>
  </si>
  <si>
    <t>352 241 8834</t>
  </si>
  <si>
    <t>Hirsch</t>
  </si>
  <si>
    <t>Bohman</t>
  </si>
  <si>
    <t>hbohmancn@mapquest.com</t>
  </si>
  <si>
    <t>309 931 5196</t>
  </si>
  <si>
    <t>Pieter</t>
  </si>
  <si>
    <t>Bleasdale</t>
  </si>
  <si>
    <t>pbleasdaleco@github.com</t>
  </si>
  <si>
    <t>641 590 9554</t>
  </si>
  <si>
    <t>Craig</t>
  </si>
  <si>
    <t>Longhorne</t>
  </si>
  <si>
    <t>clonghornecp@seesaa.net</t>
  </si>
  <si>
    <t>175 341 9019</t>
  </si>
  <si>
    <t>Gaenor</t>
  </si>
  <si>
    <t>fgaenorcq@com.com</t>
  </si>
  <si>
    <t>445 135 3715</t>
  </si>
  <si>
    <t>Erek</t>
  </si>
  <si>
    <t>edempstercr@delicious.com</t>
  </si>
  <si>
    <t>873 526 2970</t>
  </si>
  <si>
    <t>Tami</t>
  </si>
  <si>
    <t>Shekle</t>
  </si>
  <si>
    <t>tsheklecs@people.com.cn</t>
  </si>
  <si>
    <t>103 577 5128</t>
  </si>
  <si>
    <t>Malory</t>
  </si>
  <si>
    <t>Gerold</t>
  </si>
  <si>
    <t>mgeroldct@discovery.com</t>
  </si>
  <si>
    <t>519 230 8947</t>
  </si>
  <si>
    <t>Tracy</t>
  </si>
  <si>
    <t>Michurin</t>
  </si>
  <si>
    <t>tmichurincu@merriam-webster.com</t>
  </si>
  <si>
    <t>579 875 5981</t>
  </si>
  <si>
    <t>Urban</t>
  </si>
  <si>
    <t>Diplock</t>
  </si>
  <si>
    <t>udiplockcv@usgs.gov</t>
  </si>
  <si>
    <t>939 609 9150</t>
  </si>
  <si>
    <t>Carleen</t>
  </si>
  <si>
    <t>Oldnall</t>
  </si>
  <si>
    <t>coldnallcw@artisteer.com</t>
  </si>
  <si>
    <t>603 545 9743</t>
  </si>
  <si>
    <t>Pierrette</t>
  </si>
  <si>
    <t>Jedrzejczyk</t>
  </si>
  <si>
    <t>pjedrzejczykcx@ft.com</t>
  </si>
  <si>
    <t>338 972 2854</t>
  </si>
  <si>
    <t>Dolley</t>
  </si>
  <si>
    <t>Haquard</t>
  </si>
  <si>
    <t>dhaquardcy@mozilla.com</t>
  </si>
  <si>
    <t>857 793 1260</t>
  </si>
  <si>
    <t>Wyn</t>
  </si>
  <si>
    <t>Iliffe</t>
  </si>
  <si>
    <t>wiliffecz@comcast.net</t>
  </si>
  <si>
    <t>377 590 8665</t>
  </si>
  <si>
    <t>Bubb</t>
  </si>
  <si>
    <t>cbubbd0@uiuc.edu</t>
  </si>
  <si>
    <t>254 581 6036</t>
  </si>
  <si>
    <t>Jeffy</t>
  </si>
  <si>
    <t>Oldfield</t>
  </si>
  <si>
    <t>joldfieldd1@epa.gov</t>
  </si>
  <si>
    <t>232 481 5218</t>
  </si>
  <si>
    <t>Basill</t>
  </si>
  <si>
    <t>hbasilld2@themeforest.net</t>
  </si>
  <si>
    <t>177 232 5346</t>
  </si>
  <si>
    <t>Althea</t>
  </si>
  <si>
    <t>Abreheart</t>
  </si>
  <si>
    <t>aabreheartd3@technorati.com</t>
  </si>
  <si>
    <t>118 133 2334</t>
  </si>
  <si>
    <t>Correy</t>
  </si>
  <si>
    <t>Vango</t>
  </si>
  <si>
    <t>cvangod4@seattletimes.com</t>
  </si>
  <si>
    <t>997 566 8545</t>
  </si>
  <si>
    <t>Ilario</t>
  </si>
  <si>
    <t>Domegan</t>
  </si>
  <si>
    <t>idomegand5@facebook.com</t>
  </si>
  <si>
    <t>327 330 2787</t>
  </si>
  <si>
    <t>Kassia</t>
  </si>
  <si>
    <t>Steed</t>
  </si>
  <si>
    <t>ksteedd6@thetimes.co.uk</t>
  </si>
  <si>
    <t>886 872 9568</t>
  </si>
  <si>
    <t>Chaim</t>
  </si>
  <si>
    <t>Covert</t>
  </si>
  <si>
    <t>ccovertd7@ca.gov</t>
  </si>
  <si>
    <t>657 273 1390</t>
  </si>
  <si>
    <t>Jameson</t>
  </si>
  <si>
    <t>Sapir</t>
  </si>
  <si>
    <t>jsapird8@prnewswire.com</t>
  </si>
  <si>
    <t>421 140 3452</t>
  </si>
  <si>
    <t>Joyous</t>
  </si>
  <si>
    <t>Molder</t>
  </si>
  <si>
    <t>481 516 1118</t>
  </si>
  <si>
    <t>Warden</t>
  </si>
  <si>
    <t>Hubatsch</t>
  </si>
  <si>
    <t>whubatschda@timesonline.co.uk</t>
  </si>
  <si>
    <t>488 310 9299</t>
  </si>
  <si>
    <t>Hermie</t>
  </si>
  <si>
    <t>Grisewood</t>
  </si>
  <si>
    <t>hgrisewooddb@feedburner.com</t>
  </si>
  <si>
    <t>903 850 7619</t>
  </si>
  <si>
    <t>Piggens</t>
  </si>
  <si>
    <t>ppiggensdc@epa.gov</t>
  </si>
  <si>
    <t>684 641 4126</t>
  </si>
  <si>
    <t>Brianna</t>
  </si>
  <si>
    <t>Compston</t>
  </si>
  <si>
    <t>bcompstondd@aol.com</t>
  </si>
  <si>
    <t>971 566 0172</t>
  </si>
  <si>
    <t>Davon</t>
  </si>
  <si>
    <t>Manuaud</t>
  </si>
  <si>
    <t>dmanuaudde@naver.com</t>
  </si>
  <si>
    <t>479 804 4741</t>
  </si>
  <si>
    <t>Janna</t>
  </si>
  <si>
    <t>Josey</t>
  </si>
  <si>
    <t>jjoseydf@dagondesign.com</t>
  </si>
  <si>
    <t>520 651 6919</t>
  </si>
  <si>
    <t>Leonard</t>
  </si>
  <si>
    <t>Issacson</t>
  </si>
  <si>
    <t>lissacsondg@mapy.cz</t>
  </si>
  <si>
    <t>264 316 7743</t>
  </si>
  <si>
    <t>Lewes</t>
  </si>
  <si>
    <t>Jedrzejewicz</t>
  </si>
  <si>
    <t>ljedrzejewiczdh@hostgator.com</t>
  </si>
  <si>
    <t>704 224 4025</t>
  </si>
  <si>
    <t>Arie</t>
  </si>
  <si>
    <t>Bellanger</t>
  </si>
  <si>
    <t>abellangerdi@tripod.com</t>
  </si>
  <si>
    <t>496 737 2395</t>
  </si>
  <si>
    <t>Leland</t>
  </si>
  <si>
    <t>Perel</t>
  </si>
  <si>
    <t>lpereldj@oracle.com</t>
  </si>
  <si>
    <t>313 297 1610</t>
  </si>
  <si>
    <t>Aluin</t>
  </si>
  <si>
    <t>Scala</t>
  </si>
  <si>
    <t>ascaladk@noaa.gov</t>
  </si>
  <si>
    <t>334 285 7920</t>
  </si>
  <si>
    <t>Ransom</t>
  </si>
  <si>
    <t>Wincott</t>
  </si>
  <si>
    <t>rwincottdl@newyorker.com</t>
  </si>
  <si>
    <t>962 484 5063</t>
  </si>
  <si>
    <t>Rance</t>
  </si>
  <si>
    <t>Rainford</t>
  </si>
  <si>
    <t>rrainforddm@theglobeandmail.com</t>
  </si>
  <si>
    <t>899 655 1361</t>
  </si>
  <si>
    <t>Micky</t>
  </si>
  <si>
    <t>Billingham</t>
  </si>
  <si>
    <t>mbillinghamdn@bbb.org</t>
  </si>
  <si>
    <t>513 663 9137</t>
  </si>
  <si>
    <t>Hattie</t>
  </si>
  <si>
    <t>McGrayle</t>
  </si>
  <si>
    <t>hmcgrayledo@weebly.com</t>
  </si>
  <si>
    <t>246 941 4709</t>
  </si>
  <si>
    <t>Powell</t>
  </si>
  <si>
    <t>Lehon</t>
  </si>
  <si>
    <t>plehondp@amazonaws.com</t>
  </si>
  <si>
    <t>380 101 3492</t>
  </si>
  <si>
    <t>Glennis</t>
  </si>
  <si>
    <t>Greig</t>
  </si>
  <si>
    <t>ggreigdq@zdnet.com</t>
  </si>
  <si>
    <t>719 954 5448</t>
  </si>
  <si>
    <t>Care</t>
  </si>
  <si>
    <t>Durrad</t>
  </si>
  <si>
    <t>cdurraddr@imageshack.us</t>
  </si>
  <si>
    <t>537 425 3604</t>
  </si>
  <si>
    <t>Madelyn</t>
  </si>
  <si>
    <t>Van Dalen</t>
  </si>
  <si>
    <t>mvandalends@fema.gov</t>
  </si>
  <si>
    <t>936 769 5066</t>
  </si>
  <si>
    <t>Kerry</t>
  </si>
  <si>
    <t>Durbridge</t>
  </si>
  <si>
    <t>kdurbridgedt@usgs.gov</t>
  </si>
  <si>
    <t>542 667 3679</t>
  </si>
  <si>
    <t>Juana</t>
  </si>
  <si>
    <t>Pressdee</t>
  </si>
  <si>
    <t>jpressdeedu@guardian.co.uk</t>
  </si>
  <si>
    <t>703 135 3424</t>
  </si>
  <si>
    <t>Kile</t>
  </si>
  <si>
    <t>Trobey</t>
  </si>
  <si>
    <t>ktrobeydv@unesco.org</t>
  </si>
  <si>
    <t>762 976 1166</t>
  </si>
  <si>
    <t>Bresman</t>
  </si>
  <si>
    <t>kbresmandw@creativecommons.org</t>
  </si>
  <si>
    <t>366 910 3661</t>
  </si>
  <si>
    <t>Ulick</t>
  </si>
  <si>
    <t>Jerrom</t>
  </si>
  <si>
    <t>ujerromdx@globo.com</t>
  </si>
  <si>
    <t>890 549 0758</t>
  </si>
  <si>
    <t>Zachery</t>
  </si>
  <si>
    <t>Ruggles</t>
  </si>
  <si>
    <t>zrugglesdy@imdb.com</t>
  </si>
  <si>
    <t>281 565 1421</t>
  </si>
  <si>
    <t>Frasco</t>
  </si>
  <si>
    <t>Moehler</t>
  </si>
  <si>
    <t>fmoehlerdz@mlb.com</t>
  </si>
  <si>
    <t>400 338 6764</t>
  </si>
  <si>
    <t>Sondra</t>
  </si>
  <si>
    <t>Caulier</t>
  </si>
  <si>
    <t>scauliere0@dailymotion.com</t>
  </si>
  <si>
    <t>225 349 1462</t>
  </si>
  <si>
    <t>Read</t>
  </si>
  <si>
    <t>Gatrill</t>
  </si>
  <si>
    <t>rgatrille1@boston.com</t>
  </si>
  <si>
    <t>388 759 2063</t>
  </si>
  <si>
    <t>Evangelina</t>
  </si>
  <si>
    <t>Camamill</t>
  </si>
  <si>
    <t>ecamamille2@xrea.com</t>
  </si>
  <si>
    <t>603 452 7247</t>
  </si>
  <si>
    <t>Cherianne</t>
  </si>
  <si>
    <t>Durie</t>
  </si>
  <si>
    <t>cduriee3@privacy.gov.au</t>
  </si>
  <si>
    <t>490 853 7568</t>
  </si>
  <si>
    <t>Amalie</t>
  </si>
  <si>
    <t>Aldrin</t>
  </si>
  <si>
    <t>aaldrine4@dagondesign.com</t>
  </si>
  <si>
    <t>289 654 8972</t>
  </si>
  <si>
    <t>Ali</t>
  </si>
  <si>
    <t>Biscomb</t>
  </si>
  <si>
    <t>abiscombe5@github.com</t>
  </si>
  <si>
    <t>224 707 4512</t>
  </si>
  <si>
    <t>Anton</t>
  </si>
  <si>
    <t>Camosso</t>
  </si>
  <si>
    <t>acamossoe6@about.me</t>
  </si>
  <si>
    <t>249 536 3874</t>
  </si>
  <si>
    <t>Reggi</t>
  </si>
  <si>
    <t>Luggar</t>
  </si>
  <si>
    <t>rluggare7@newyorker.com</t>
  </si>
  <si>
    <t>639 424 3790</t>
  </si>
  <si>
    <t>Galen</t>
  </si>
  <si>
    <t>Pharo</t>
  </si>
  <si>
    <t>142 880 7390</t>
  </si>
  <si>
    <t>Bordie</t>
  </si>
  <si>
    <t>Duguid</t>
  </si>
  <si>
    <t>bduguide9@auda.org.au</t>
  </si>
  <si>
    <t>605 837 1813</t>
  </si>
  <si>
    <t>Tuck</t>
  </si>
  <si>
    <t>McGeffen</t>
  </si>
  <si>
    <t>tmcgeffenea@admin.ch</t>
  </si>
  <si>
    <t>202 783 9311</t>
  </si>
  <si>
    <t>Pincas</t>
  </si>
  <si>
    <t>Thaine</t>
  </si>
  <si>
    <t>pthaineeb@si.edu</t>
  </si>
  <si>
    <t>971 358 0372</t>
  </si>
  <si>
    <t>Nicoline</t>
  </si>
  <si>
    <t>Shaw</t>
  </si>
  <si>
    <t>nshawec@blogspot.com</t>
  </si>
  <si>
    <t>605 921 5469</t>
  </si>
  <si>
    <t>Con</t>
  </si>
  <si>
    <t>Curnnok</t>
  </si>
  <si>
    <t>ccurnnoked@vistaprint.com</t>
  </si>
  <si>
    <t>297 752 1836</t>
  </si>
  <si>
    <t>Shawnee</t>
  </si>
  <si>
    <t>Mc Carroll</t>
  </si>
  <si>
    <t>smccarrollee@dedecms.com</t>
  </si>
  <si>
    <t>898 665 8269</t>
  </si>
  <si>
    <t>Becky</t>
  </si>
  <si>
    <t>Deveraux</t>
  </si>
  <si>
    <t>bdeverauxef@army.mil</t>
  </si>
  <si>
    <t>475 305 0576</t>
  </si>
  <si>
    <t>Riva</t>
  </si>
  <si>
    <t>Yurasov</t>
  </si>
  <si>
    <t>ryurasoveg@google.nl</t>
  </si>
  <si>
    <t>922 516 3667</t>
  </si>
  <si>
    <t>Hoebart</t>
  </si>
  <si>
    <t>hmccraineeh@scientificamerican.com</t>
  </si>
  <si>
    <t>990 190 0979</t>
  </si>
  <si>
    <t>Hilarius</t>
  </si>
  <si>
    <t>Doble</t>
  </si>
  <si>
    <t>hdobleei@squarespace.com</t>
  </si>
  <si>
    <t>971 368 1929</t>
  </si>
  <si>
    <t>Neila</t>
  </si>
  <si>
    <t>Dupoy</t>
  </si>
  <si>
    <t>ndupoyej@dedecms.com</t>
  </si>
  <si>
    <t>724 704 3974</t>
  </si>
  <si>
    <t>Lauryn</t>
  </si>
  <si>
    <t>Cettell</t>
  </si>
  <si>
    <t>lcettellek@rakuten.co.jp</t>
  </si>
  <si>
    <t>903 925 2043</t>
  </si>
  <si>
    <t>Aubert</t>
  </si>
  <si>
    <t>Scading</t>
  </si>
  <si>
    <t>ascadingel@i2i.jp</t>
  </si>
  <si>
    <t>582 459 9690</t>
  </si>
  <si>
    <t>Lane</t>
  </si>
  <si>
    <t>Dybbe</t>
  </si>
  <si>
    <t>ldybbeem@cam.ac.uk</t>
  </si>
  <si>
    <t>704 171 3438</t>
  </si>
  <si>
    <t>Dov</t>
  </si>
  <si>
    <t>Garland</t>
  </si>
  <si>
    <t>dgarlanden@ovh.net</t>
  </si>
  <si>
    <t>573 405 5948</t>
  </si>
  <si>
    <t>Lilia</t>
  </si>
  <si>
    <t>Cayette</t>
  </si>
  <si>
    <t>lcayetteeo@mit.edu</t>
  </si>
  <si>
    <t>232 428 3281</t>
  </si>
  <si>
    <t>Clywd</t>
  </si>
  <si>
    <t>Lindegard</t>
  </si>
  <si>
    <t>clindegardep@topsy.com</t>
  </si>
  <si>
    <t>289 220 8538</t>
  </si>
  <si>
    <t>Burt</t>
  </si>
  <si>
    <t>Beardon</t>
  </si>
  <si>
    <t>bbeardoneq@homestead.com</t>
  </si>
  <si>
    <t>296 310 4618</t>
  </si>
  <si>
    <t>Andras</t>
  </si>
  <si>
    <t>Meehan</t>
  </si>
  <si>
    <t>ameehaner@reference.com</t>
  </si>
  <si>
    <t>584 930 7504</t>
  </si>
  <si>
    <t>Robb</t>
  </si>
  <si>
    <t>Ravenscraft</t>
  </si>
  <si>
    <t>rravenscraftes@ft.com</t>
  </si>
  <si>
    <t>740 828 2356</t>
  </si>
  <si>
    <t>Lynett</t>
  </si>
  <si>
    <t>Arblaster</t>
  </si>
  <si>
    <t>larblasteret@fda.gov</t>
  </si>
  <si>
    <t>123 261 7777</t>
  </si>
  <si>
    <t>Seyler</t>
  </si>
  <si>
    <t>useylereu@virginia.edu</t>
  </si>
  <si>
    <t>395 654 2832</t>
  </si>
  <si>
    <t>Aprilette</t>
  </si>
  <si>
    <t>Wiszniewski</t>
  </si>
  <si>
    <t>awiszniewskiev@tiny.cc</t>
  </si>
  <si>
    <t>338 292 2892</t>
  </si>
  <si>
    <t>Mari</t>
  </si>
  <si>
    <t>Frankish</t>
  </si>
  <si>
    <t>mfrankishew@upenn.edu</t>
  </si>
  <si>
    <t>577 666 3069</t>
  </si>
  <si>
    <t>Ingmar</t>
  </si>
  <si>
    <t>Monni</t>
  </si>
  <si>
    <t>imonniex@aboutads.info</t>
  </si>
  <si>
    <t>229 788 9556</t>
  </si>
  <si>
    <t>Aylmer</t>
  </si>
  <si>
    <t>Kissack</t>
  </si>
  <si>
    <t>akissackey@ameblo.jp</t>
  </si>
  <si>
    <t>646 194 9338</t>
  </si>
  <si>
    <t>Keane</t>
  </si>
  <si>
    <t>fkeaneez@free.fr</t>
  </si>
  <si>
    <t>535 826 3051</t>
  </si>
  <si>
    <t>Jillene</t>
  </si>
  <si>
    <t>Roget</t>
  </si>
  <si>
    <t>jrogetf0@ftc.gov</t>
  </si>
  <si>
    <t>403 732 9437</t>
  </si>
  <si>
    <t>Suzy</t>
  </si>
  <si>
    <t>Phin</t>
  </si>
  <si>
    <t>sphinf1@sakura.ne.jp</t>
  </si>
  <si>
    <t>389 398 2778</t>
  </si>
  <si>
    <t>Selie</t>
  </si>
  <si>
    <t>Westwood</t>
  </si>
  <si>
    <t>654 881 2711</t>
  </si>
  <si>
    <t>Norrie</t>
  </si>
  <si>
    <t>MacNish</t>
  </si>
  <si>
    <t>nmacnishf3@adobe.com</t>
  </si>
  <si>
    <t>384 352 9581</t>
  </si>
  <si>
    <t>Batsheva</t>
  </si>
  <si>
    <t>Brimm</t>
  </si>
  <si>
    <t>bbrimmf4@bandcamp.com</t>
  </si>
  <si>
    <t>794 258 0957</t>
  </si>
  <si>
    <t>Hanington</t>
  </si>
  <si>
    <t>ghaningtonf5@spiegel.de</t>
  </si>
  <si>
    <t>322 433 5082</t>
  </si>
  <si>
    <t>Phillipp</t>
  </si>
  <si>
    <t>sphillippf6@homestead.com</t>
  </si>
  <si>
    <t>239 948 5508</t>
  </si>
  <si>
    <t>Beatrice</t>
  </si>
  <si>
    <t>Bulcroft</t>
  </si>
  <si>
    <t>bbulcroftf7@howstuffworks.com</t>
  </si>
  <si>
    <t>438 752 4512</t>
  </si>
  <si>
    <t>Enrica</t>
  </si>
  <si>
    <t>Cowpland</t>
  </si>
  <si>
    <t>ecowplandf8@i2i.jp</t>
  </si>
  <si>
    <t>259 222 0158</t>
  </si>
  <si>
    <t>Rushworth</t>
  </si>
  <si>
    <t>jrushworthf9@sfgate.com</t>
  </si>
  <si>
    <t>673 613 6285</t>
  </si>
  <si>
    <t>Mitchell</t>
  </si>
  <si>
    <t>O'Fihily</t>
  </si>
  <si>
    <t>mofihilyfa@google.com.br</t>
  </si>
  <si>
    <t>670 412 3173</t>
  </si>
  <si>
    <t>Artur</t>
  </si>
  <si>
    <t>Brennon</t>
  </si>
  <si>
    <t>abrennonfb@ftc.gov</t>
  </si>
  <si>
    <t>612 785 7219</t>
  </si>
  <si>
    <t>Henka</t>
  </si>
  <si>
    <t>Laurenson</t>
  </si>
  <si>
    <t>hlaurensonfc@yahoo.com</t>
  </si>
  <si>
    <t>315 154 0606</t>
  </si>
  <si>
    <t>Leroy</t>
  </si>
  <si>
    <t>Mothersdale</t>
  </si>
  <si>
    <t>lmothersdalefd@wix.com</t>
  </si>
  <si>
    <t>918 627 2428</t>
  </si>
  <si>
    <t>Konrad</t>
  </si>
  <si>
    <t>Shoveller</t>
  </si>
  <si>
    <t>kshovellerfe@163.com</t>
  </si>
  <si>
    <t>564 576 0719</t>
  </si>
  <si>
    <t>Eduino</t>
  </si>
  <si>
    <t>Mateus</t>
  </si>
  <si>
    <t>emateusff@constantcontact.com</t>
  </si>
  <si>
    <t>346 575 1439</t>
  </si>
  <si>
    <t>Rustin</t>
  </si>
  <si>
    <t>Clyburn</t>
  </si>
  <si>
    <t>rclyburnfg@cnbc.com</t>
  </si>
  <si>
    <t>437 504 4832</t>
  </si>
  <si>
    <t>Benedicto</t>
  </si>
  <si>
    <t>Shirrell</t>
  </si>
  <si>
    <t>bshirrellfh@hibu.com</t>
  </si>
  <si>
    <t>202 156 3804</t>
  </si>
  <si>
    <t>Sarah</t>
  </si>
  <si>
    <t>Ragdale</t>
  </si>
  <si>
    <t>sragdalefi@networkadvertising.org</t>
  </si>
  <si>
    <t>887 360 3301</t>
  </si>
  <si>
    <t>Thurstan</t>
  </si>
  <si>
    <t>Daw</t>
  </si>
  <si>
    <t>tdawfj@example.com</t>
  </si>
  <si>
    <t>714 787 1913</t>
  </si>
  <si>
    <t>Leonore</t>
  </si>
  <si>
    <t>Lodge</t>
  </si>
  <si>
    <t>llodgefk@facebook.com</t>
  </si>
  <si>
    <t>610 450 2281</t>
  </si>
  <si>
    <t>Birdie</t>
  </si>
  <si>
    <t>Fowden</t>
  </si>
  <si>
    <t>bfowdenfl@mac.com</t>
  </si>
  <si>
    <t>461 259 1815</t>
  </si>
  <si>
    <t>Marcela</t>
  </si>
  <si>
    <t>Cheers</t>
  </si>
  <si>
    <t>mcheersfm@whitehouse.gov</t>
  </si>
  <si>
    <t>387 640 1452</t>
  </si>
  <si>
    <t>Donal</t>
  </si>
  <si>
    <t>Rosenbush</t>
  </si>
  <si>
    <t>drosenbushfn@princeton.edu</t>
  </si>
  <si>
    <t>412 225 2136</t>
  </si>
  <si>
    <t>Wilfrid</t>
  </si>
  <si>
    <t>Mileham</t>
  </si>
  <si>
    <t>wmilehamfo@sourceforge.net</t>
  </si>
  <si>
    <t>182 588 3371</t>
  </si>
  <si>
    <t>Dall</t>
  </si>
  <si>
    <t>Holbury</t>
  </si>
  <si>
    <t>dholburyfp@vk.com</t>
  </si>
  <si>
    <t>152 424 8437</t>
  </si>
  <si>
    <t>Petronilla</t>
  </si>
  <si>
    <t>Boughton</t>
  </si>
  <si>
    <t>pboughtonfq@gnu.org</t>
  </si>
  <si>
    <t>884 581 0382</t>
  </si>
  <si>
    <t>Elmore</t>
  </si>
  <si>
    <t>Batchley</t>
  </si>
  <si>
    <t>ebatchleyfr@mlb.com</t>
  </si>
  <si>
    <t>522 562 7792</t>
  </si>
  <si>
    <t>Berkley</t>
  </si>
  <si>
    <t>Prinett</t>
  </si>
  <si>
    <t>bprinettfs@illinois.edu</t>
  </si>
  <si>
    <t>175 807 4760</t>
  </si>
  <si>
    <t>Lucina</t>
  </si>
  <si>
    <t>Friett</t>
  </si>
  <si>
    <t>lfriettft@vkontakte.ru</t>
  </si>
  <si>
    <t>716 265 5977</t>
  </si>
  <si>
    <t>Ronny</t>
  </si>
  <si>
    <t>Straughan</t>
  </si>
  <si>
    <t>rstraughanfu@hud.gov</t>
  </si>
  <si>
    <t>521 824 2518</t>
  </si>
  <si>
    <t>Tickle</t>
  </si>
  <si>
    <t>tticklefv@nydailynews.com</t>
  </si>
  <si>
    <t>812 121 0421</t>
  </si>
  <si>
    <t>Nanny</t>
  </si>
  <si>
    <t>Nisco</t>
  </si>
  <si>
    <t>nniscofw@sun.com</t>
  </si>
  <si>
    <t>131 886 3600</t>
  </si>
  <si>
    <t>Blackwood</t>
  </si>
  <si>
    <t>hblackwoodfx@rambler.ru</t>
  </si>
  <si>
    <t>837 690 8433</t>
  </si>
  <si>
    <t>Hamnet</t>
  </si>
  <si>
    <t>Founds</t>
  </si>
  <si>
    <t>hfoundsfy@usnews.com</t>
  </si>
  <si>
    <t>343 515 8322</t>
  </si>
  <si>
    <t>Sydney</t>
  </si>
  <si>
    <t>Minnette</t>
  </si>
  <si>
    <t>246 415 6947</t>
  </si>
  <si>
    <t>Marley</t>
  </si>
  <si>
    <t>Salvador</t>
  </si>
  <si>
    <t>msalvadorg0@google.cn</t>
  </si>
  <si>
    <t>929 251 5471</t>
  </si>
  <si>
    <t>Lascell</t>
  </si>
  <si>
    <t>alascellg1@pbs.org</t>
  </si>
  <si>
    <t>456 543 6290</t>
  </si>
  <si>
    <t>Martie</t>
  </si>
  <si>
    <t>Eneas</t>
  </si>
  <si>
    <t>meneasg2@mac.com</t>
  </si>
  <si>
    <t>716 884 7087</t>
  </si>
  <si>
    <t>Hinda</t>
  </si>
  <si>
    <t>Peartree</t>
  </si>
  <si>
    <t>hpeartreeg3@theguardian.com</t>
  </si>
  <si>
    <t>547 157 2455</t>
  </si>
  <si>
    <t>Gisella</t>
  </si>
  <si>
    <t>Cleever</t>
  </si>
  <si>
    <t>gcleeverg4@google.fr</t>
  </si>
  <si>
    <t>690 211 7939</t>
  </si>
  <si>
    <t>Tremayne</t>
  </si>
  <si>
    <t>Hariot</t>
  </si>
  <si>
    <t>thariotg5@upenn.edu</t>
  </si>
  <si>
    <t>132 712 5931</t>
  </si>
  <si>
    <t>Douglass</t>
  </si>
  <si>
    <t>Le Port</t>
  </si>
  <si>
    <t>dleportg6@bluehost.com</t>
  </si>
  <si>
    <t>740 285 6260</t>
  </si>
  <si>
    <t>Richmond</t>
  </si>
  <si>
    <t>Rabbitt</t>
  </si>
  <si>
    <t>rrabbittg7@ed.gov</t>
  </si>
  <si>
    <t>287 561 4927</t>
  </si>
  <si>
    <t>Madeline</t>
  </si>
  <si>
    <t>Chishull</t>
  </si>
  <si>
    <t>mchishullg8@hexun.com</t>
  </si>
  <si>
    <t>983 450 5676</t>
  </si>
  <si>
    <t>Guthrie</t>
  </si>
  <si>
    <t>McCay</t>
  </si>
  <si>
    <t>gmccayg9@ustream.tv</t>
  </si>
  <si>
    <t>934 167 0561</t>
  </si>
  <si>
    <t>Evaleen</t>
  </si>
  <si>
    <t>Fenge</t>
  </si>
  <si>
    <t>efengega@list-manage.com</t>
  </si>
  <si>
    <t>846 732 7066</t>
  </si>
  <si>
    <t>Arv</t>
  </si>
  <si>
    <t>Deverson</t>
  </si>
  <si>
    <t>adeversongb@adobe.com</t>
  </si>
  <si>
    <t>245 873 9595</t>
  </si>
  <si>
    <t>Lotte</t>
  </si>
  <si>
    <t>Fri</t>
  </si>
  <si>
    <t>lfrigc@ebay.co.uk</t>
  </si>
  <si>
    <t>818 131 4411</t>
  </si>
  <si>
    <t>Wilie</t>
  </si>
  <si>
    <t>McRitchie</t>
  </si>
  <si>
    <t>wmcritchiegd@microsoft.com</t>
  </si>
  <si>
    <t>677 704 4017</t>
  </si>
  <si>
    <t>Ricard</t>
  </si>
  <si>
    <t>Von Hindenburg</t>
  </si>
  <si>
    <t>rvonhindenburgge@senate.gov</t>
  </si>
  <si>
    <t>429 819 5654</t>
  </si>
  <si>
    <t>Marylin</t>
  </si>
  <si>
    <t>Lawler</t>
  </si>
  <si>
    <t>mlawlergf@plala.or.jp</t>
  </si>
  <si>
    <t>596 322 3820</t>
  </si>
  <si>
    <t>Eddy</t>
  </si>
  <si>
    <t>Mattessen</t>
  </si>
  <si>
    <t>emattessengg@pagesperso-orange.fr</t>
  </si>
  <si>
    <t>706 812 7707</t>
  </si>
  <si>
    <t>Lonny</t>
  </si>
  <si>
    <t>Racine</t>
  </si>
  <si>
    <t>lracinegh@msu.edu</t>
  </si>
  <si>
    <t>644 869 3340</t>
  </si>
  <si>
    <t>Harwell</t>
  </si>
  <si>
    <t>Bolingbroke</t>
  </si>
  <si>
    <t>hbolingbrokegi@bandcamp.com</t>
  </si>
  <si>
    <t>917 331 4937</t>
  </si>
  <si>
    <t>Viviene</t>
  </si>
  <si>
    <t>Ridsdole</t>
  </si>
  <si>
    <t>vridsdolegj@vinaora.com</t>
  </si>
  <si>
    <t>126 148 4654</t>
  </si>
  <si>
    <t>Micah</t>
  </si>
  <si>
    <t>Dray</t>
  </si>
  <si>
    <t>mdraygk@chron.com</t>
  </si>
  <si>
    <t>197 948 8688</t>
  </si>
  <si>
    <t>Audry</t>
  </si>
  <si>
    <t>Kennaird</t>
  </si>
  <si>
    <t>akennairdgl@nifty.com</t>
  </si>
  <si>
    <t>691 955 1471</t>
  </si>
  <si>
    <t>Sophey</t>
  </si>
  <si>
    <t>Ertel</t>
  </si>
  <si>
    <t>sertelgm@a8.net</t>
  </si>
  <si>
    <t>943 190 0215</t>
  </si>
  <si>
    <t>Adamo</t>
  </si>
  <si>
    <t>Haselgrove</t>
  </si>
  <si>
    <t>ahaselgrovegn@cbslocal.com</t>
  </si>
  <si>
    <t>671 939 3094</t>
  </si>
  <si>
    <t>Dayle</t>
  </si>
  <si>
    <t>McDonagh</t>
  </si>
  <si>
    <t>dmcdonaghgo@jimdo.com</t>
  </si>
  <si>
    <t>539 332 1428</t>
  </si>
  <si>
    <t>Natalee</t>
  </si>
  <si>
    <t>Zorzi</t>
  </si>
  <si>
    <t>nzorzigp@360.cn</t>
  </si>
  <si>
    <t>975 679 0122</t>
  </si>
  <si>
    <t>Carena</t>
  </si>
  <si>
    <t>Feuell</t>
  </si>
  <si>
    <t>cfeuellgq@washingtonpost.com</t>
  </si>
  <si>
    <t>882 834 5415</t>
  </si>
  <si>
    <t>Penny</t>
  </si>
  <si>
    <t>Pinar</t>
  </si>
  <si>
    <t>ppinargr@nifty.com</t>
  </si>
  <si>
    <t>900 120 6178</t>
  </si>
  <si>
    <t>Dougy</t>
  </si>
  <si>
    <t>Glen</t>
  </si>
  <si>
    <t>dglengs@nba.com</t>
  </si>
  <si>
    <t>202 811 8347</t>
  </si>
  <si>
    <t>Christin</t>
  </si>
  <si>
    <t>Standbrooke</t>
  </si>
  <si>
    <t>cstandbrookegt@mayoclinic.com</t>
  </si>
  <si>
    <t>445 337 0803</t>
  </si>
  <si>
    <t>Odette</t>
  </si>
  <si>
    <t>O'Sheilds</t>
  </si>
  <si>
    <t>oosheildsgu@omniture.com</t>
  </si>
  <si>
    <t>980 622 6127</t>
  </si>
  <si>
    <t>Phyllida</t>
  </si>
  <si>
    <t>Allsopp</t>
  </si>
  <si>
    <t>pallsoppgv@de.vu</t>
  </si>
  <si>
    <t>767 417 5406</t>
  </si>
  <si>
    <t>Winnah</t>
  </si>
  <si>
    <t>FitzGibbon</t>
  </si>
  <si>
    <t>wfitzgibbongw@abc.net.au</t>
  </si>
  <si>
    <t>730 621 0112</t>
  </si>
  <si>
    <t>Guglielmo</t>
  </si>
  <si>
    <t>Filyaev</t>
  </si>
  <si>
    <t>gfilyaevgx@icq.com</t>
  </si>
  <si>
    <t>418 791 6944</t>
  </si>
  <si>
    <t>Vanya</t>
  </si>
  <si>
    <t>Pidgin</t>
  </si>
  <si>
    <t>vpidgingy@ning.com</t>
  </si>
  <si>
    <t>856 187 2619</t>
  </si>
  <si>
    <t>Alessandro</t>
  </si>
  <si>
    <t>Cady</t>
  </si>
  <si>
    <t>acadygz@discovery.com</t>
  </si>
  <si>
    <t>645 395 4234</t>
  </si>
  <si>
    <t>Bobbie</t>
  </si>
  <si>
    <t>Bounde</t>
  </si>
  <si>
    <t>bboundeh0@cbc.ca</t>
  </si>
  <si>
    <t>691 550 8681</t>
  </si>
  <si>
    <t>Christine</t>
  </si>
  <si>
    <t>Corley</t>
  </si>
  <si>
    <t>ccorleyh1@berkeley.edu</t>
  </si>
  <si>
    <t>765 660 2218</t>
  </si>
  <si>
    <t>Marty</t>
  </si>
  <si>
    <t>Plewman</t>
  </si>
  <si>
    <t>mplewmanh2@intel.com</t>
  </si>
  <si>
    <t>449 269 8759</t>
  </si>
  <si>
    <t>Carolina</t>
  </si>
  <si>
    <t>Tisor</t>
  </si>
  <si>
    <t>ctisorh3@businessinsider.com</t>
  </si>
  <si>
    <t>811 766 2849</t>
  </si>
  <si>
    <t>Petey</t>
  </si>
  <si>
    <t>Rodda</t>
  </si>
  <si>
    <t>proddah4@usatoday.com</t>
  </si>
  <si>
    <t>775 486 2277</t>
  </si>
  <si>
    <t>Sallyanne</t>
  </si>
  <si>
    <t>Mowne</t>
  </si>
  <si>
    <t>smowneh5@newyorker.com</t>
  </si>
  <si>
    <t>865 599 9516</t>
  </si>
  <si>
    <t>Clerkclaude</t>
  </si>
  <si>
    <t>Manilo</t>
  </si>
  <si>
    <t>cmaniloh6@tiny.cc</t>
  </si>
  <si>
    <t>635 974 8922</t>
  </si>
  <si>
    <t>Dorella</t>
  </si>
  <si>
    <t>Beacham</t>
  </si>
  <si>
    <t>dbeachamh7@auda.org.au</t>
  </si>
  <si>
    <t>994 138 3006</t>
  </si>
  <si>
    <t>Basile</t>
  </si>
  <si>
    <t>Balkwill</t>
  </si>
  <si>
    <t>bbalkwillh8@ucoz.com</t>
  </si>
  <si>
    <t>744 954 0619</t>
  </si>
  <si>
    <t>Rikard</t>
  </si>
  <si>
    <t>arikardh9@hostgator.com</t>
  </si>
  <si>
    <t>559 216 7738</t>
  </si>
  <si>
    <t>Sonnnie</t>
  </si>
  <si>
    <t>Kernermann</t>
  </si>
  <si>
    <t>skernermannha@vinaora.com</t>
  </si>
  <si>
    <t>389 404 7742</t>
  </si>
  <si>
    <t>Meridith</t>
  </si>
  <si>
    <t>Treuge</t>
  </si>
  <si>
    <t>mtreugehb@parallels.com</t>
  </si>
  <si>
    <t>655 903 2224</t>
  </si>
  <si>
    <t>Marjie</t>
  </si>
  <si>
    <t>Poleye</t>
  </si>
  <si>
    <t>mpoleyehc@rediff.com</t>
  </si>
  <si>
    <t>189 714 2086</t>
  </si>
  <si>
    <t>Johnathan</t>
  </si>
  <si>
    <t>Coombes</t>
  </si>
  <si>
    <t>jcoombeshd@dropbox.com</t>
  </si>
  <si>
    <t>294 976 4530</t>
  </si>
  <si>
    <t>Ximenes</t>
  </si>
  <si>
    <t>Macewan</t>
  </si>
  <si>
    <t>xmacewanhe@google.com.br</t>
  </si>
  <si>
    <t>921 493 7791</t>
  </si>
  <si>
    <t>Heddi</t>
  </si>
  <si>
    <t>Sherbourne</t>
  </si>
  <si>
    <t>hsherbournehf@bloglines.com</t>
  </si>
  <si>
    <t>985 293 3184</t>
  </si>
  <si>
    <t>Viole</t>
  </si>
  <si>
    <t>Staining</t>
  </si>
  <si>
    <t>vstaininghg@kickstarter.com</t>
  </si>
  <si>
    <t>760 688 6826</t>
  </si>
  <si>
    <t>Mortimer</t>
  </si>
  <si>
    <t>Alcido</t>
  </si>
  <si>
    <t>malcidohh@bbc.co.uk</t>
  </si>
  <si>
    <t>698 858 8165</t>
  </si>
  <si>
    <t>Philippine</t>
  </si>
  <si>
    <t>Dungay</t>
  </si>
  <si>
    <t>pdungayhi@cbslocal.com</t>
  </si>
  <si>
    <t>541 771 7837</t>
  </si>
  <si>
    <t>Melamie</t>
  </si>
  <si>
    <t>McGann</t>
  </si>
  <si>
    <t>mmcgannhj@harvard.edu</t>
  </si>
  <si>
    <t>862 354 8682</t>
  </si>
  <si>
    <t>Ronalda</t>
  </si>
  <si>
    <t>Arghent</t>
  </si>
  <si>
    <t>rarghenthk@google.com.au</t>
  </si>
  <si>
    <t>209 112 9323</t>
  </si>
  <si>
    <t>Cameron</t>
  </si>
  <si>
    <t>Doldon</t>
  </si>
  <si>
    <t>456 677 3956</t>
  </si>
  <si>
    <t>Mitchael</t>
  </si>
  <si>
    <t>Loughton</t>
  </si>
  <si>
    <t>mloughtonhm@ask.com</t>
  </si>
  <si>
    <t>635 261 5043</t>
  </si>
  <si>
    <t>Kala</t>
  </si>
  <si>
    <t>Prosch</t>
  </si>
  <si>
    <t>kproschhn@mediafire.com</t>
  </si>
  <si>
    <t>878 826 8216</t>
  </si>
  <si>
    <t>Thea</t>
  </si>
  <si>
    <t>Methven</t>
  </si>
  <si>
    <t>tmethvenho@engadget.com</t>
  </si>
  <si>
    <t>374 470 9174</t>
  </si>
  <si>
    <t>Lucinda</t>
  </si>
  <si>
    <t>Turl</t>
  </si>
  <si>
    <t>lturlhp@altervista.org</t>
  </si>
  <si>
    <t>108 459 9615</t>
  </si>
  <si>
    <t>Ruddy</t>
  </si>
  <si>
    <t>Swafford</t>
  </si>
  <si>
    <t>rswaffordhq@globo.com</t>
  </si>
  <si>
    <t>522 567 4938</t>
  </si>
  <si>
    <t>Christiana</t>
  </si>
  <si>
    <t>Jikylls</t>
  </si>
  <si>
    <t>cjikyllshr@qq.com</t>
  </si>
  <si>
    <t>864 146 5081</t>
  </si>
  <si>
    <t>Lizzy</t>
  </si>
  <si>
    <t>Klimochkin</t>
  </si>
  <si>
    <t>lklimochkinhs@goodreads.com</t>
  </si>
  <si>
    <t>543 664 4227</t>
  </si>
  <si>
    <t>Mira</t>
  </si>
  <si>
    <t>Knowlson</t>
  </si>
  <si>
    <t>mknowlsonht@nhs.uk</t>
  </si>
  <si>
    <t>232 319 1767</t>
  </si>
  <si>
    <t>Bittlestone</t>
  </si>
  <si>
    <t>abittlestonehu@nba.com</t>
  </si>
  <si>
    <t>949 971 4253</t>
  </si>
  <si>
    <t>Cogswell</t>
  </si>
  <si>
    <t>bcogswellhv@chron.com</t>
  </si>
  <si>
    <t>160 501 5513</t>
  </si>
  <si>
    <t>Gordan</t>
  </si>
  <si>
    <t>Pougher</t>
  </si>
  <si>
    <t>gpougherhw@wikipedia.org</t>
  </si>
  <si>
    <t>114 763 1703</t>
  </si>
  <si>
    <t>Dania</t>
  </si>
  <si>
    <t>Niave</t>
  </si>
  <si>
    <t>dniavehx@wordpress.com</t>
  </si>
  <si>
    <t>919 101 8408</t>
  </si>
  <si>
    <t>Kristos</t>
  </si>
  <si>
    <t>Espinet</t>
  </si>
  <si>
    <t>kespinethy@cloudflare.com</t>
  </si>
  <si>
    <t>597 109 0735</t>
  </si>
  <si>
    <t>Itskovitz</t>
  </si>
  <si>
    <t>ditskovitzhz@yelp.com</t>
  </si>
  <si>
    <t>471 226 8074</t>
  </si>
  <si>
    <t>Dion</t>
  </si>
  <si>
    <t>Thring</t>
  </si>
  <si>
    <t>dthringi0@moonfruit.com</t>
  </si>
  <si>
    <t>387 743 7903</t>
  </si>
  <si>
    <t>Leonie</t>
  </si>
  <si>
    <t>Lyttle</t>
  </si>
  <si>
    <t>llyttlei1@moonfruit.com</t>
  </si>
  <si>
    <t>362 785 7021</t>
  </si>
  <si>
    <t>Mirilla</t>
  </si>
  <si>
    <t>Toth</t>
  </si>
  <si>
    <t>mtothi2@deviantart.com</t>
  </si>
  <si>
    <t>891 857 1528</t>
  </si>
  <si>
    <t>Claire</t>
  </si>
  <si>
    <t>Rawes</t>
  </si>
  <si>
    <t>crawesi3@hp.com</t>
  </si>
  <si>
    <t>392 776 1536</t>
  </si>
  <si>
    <t>Sambidge</t>
  </si>
  <si>
    <t>msambidgei4@unblog.fr</t>
  </si>
  <si>
    <t>806 881 5587</t>
  </si>
  <si>
    <t>Mixer</t>
  </si>
  <si>
    <t>imixeri5@soundcloud.com</t>
  </si>
  <si>
    <t>912 704 4788</t>
  </si>
  <si>
    <t>Cassi</t>
  </si>
  <si>
    <t>Martinello</t>
  </si>
  <si>
    <t>cmartinelloi6@google.co.uk</t>
  </si>
  <si>
    <t>782 741 4735</t>
  </si>
  <si>
    <t>Olympie</t>
  </si>
  <si>
    <t>Tummasutti</t>
  </si>
  <si>
    <t>otummasuttii7@bing.com</t>
  </si>
  <si>
    <t>638 947 5821</t>
  </si>
  <si>
    <t>Yasmin</t>
  </si>
  <si>
    <t>Bartolic</t>
  </si>
  <si>
    <t>ybartolici8@aboutads.info</t>
  </si>
  <si>
    <t>594 348 1115</t>
  </si>
  <si>
    <t>Alexine</t>
  </si>
  <si>
    <t>Doidge</t>
  </si>
  <si>
    <t>adoidgei9@senate.gov</t>
  </si>
  <si>
    <t>787 343 9665</t>
  </si>
  <si>
    <t>Kendal</t>
  </si>
  <si>
    <t>Lambart</t>
  </si>
  <si>
    <t>klambartia@mapquest.com</t>
  </si>
  <si>
    <t>418 695 8774</t>
  </si>
  <si>
    <t>Berry</t>
  </si>
  <si>
    <t>Stuttman</t>
  </si>
  <si>
    <t>bstuttmanib@unicef.org</t>
  </si>
  <si>
    <t>422 749 6272</t>
  </si>
  <si>
    <t>Selma</t>
  </si>
  <si>
    <t>Somerville</t>
  </si>
  <si>
    <t>ssomervilleic@narod.ru</t>
  </si>
  <si>
    <t>129 743 9953</t>
  </si>
  <si>
    <t>Joete</t>
  </si>
  <si>
    <t>Soro</t>
  </si>
  <si>
    <t>jsoroid@theguardian.com</t>
  </si>
  <si>
    <t>331 990 0120</t>
  </si>
  <si>
    <t>Maryjo</t>
  </si>
  <si>
    <t>Muirhead</t>
  </si>
  <si>
    <t>mmuirheadie@last.fm</t>
  </si>
  <si>
    <t>451 799 3402</t>
  </si>
  <si>
    <t>Imogen</t>
  </si>
  <si>
    <t>Alpe</t>
  </si>
  <si>
    <t>ialpeif@nhs.uk</t>
  </si>
  <si>
    <t>249 682 2387</t>
  </si>
  <si>
    <t>Ethelbert</t>
  </si>
  <si>
    <t>Perrie</t>
  </si>
  <si>
    <t>eperrieig@un.org</t>
  </si>
  <si>
    <t>468 207 3839</t>
  </si>
  <si>
    <t>Estell</t>
  </si>
  <si>
    <t>Goomes</t>
  </si>
  <si>
    <t>egoomesih@google.ru</t>
  </si>
  <si>
    <t>103 800 8185</t>
  </si>
  <si>
    <t>Cassandra</t>
  </si>
  <si>
    <t>Colvine</t>
  </si>
  <si>
    <t>ccolvineii@google.fr</t>
  </si>
  <si>
    <t>463 968 0698</t>
  </si>
  <si>
    <t>Jay</t>
  </si>
  <si>
    <t>Plait</t>
  </si>
  <si>
    <t>jplaitij@github.io</t>
  </si>
  <si>
    <t>996 982 2094</t>
  </si>
  <si>
    <t>Alfonso</t>
  </si>
  <si>
    <t>Goldhawk</t>
  </si>
  <si>
    <t>agoldhawkik@seesaa.net</t>
  </si>
  <si>
    <t>491 768 1758</t>
  </si>
  <si>
    <t>Tucker</t>
  </si>
  <si>
    <t>Crane</t>
  </si>
  <si>
    <t>tcraneil@lulu.com</t>
  </si>
  <si>
    <t>839 252 2591</t>
  </si>
  <si>
    <t>Lyda</t>
  </si>
  <si>
    <t>Kroll</t>
  </si>
  <si>
    <t>lkrollim@nifty.com</t>
  </si>
  <si>
    <t>401 256 8158</t>
  </si>
  <si>
    <t>Melisande</t>
  </si>
  <si>
    <t>McRinn</t>
  </si>
  <si>
    <t>mmcrinnin@bigcartel.com</t>
  </si>
  <si>
    <t>689 896 6142</t>
  </si>
  <si>
    <t>Hewe</t>
  </si>
  <si>
    <t>Pynner</t>
  </si>
  <si>
    <t>hpynnerio@marketwatch.com</t>
  </si>
  <si>
    <t>759 457 3596</t>
  </si>
  <si>
    <t>Nikaniki</t>
  </si>
  <si>
    <t>Stoneman</t>
  </si>
  <si>
    <t>nstonemanip@noaa.gov</t>
  </si>
  <si>
    <t>665 370 3624</t>
  </si>
  <si>
    <t>Van</t>
  </si>
  <si>
    <t>Scatchar</t>
  </si>
  <si>
    <t>vscatchariq@statcounter.com</t>
  </si>
  <si>
    <t>945 852 0789</t>
  </si>
  <si>
    <t>Maudie</t>
  </si>
  <si>
    <t>Dixon</t>
  </si>
  <si>
    <t>mdixonir@4shared.com</t>
  </si>
  <si>
    <t>872 717 3728</t>
  </si>
  <si>
    <t>Betsey</t>
  </si>
  <si>
    <t>Hurring</t>
  </si>
  <si>
    <t>bhurringis@sohu.com</t>
  </si>
  <si>
    <t>532 915 3321</t>
  </si>
  <si>
    <t>Petworth</t>
  </si>
  <si>
    <t>cpetworthit@comcast.net</t>
  </si>
  <si>
    <t>468 937 2416</t>
  </si>
  <si>
    <t>Olympia</t>
  </si>
  <si>
    <t>Maase</t>
  </si>
  <si>
    <t>omaaseiu@rambler.ru</t>
  </si>
  <si>
    <t>702 169 2140</t>
  </si>
  <si>
    <t>Weymouth</t>
  </si>
  <si>
    <t>gweymouthiv@marriott.com</t>
  </si>
  <si>
    <t>323 292 3724</t>
  </si>
  <si>
    <t>Talyah</t>
  </si>
  <si>
    <t>Jarmyn</t>
  </si>
  <si>
    <t>tjarmyniw@pcworld.com</t>
  </si>
  <si>
    <t>110 566 1435</t>
  </si>
  <si>
    <t>Dunn</t>
  </si>
  <si>
    <t>Clixby</t>
  </si>
  <si>
    <t>dclixbyix@rambler.ru</t>
  </si>
  <si>
    <t>590 910 8359</t>
  </si>
  <si>
    <t>Valera</t>
  </si>
  <si>
    <t>Ottewell</t>
  </si>
  <si>
    <t>vottewelliy@a8.net</t>
  </si>
  <si>
    <t>233 505 0676</t>
  </si>
  <si>
    <t>Eirena</t>
  </si>
  <si>
    <t>Jesty</t>
  </si>
  <si>
    <t>ejestyiz@examiner.com</t>
  </si>
  <si>
    <t>123 144 5899</t>
  </si>
  <si>
    <t>Tedmund</t>
  </si>
  <si>
    <t>Aronowicz</t>
  </si>
  <si>
    <t>taronowiczj0@economist.com</t>
  </si>
  <si>
    <t>680 735 8120</t>
  </si>
  <si>
    <t>Colin</t>
  </si>
  <si>
    <t>Lefridge</t>
  </si>
  <si>
    <t>clefridgej1@gov.uk</t>
  </si>
  <si>
    <t>585 385 0512</t>
  </si>
  <si>
    <t>Lorraine</t>
  </si>
  <si>
    <t>Gooderridge</t>
  </si>
  <si>
    <t>lgooderridgej2@engadget.com</t>
  </si>
  <si>
    <t>885 856 4757</t>
  </si>
  <si>
    <t>Upton</t>
  </si>
  <si>
    <t>O'Fihillie</t>
  </si>
  <si>
    <t>uofihilliej3@nhs.uk</t>
  </si>
  <si>
    <t>755 192 5709</t>
  </si>
  <si>
    <t>Tommy</t>
  </si>
  <si>
    <t>Skeath</t>
  </si>
  <si>
    <t>tskeathj4@trellian.com</t>
  </si>
  <si>
    <t>942 379 1147</t>
  </si>
  <si>
    <t>Kinny</t>
  </si>
  <si>
    <t>Dellenty</t>
  </si>
  <si>
    <t>kdellentyj5@technorati.com</t>
  </si>
  <si>
    <t>272 558 3205</t>
  </si>
  <si>
    <t>Jerald</t>
  </si>
  <si>
    <t>Gunderson</t>
  </si>
  <si>
    <t>691 293 1686</t>
  </si>
  <si>
    <t>Isacco</t>
  </si>
  <si>
    <t>Culham</t>
  </si>
  <si>
    <t>iculhamj7@quantcast.com</t>
  </si>
  <si>
    <t>516 559 4301</t>
  </si>
  <si>
    <t>Imogene</t>
  </si>
  <si>
    <t>Dammarell</t>
  </si>
  <si>
    <t>idammarellj8@newsvine.com</t>
  </si>
  <si>
    <t>550 647 5049</t>
  </si>
  <si>
    <t>Holmes</t>
  </si>
  <si>
    <t>Idle</t>
  </si>
  <si>
    <t>hidlej9@disqus.com</t>
  </si>
  <si>
    <t>582 130 1587</t>
  </si>
  <si>
    <t>Eal</t>
  </si>
  <si>
    <t>De Ambrosis</t>
  </si>
  <si>
    <t>edeambrosisja@nasa.gov</t>
  </si>
  <si>
    <t>768 334 6655</t>
  </si>
  <si>
    <t>Magdalena</t>
  </si>
  <si>
    <t>Kauffman</t>
  </si>
  <si>
    <t>mkauffmanjb@google.com</t>
  </si>
  <si>
    <t>776 914 8207</t>
  </si>
  <si>
    <t>Stanly</t>
  </si>
  <si>
    <t>Brierly</t>
  </si>
  <si>
    <t>sbrierlyjc@zdnet.com</t>
  </si>
  <si>
    <t>923 787 5752</t>
  </si>
  <si>
    <t>Thayne</t>
  </si>
  <si>
    <t>Malling</t>
  </si>
  <si>
    <t>tmallingjd@springer.com</t>
  </si>
  <si>
    <t>237 661 5637</t>
  </si>
  <si>
    <t>Drusy</t>
  </si>
  <si>
    <t>Beardow</t>
  </si>
  <si>
    <t>dbeardowje@1688.com</t>
  </si>
  <si>
    <t>539 732 9363</t>
  </si>
  <si>
    <t>Tammy</t>
  </si>
  <si>
    <t>Marns</t>
  </si>
  <si>
    <t>tmarnsjf@squarespace.com</t>
  </si>
  <si>
    <t>802 653 8961</t>
  </si>
  <si>
    <t>Stephie</t>
  </si>
  <si>
    <t>Abels</t>
  </si>
  <si>
    <t>sabelsjg@ed.gov</t>
  </si>
  <si>
    <t>326 377 9344</t>
  </si>
  <si>
    <t>Zola</t>
  </si>
  <si>
    <t>Berney</t>
  </si>
  <si>
    <t>zberneyjh@bandcamp.com</t>
  </si>
  <si>
    <t>656 719 1123</t>
  </si>
  <si>
    <t>Lora</t>
  </si>
  <si>
    <t>lcayetteji@feedburner.com</t>
  </si>
  <si>
    <t>706 409 4690</t>
  </si>
  <si>
    <t>Berke</t>
  </si>
  <si>
    <t>Edeler</t>
  </si>
  <si>
    <t>bedelerjj@timesonline.co.uk</t>
  </si>
  <si>
    <t>634 615 3556</t>
  </si>
  <si>
    <t>Devin</t>
  </si>
  <si>
    <t>Ruddiforth</t>
  </si>
  <si>
    <t>druddiforthjk@walmart.com</t>
  </si>
  <si>
    <t>113 684 8856</t>
  </si>
  <si>
    <t>Dalila</t>
  </si>
  <si>
    <t>Canon</t>
  </si>
  <si>
    <t>dcanonjl@biglobe.ne.jp</t>
  </si>
  <si>
    <t>899 359 3157</t>
  </si>
  <si>
    <t>Noby</t>
  </si>
  <si>
    <t>Glasscott</t>
  </si>
  <si>
    <t>nglasscottjm@irs.gov</t>
  </si>
  <si>
    <t>502 168 3081</t>
  </si>
  <si>
    <t>Del Dello</t>
  </si>
  <si>
    <t>ddeldellojn@privacy.gov.au</t>
  </si>
  <si>
    <t>813 636 2574</t>
  </si>
  <si>
    <t>Sofia</t>
  </si>
  <si>
    <t>Stroban</t>
  </si>
  <si>
    <t>sstrobanjo@opensource.org</t>
  </si>
  <si>
    <t>727 719 1983</t>
  </si>
  <si>
    <t>Pennie</t>
  </si>
  <si>
    <t>Reeman</t>
  </si>
  <si>
    <t>preemanjp@redcross.org</t>
  </si>
  <si>
    <t>436 991 6796</t>
  </si>
  <si>
    <t>Noble</t>
  </si>
  <si>
    <t>Seabrocke</t>
  </si>
  <si>
    <t>nseabrockejq@deviantart.com</t>
  </si>
  <si>
    <t>286 343 2014</t>
  </si>
  <si>
    <t>Avery</t>
  </si>
  <si>
    <t>Woodyeare</t>
  </si>
  <si>
    <t>awoodyearejr@rakuten.co.jp</t>
  </si>
  <si>
    <t>660 957 2468</t>
  </si>
  <si>
    <t>Nanete</t>
  </si>
  <si>
    <t>Caseborne</t>
  </si>
  <si>
    <t>ncasebornejs@bloomberg.com</t>
  </si>
  <si>
    <t>887 537 1551</t>
  </si>
  <si>
    <t>Evered</t>
  </si>
  <si>
    <t>Reiglar</t>
  </si>
  <si>
    <t>ereiglarjt@amazon.co.jp</t>
  </si>
  <si>
    <t>405 982 3026</t>
  </si>
  <si>
    <t>Tamera</t>
  </si>
  <si>
    <t>De Morena</t>
  </si>
  <si>
    <t>tdemorenaju@amazon.com</t>
  </si>
  <si>
    <t>447 867 1848</t>
  </si>
  <si>
    <t>Curr</t>
  </si>
  <si>
    <t>Guirardin</t>
  </si>
  <si>
    <t>cguirardinjv@dailymotion.com</t>
  </si>
  <si>
    <t>907 670 3599</t>
  </si>
  <si>
    <t>Clary</t>
  </si>
  <si>
    <t>Tomlins</t>
  </si>
  <si>
    <t>ctomlinsjw@diigo.com</t>
  </si>
  <si>
    <t>318 453 1061</t>
  </si>
  <si>
    <t>Matilde</t>
  </si>
  <si>
    <t>Seedhouse</t>
  </si>
  <si>
    <t>mseedhousejx@biglobe.ne.jp</t>
  </si>
  <si>
    <t>276 702 3923</t>
  </si>
  <si>
    <t>Tony</t>
  </si>
  <si>
    <t>Betty</t>
  </si>
  <si>
    <t>tbettyjy@nba.com</t>
  </si>
  <si>
    <t>482 841 0790</t>
  </si>
  <si>
    <t>Piggy</t>
  </si>
  <si>
    <t>Panting</t>
  </si>
  <si>
    <t>ppantingjz@barnesandnoble.com</t>
  </si>
  <si>
    <t>705 742 1549</t>
  </si>
  <si>
    <t>Udale</t>
  </si>
  <si>
    <t>Kippen</t>
  </si>
  <si>
    <t>ukippenk0@blogspot.com</t>
  </si>
  <si>
    <t>666 425 7943</t>
  </si>
  <si>
    <t>Lorrie</t>
  </si>
  <si>
    <t>Cometson</t>
  </si>
  <si>
    <t>lcometsonk1@homestead.com</t>
  </si>
  <si>
    <t>957 118 4641</t>
  </si>
  <si>
    <t>Keen</t>
  </si>
  <si>
    <t>D'Costa</t>
  </si>
  <si>
    <t>kdcostak2@answers.com</t>
  </si>
  <si>
    <t>322 482 6377</t>
  </si>
  <si>
    <t>Shoshanna</t>
  </si>
  <si>
    <t>Rignall</t>
  </si>
  <si>
    <t>srignallk3@barnesandnoble.com</t>
  </si>
  <si>
    <t>606 633 1874</t>
  </si>
  <si>
    <t>Danika</t>
  </si>
  <si>
    <t>Crosser</t>
  </si>
  <si>
    <t>dcrosserk4@mapquest.com</t>
  </si>
  <si>
    <t>738 598 2538</t>
  </si>
  <si>
    <t>Amil</t>
  </si>
  <si>
    <t>Dankersley</t>
  </si>
  <si>
    <t>adankersleyk5@meetup.com</t>
  </si>
  <si>
    <t>539 741 8089</t>
  </si>
  <si>
    <t>Rosa</t>
  </si>
  <si>
    <t>Ramel</t>
  </si>
  <si>
    <t>rramelk6@drupal.org</t>
  </si>
  <si>
    <t>462 141 5677</t>
  </si>
  <si>
    <t>Lawlance</t>
  </si>
  <si>
    <t>mlawlancek7@independent.co.uk</t>
  </si>
  <si>
    <t>720 430 0123</t>
  </si>
  <si>
    <t>Olivia</t>
  </si>
  <si>
    <t>Charlick</t>
  </si>
  <si>
    <t>ocharlickk8@nature.com</t>
  </si>
  <si>
    <t>422 141 5688</t>
  </si>
  <si>
    <t>Celine</t>
  </si>
  <si>
    <t>Fulk</t>
  </si>
  <si>
    <t>cfulkk9@baidu.com</t>
  </si>
  <si>
    <t>971 496 2858</t>
  </si>
  <si>
    <t>Heall</t>
  </si>
  <si>
    <t>Feronet</t>
  </si>
  <si>
    <t>hferonetka@drupal.org</t>
  </si>
  <si>
    <t>753 143 8530</t>
  </si>
  <si>
    <t>Dianne</t>
  </si>
  <si>
    <t>dscarfkb@altervista.org</t>
  </si>
  <si>
    <t>603 928 1527</t>
  </si>
  <si>
    <t>Valery</t>
  </si>
  <si>
    <t>Bischof</t>
  </si>
  <si>
    <t>vbischofkc@hostgator.com</t>
  </si>
  <si>
    <t>203 924 7657</t>
  </si>
  <si>
    <t>Georg</t>
  </si>
  <si>
    <t>Dashwood</t>
  </si>
  <si>
    <t>gdashwoodkd@phoca.cz</t>
  </si>
  <si>
    <t>186 349 4350</t>
  </si>
  <si>
    <t>Dalston</t>
  </si>
  <si>
    <t>MacEntee</t>
  </si>
  <si>
    <t>dmacenteeke@jugem.jp</t>
  </si>
  <si>
    <t>918 870 6791</t>
  </si>
  <si>
    <t>Mays</t>
  </si>
  <si>
    <t>989 618 8191</t>
  </si>
  <si>
    <t>Idette</t>
  </si>
  <si>
    <t>Casford</t>
  </si>
  <si>
    <t>icasfordkg@ovh.net</t>
  </si>
  <si>
    <t>889 280 7189</t>
  </si>
  <si>
    <t>Siss</t>
  </si>
  <si>
    <t>ysisskh@wufoo.com</t>
  </si>
  <si>
    <t>693 129 7913</t>
  </si>
  <si>
    <t>Tedd</t>
  </si>
  <si>
    <t>Glencrosche</t>
  </si>
  <si>
    <t>tglencroscheki@msn.com</t>
  </si>
  <si>
    <t>908 429 6284</t>
  </si>
  <si>
    <t>Indira</t>
  </si>
  <si>
    <t>Colpus</t>
  </si>
  <si>
    <t>icolpuskj@drupal.org</t>
  </si>
  <si>
    <t>162 857 3879</t>
  </si>
  <si>
    <t>Florella</t>
  </si>
  <si>
    <t>Manie</t>
  </si>
  <si>
    <t>fmaniekk@reuters.com</t>
  </si>
  <si>
    <t>159 198 0140</t>
  </si>
  <si>
    <t>Ashley</t>
  </si>
  <si>
    <t>Agglione</t>
  </si>
  <si>
    <t>aagglionekl@deliciousdays.com</t>
  </si>
  <si>
    <t>701 541 5930</t>
  </si>
  <si>
    <t>Oliver</t>
  </si>
  <si>
    <t>Cunnell</t>
  </si>
  <si>
    <t>ocunnellkm@is.gd</t>
  </si>
  <si>
    <t>490 396 7321</t>
  </si>
  <si>
    <t>Krystyna</t>
  </si>
  <si>
    <t>Burvill</t>
  </si>
  <si>
    <t>kburvillkn@scribd.com</t>
  </si>
  <si>
    <t>620 402 4040</t>
  </si>
  <si>
    <t>Rodolphe</t>
  </si>
  <si>
    <t>Halwill</t>
  </si>
  <si>
    <t>rhalwillko@nytimes.com</t>
  </si>
  <si>
    <t>992 115 7786</t>
  </si>
  <si>
    <t>Geri</t>
  </si>
  <si>
    <t>Lau</t>
  </si>
  <si>
    <t>glaukp@behance.net</t>
  </si>
  <si>
    <t>203 494 2712</t>
  </si>
  <si>
    <t>Brew</t>
  </si>
  <si>
    <t>Camblin</t>
  </si>
  <si>
    <t>bcamblinkq@shop-pro.jp</t>
  </si>
  <si>
    <t>371 703 5622</t>
  </si>
  <si>
    <t>hyongkr@nba.com</t>
  </si>
  <si>
    <t>881 281 5564</t>
  </si>
  <si>
    <t>Nikolai</t>
  </si>
  <si>
    <t>Robley</t>
  </si>
  <si>
    <t>nrobleyks@goo.gl</t>
  </si>
  <si>
    <t>862 152 4068</t>
  </si>
  <si>
    <t>Lock</t>
  </si>
  <si>
    <t>Chase</t>
  </si>
  <si>
    <t>lchasekt@amazonaws.com</t>
  </si>
  <si>
    <t>360 550 8957</t>
  </si>
  <si>
    <t>Biron</t>
  </si>
  <si>
    <t>Duligal</t>
  </si>
  <si>
    <t>bduligalku@g.co</t>
  </si>
  <si>
    <t>809 491 1774</t>
  </si>
  <si>
    <t>Molloy</t>
  </si>
  <si>
    <t>mmolloykv@nsw.gov.au</t>
  </si>
  <si>
    <t>725 137 4285</t>
  </si>
  <si>
    <t>Wilbur</t>
  </si>
  <si>
    <t>Quade</t>
  </si>
  <si>
    <t>wquadekw@tumblr.com</t>
  </si>
  <si>
    <t>932 896 7878</t>
  </si>
  <si>
    <t>Rubinchik</t>
  </si>
  <si>
    <t>mrubinchikkx@github.io</t>
  </si>
  <si>
    <t>544 424 1919</t>
  </si>
  <si>
    <t>Pammie</t>
  </si>
  <si>
    <t>Bloomfield</t>
  </si>
  <si>
    <t>pbloomfieldky@virginia.edu</t>
  </si>
  <si>
    <t>140 378 0982</t>
  </si>
  <si>
    <t>Lilah</t>
  </si>
  <si>
    <t>Carbert</t>
  </si>
  <si>
    <t>lcarbertkz@ed.gov</t>
  </si>
  <si>
    <t>466 278 5744</t>
  </si>
  <si>
    <t>Torin</t>
  </si>
  <si>
    <t>Haggish</t>
  </si>
  <si>
    <t>thaggishl0@smh.com.au</t>
  </si>
  <si>
    <t>984 679 3651</t>
  </si>
  <si>
    <t>Arent</t>
  </si>
  <si>
    <t>tarentl1@nih.gov</t>
  </si>
  <si>
    <t>176 498 7039</t>
  </si>
  <si>
    <t>Vinny</t>
  </si>
  <si>
    <t>Smidmor</t>
  </si>
  <si>
    <t>vsmidmorl2@nytimes.com</t>
  </si>
  <si>
    <t>952 639 5140</t>
  </si>
  <si>
    <t>Brody</t>
  </si>
  <si>
    <t>Wellan</t>
  </si>
  <si>
    <t>bwellanl3@thetimes.co.uk</t>
  </si>
  <si>
    <t>592 546 2199</t>
  </si>
  <si>
    <t>Holly</t>
  </si>
  <si>
    <t>Hubbold</t>
  </si>
  <si>
    <t>hhubboldl4@sina.com.cn</t>
  </si>
  <si>
    <t>564 451 7399</t>
  </si>
  <si>
    <t>Malatalant</t>
  </si>
  <si>
    <t>hmalatalantl5@shinystat.com</t>
  </si>
  <si>
    <t>758 375 5494</t>
  </si>
  <si>
    <t>Gayle</t>
  </si>
  <si>
    <t>Eager</t>
  </si>
  <si>
    <t>geagerl6@zdnet.com</t>
  </si>
  <si>
    <t>121 647 0998</t>
  </si>
  <si>
    <t>Karin</t>
  </si>
  <si>
    <t>De Mitris</t>
  </si>
  <si>
    <t>kdemitrisl7@marketwatch.com</t>
  </si>
  <si>
    <t>702 213 4465</t>
  </si>
  <si>
    <t>Aldridge</t>
  </si>
  <si>
    <t>Wassell</t>
  </si>
  <si>
    <t>awasselll8@mac.com</t>
  </si>
  <si>
    <t>256 730 2287</t>
  </si>
  <si>
    <t>Ty</t>
  </si>
  <si>
    <t>Gauvain</t>
  </si>
  <si>
    <t>tgauvainl9@npr.org</t>
  </si>
  <si>
    <t>583 752 6182</t>
  </si>
  <si>
    <t>Lanita</t>
  </si>
  <si>
    <t>Andreassen</t>
  </si>
  <si>
    <t>landreassenla@google.pl</t>
  </si>
  <si>
    <t>508 124 8164</t>
  </si>
  <si>
    <t>Cthrine</t>
  </si>
  <si>
    <t>Suddell</t>
  </si>
  <si>
    <t>csuddelllb@mail.ru</t>
  </si>
  <si>
    <t>421 149 5345</t>
  </si>
  <si>
    <t>Vassily</t>
  </si>
  <si>
    <t>Hew</t>
  </si>
  <si>
    <t>vhewlc@goo.ne.jp</t>
  </si>
  <si>
    <t>672 229 8488</t>
  </si>
  <si>
    <t>Sonny</t>
  </si>
  <si>
    <t>sraisonld@shutterfly.com</t>
  </si>
  <si>
    <t>903 878 8583</t>
  </si>
  <si>
    <t>Flora</t>
  </si>
  <si>
    <t>Eads</t>
  </si>
  <si>
    <t>feadsle@vimeo.com</t>
  </si>
  <si>
    <t>278 946 1722</t>
  </si>
  <si>
    <t>Isadora</t>
  </si>
  <si>
    <t>Nern</t>
  </si>
  <si>
    <t>inernlf@reuters.com</t>
  </si>
  <si>
    <t>943 692 7535</t>
  </si>
  <si>
    <t>Cloney</t>
  </si>
  <si>
    <t>fcloneylg@bizjournals.com</t>
  </si>
  <si>
    <t>930 799 6526</t>
  </si>
  <si>
    <t>Nolana</t>
  </si>
  <si>
    <t>Osment</t>
  </si>
  <si>
    <t>nosmentlh@weibo.com</t>
  </si>
  <si>
    <t>522 665 7724</t>
  </si>
  <si>
    <t>Esme</t>
  </si>
  <si>
    <t>Elland</t>
  </si>
  <si>
    <t>eellandli@themeforest.net</t>
  </si>
  <si>
    <t>985 206 4082</t>
  </si>
  <si>
    <t>Goodboddy</t>
  </si>
  <si>
    <t>sgoodboddylj@cbsnews.com</t>
  </si>
  <si>
    <t>913 159 9241</t>
  </si>
  <si>
    <t>Lotti</t>
  </si>
  <si>
    <t>Ciotto</t>
  </si>
  <si>
    <t>lciottolk@behance.net</t>
  </si>
  <si>
    <t>128 169 9336</t>
  </si>
  <si>
    <t>Dewitt</t>
  </si>
  <si>
    <t>Trippack</t>
  </si>
  <si>
    <t>dtrippackll@census.gov</t>
  </si>
  <si>
    <t>170 186 6415</t>
  </si>
  <si>
    <t>Tomlett</t>
  </si>
  <si>
    <t>ctomlettlm@independent.co.uk</t>
  </si>
  <si>
    <t>388 704 7206</t>
  </si>
  <si>
    <t>Cosimo</t>
  </si>
  <si>
    <t>Golland</t>
  </si>
  <si>
    <t>cgollandln@mozilla.org</t>
  </si>
  <si>
    <t>145 739 6812</t>
  </si>
  <si>
    <t>Ebony</t>
  </si>
  <si>
    <t>Jouaneton</t>
  </si>
  <si>
    <t>ejouanetonlo@flavors.me</t>
  </si>
  <si>
    <t>281 962 0283</t>
  </si>
  <si>
    <t>Tzar</t>
  </si>
  <si>
    <t>ptzarlp@issuu.com</t>
  </si>
  <si>
    <t>946 729 9094</t>
  </si>
  <si>
    <t>Selle</t>
  </si>
  <si>
    <t>Ledwitch</t>
  </si>
  <si>
    <t>sledwitchlq@com.com</t>
  </si>
  <si>
    <t>766 497 8893</t>
  </si>
  <si>
    <t>Hurdis</t>
  </si>
  <si>
    <t>thurdislr@pagesperso-orange.fr</t>
  </si>
  <si>
    <t>538 361 3348</t>
  </si>
  <si>
    <t>Sherwynd</t>
  </si>
  <si>
    <t>Udy</t>
  </si>
  <si>
    <t>sudyls@pinterest.com</t>
  </si>
  <si>
    <t>458 490 4050</t>
  </si>
  <si>
    <t>Arnoldo</t>
  </si>
  <si>
    <t>Betho</t>
  </si>
  <si>
    <t>abetholt@tmall.com</t>
  </si>
  <si>
    <t>553 927 1999</t>
  </si>
  <si>
    <t>Joell</t>
  </si>
  <si>
    <t>Deam</t>
  </si>
  <si>
    <t>jdeamlu@gnu.org</t>
  </si>
  <si>
    <t>828 692 5699</t>
  </si>
  <si>
    <t>Anallise</t>
  </si>
  <si>
    <t>Veck</t>
  </si>
  <si>
    <t>avecklv@tuttocitta.it</t>
  </si>
  <si>
    <t>778 325 3070</t>
  </si>
  <si>
    <t>Osgood</t>
  </si>
  <si>
    <t>Desouza</t>
  </si>
  <si>
    <t>odesouzalw@bandcamp.com</t>
  </si>
  <si>
    <t>773 309 4338</t>
  </si>
  <si>
    <t>Broderick</t>
  </si>
  <si>
    <t>Platt</t>
  </si>
  <si>
    <t>bplattlx@wordpress.org</t>
  </si>
  <si>
    <t>843 468 2780</t>
  </si>
  <si>
    <t>Delmar</t>
  </si>
  <si>
    <t>Ching</t>
  </si>
  <si>
    <t>dchingly@cisco.com</t>
  </si>
  <si>
    <t>307 373 7745</t>
  </si>
  <si>
    <t>Merriday</t>
  </si>
  <si>
    <t>mmerridaylz@army.mil</t>
  </si>
  <si>
    <t>246 475 9184</t>
  </si>
  <si>
    <t>Derrek</t>
  </si>
  <si>
    <t>Wanka</t>
  </si>
  <si>
    <t>dwankam0@icq.com</t>
  </si>
  <si>
    <t>629 232 1251</t>
  </si>
  <si>
    <t>Joelle</t>
  </si>
  <si>
    <t>Shipsey</t>
  </si>
  <si>
    <t>jshipseym1@newyorker.com</t>
  </si>
  <si>
    <t>439 608 5430</t>
  </si>
  <si>
    <t>Marlyn</t>
  </si>
  <si>
    <t>Fell</t>
  </si>
  <si>
    <t>mfellm2@flickr.com</t>
  </si>
  <si>
    <t>973 661 4492</t>
  </si>
  <si>
    <t>Oralie</t>
  </si>
  <si>
    <t>Wilder</t>
  </si>
  <si>
    <t>owilderm3@dell.com</t>
  </si>
  <si>
    <t>837 487 7904</t>
  </si>
  <si>
    <t>Hersch</t>
  </si>
  <si>
    <t>Cheney</t>
  </si>
  <si>
    <t>hcheneym4@nydailynews.com</t>
  </si>
  <si>
    <t>413 202 9527</t>
  </si>
  <si>
    <t>Natty</t>
  </si>
  <si>
    <t>Escalera</t>
  </si>
  <si>
    <t>nescaleram5@blogspot.com</t>
  </si>
  <si>
    <t>337 709 0267</t>
  </si>
  <si>
    <t>Hedworth</t>
  </si>
  <si>
    <t>ahedworthm6@huffingtonpost.com</t>
  </si>
  <si>
    <t>697 838 0622</t>
  </si>
  <si>
    <t>Dukie</t>
  </si>
  <si>
    <t>Rodger</t>
  </si>
  <si>
    <t>drodgerm7@bravesites.com</t>
  </si>
  <si>
    <t>717 550 2589</t>
  </si>
  <si>
    <t>jgollandm8@ow.ly</t>
  </si>
  <si>
    <t>124 650 8883</t>
  </si>
  <si>
    <t>Noach</t>
  </si>
  <si>
    <t>Eam</t>
  </si>
  <si>
    <t>neamm9@independent.co.uk</t>
  </si>
  <si>
    <t>274 695 0956</t>
  </si>
  <si>
    <t>Winslow</t>
  </si>
  <si>
    <t>Haslock(e)</t>
  </si>
  <si>
    <t>whaslockema@de.vu</t>
  </si>
  <si>
    <t>644 712 4016</t>
  </si>
  <si>
    <t>Abbie</t>
  </si>
  <si>
    <t>Voelker</t>
  </si>
  <si>
    <t>avoelkermb@wisc.edu</t>
  </si>
  <si>
    <t>696 473 0727</t>
  </si>
  <si>
    <t>Kendall</t>
  </si>
  <si>
    <t>Varran</t>
  </si>
  <si>
    <t>kvarranmc@vkontakte.ru</t>
  </si>
  <si>
    <t>617 660 1404</t>
  </si>
  <si>
    <t>Mikol</t>
  </si>
  <si>
    <t>MacPhee</t>
  </si>
  <si>
    <t>mmacpheemd@51.la</t>
  </si>
  <si>
    <t>184 251 7074</t>
  </si>
  <si>
    <t>Thain</t>
  </si>
  <si>
    <t>Van den Broek</t>
  </si>
  <si>
    <t>tvandenbroekme@wordpress.org</t>
  </si>
  <si>
    <t>565 779 1088</t>
  </si>
  <si>
    <t>Germayne</t>
  </si>
  <si>
    <t>Gergus</t>
  </si>
  <si>
    <t>ggergusmf@opensource.org</t>
  </si>
  <si>
    <t>777 541 7398</t>
  </si>
  <si>
    <t>Ardene</t>
  </si>
  <si>
    <t>Panton</t>
  </si>
  <si>
    <t>apantonmg@csmonitor.com</t>
  </si>
  <si>
    <t>624 714 1419</t>
  </si>
  <si>
    <t>Sile</t>
  </si>
  <si>
    <t>Megarrell</t>
  </si>
  <si>
    <t>smegarrellmh@abc.net.au</t>
  </si>
  <si>
    <t>922 160 1331</t>
  </si>
  <si>
    <t>Vynarde</t>
  </si>
  <si>
    <t>dvynardemi@lycos.com</t>
  </si>
  <si>
    <t>548 732 9040</t>
  </si>
  <si>
    <t>Fidel</t>
  </si>
  <si>
    <t>Morrell</t>
  </si>
  <si>
    <t>fmorrellmj@state.tx.us</t>
  </si>
  <si>
    <t>176 901 0845</t>
  </si>
  <si>
    <t>Jerome</t>
  </si>
  <si>
    <t>Wabb</t>
  </si>
  <si>
    <t>jwabbmk@google.com.hk</t>
  </si>
  <si>
    <t>419 659 0805</t>
  </si>
  <si>
    <t>Maddy</t>
  </si>
  <si>
    <t>Kopta</t>
  </si>
  <si>
    <t>mkoptaml@si.edu</t>
  </si>
  <si>
    <t>623 963 8045</t>
  </si>
  <si>
    <t>Adria</t>
  </si>
  <si>
    <t>Sushams</t>
  </si>
  <si>
    <t>asushamsmm@jalbum.net</t>
  </si>
  <si>
    <t>818 941 7945</t>
  </si>
  <si>
    <t>Martita</t>
  </si>
  <si>
    <t>Lukesch</t>
  </si>
  <si>
    <t>mlukeschmn@newsvine.com</t>
  </si>
  <si>
    <t>802 162 5074</t>
  </si>
  <si>
    <t>Dori</t>
  </si>
  <si>
    <t>Leathes</t>
  </si>
  <si>
    <t>dleathesmo@mtv.com</t>
  </si>
  <si>
    <t>449 464 3936</t>
  </si>
  <si>
    <t>Sayer</t>
  </si>
  <si>
    <t>Mickan</t>
  </si>
  <si>
    <t>smickanmp@google.com.hk</t>
  </si>
  <si>
    <t>620 720 5154</t>
  </si>
  <si>
    <t>Rania</t>
  </si>
  <si>
    <t>Hamblin</t>
  </si>
  <si>
    <t>rhamblinmq@dyndns.org</t>
  </si>
  <si>
    <t>402 929 7001</t>
  </si>
  <si>
    <t>Agathe</t>
  </si>
  <si>
    <t>Getty</t>
  </si>
  <si>
    <t>agettymr@issuu.com</t>
  </si>
  <si>
    <t>229 820 5066</t>
  </si>
  <si>
    <t>Hetti</t>
  </si>
  <si>
    <t>Nicol</t>
  </si>
  <si>
    <t>hnicolms@zimbio.com</t>
  </si>
  <si>
    <t>679 355 2724</t>
  </si>
  <si>
    <t>Klarrisa</t>
  </si>
  <si>
    <t>Rickersy</t>
  </si>
  <si>
    <t>krickersymt@unblog.fr</t>
  </si>
  <si>
    <t>617 786 3572</t>
  </si>
  <si>
    <t>Giulia</t>
  </si>
  <si>
    <t>Ibbs</t>
  </si>
  <si>
    <t>gibbsmu@about.com</t>
  </si>
  <si>
    <t>947 719 7388</t>
  </si>
  <si>
    <t>Chucho</t>
  </si>
  <si>
    <t>Puckey</t>
  </si>
  <si>
    <t>cpuckeymv@bandcamp.com</t>
  </si>
  <si>
    <t>936 252 2555</t>
  </si>
  <si>
    <t>Garth</t>
  </si>
  <si>
    <t>Pittman</t>
  </si>
  <si>
    <t>gpittmanmw@cargocollective.com</t>
  </si>
  <si>
    <t>315 612 1214</t>
  </si>
  <si>
    <t>Alleen</t>
  </si>
  <si>
    <t>Cattell</t>
  </si>
  <si>
    <t>acattellmx@sitemeter.com</t>
  </si>
  <si>
    <t>596 522 2676</t>
  </si>
  <si>
    <t>Yuri</t>
  </si>
  <si>
    <t>Stiles</t>
  </si>
  <si>
    <t>ystilesmy@alexa.com</t>
  </si>
  <si>
    <t>617 847 5184</t>
  </si>
  <si>
    <t>Ceil</t>
  </si>
  <si>
    <t>Daulby</t>
  </si>
  <si>
    <t>cdaulbymz@squarespace.com</t>
  </si>
  <si>
    <t>571 474 7490</t>
  </si>
  <si>
    <t>Byron</t>
  </si>
  <si>
    <t>Plank</t>
  </si>
  <si>
    <t>bplankn0@cornell.edu</t>
  </si>
  <si>
    <t>906 204 0440</t>
  </si>
  <si>
    <t>Saunton</t>
  </si>
  <si>
    <t>vsauntonn1@xrea.com</t>
  </si>
  <si>
    <t>409 191 1054</t>
  </si>
  <si>
    <t>Harlen</t>
  </si>
  <si>
    <t>Jagson</t>
  </si>
  <si>
    <t>hjagsonn2@skype.com</t>
  </si>
  <si>
    <t>722 817 8067</t>
  </si>
  <si>
    <t>Barn</t>
  </si>
  <si>
    <t>Danelet</t>
  </si>
  <si>
    <t>bdaneletn3@unblog.fr</t>
  </si>
  <si>
    <t>861 574 2710</t>
  </si>
  <si>
    <t>Norma</t>
  </si>
  <si>
    <t>Monksfield</t>
  </si>
  <si>
    <t>nmonksfieldn4@unicef.org</t>
  </si>
  <si>
    <t>305 197 8692</t>
  </si>
  <si>
    <t>Vincenty</t>
  </si>
  <si>
    <t>De la Yglesias</t>
  </si>
  <si>
    <t>vdelayglesiasn5@spiegel.de</t>
  </si>
  <si>
    <t>474 234 4983</t>
  </si>
  <si>
    <t>Heale</t>
  </si>
  <si>
    <t>ohealen6@meetup.com</t>
  </si>
  <si>
    <t>400 390 5543</t>
  </si>
  <si>
    <t>Toleman</t>
  </si>
  <si>
    <t>jtolemann7@surveymonkey.com</t>
  </si>
  <si>
    <t>637 308 8294</t>
  </si>
  <si>
    <t>Marysa</t>
  </si>
  <si>
    <t>Hounihan</t>
  </si>
  <si>
    <t>mhounihann8@nba.com</t>
  </si>
  <si>
    <t>712 700 9216</t>
  </si>
  <si>
    <t>Walsh</t>
  </si>
  <si>
    <t>Orht</t>
  </si>
  <si>
    <t>worhtn9@slashdot.org</t>
  </si>
  <si>
    <t>535 566 6341</t>
  </si>
  <si>
    <t>Pattin</t>
  </si>
  <si>
    <t>Macon</t>
  </si>
  <si>
    <t>pmaconna@ihg.com</t>
  </si>
  <si>
    <t>387 138 6696</t>
  </si>
  <si>
    <t>Rosina</t>
  </si>
  <si>
    <t>Kiddie</t>
  </si>
  <si>
    <t>rkiddienb@reuters.com</t>
  </si>
  <si>
    <t>233 394 2177</t>
  </si>
  <si>
    <t>Barde</t>
  </si>
  <si>
    <t>Basek</t>
  </si>
  <si>
    <t>bbaseknc@comsenz.com</t>
  </si>
  <si>
    <t>656 765 9324</t>
  </si>
  <si>
    <t>Sapphira</t>
  </si>
  <si>
    <t>Chappell</t>
  </si>
  <si>
    <t>schappellnd@csmonitor.com</t>
  </si>
  <si>
    <t>541 954 5814</t>
  </si>
  <si>
    <t>Ase</t>
  </si>
  <si>
    <t>Archibould</t>
  </si>
  <si>
    <t>aarchibouldne@google.it</t>
  </si>
  <si>
    <t>552 196 2297</t>
  </si>
  <si>
    <t>Renault</t>
  </si>
  <si>
    <t>Carlaw</t>
  </si>
  <si>
    <t>rcarlawnf@furl.net</t>
  </si>
  <si>
    <t>718 115 7919</t>
  </si>
  <si>
    <t>Willi</t>
  </si>
  <si>
    <t>Bolt</t>
  </si>
  <si>
    <t>wboltng@wikipedia.org</t>
  </si>
  <si>
    <t>199 641 3187</t>
  </si>
  <si>
    <t>Pippa</t>
  </si>
  <si>
    <t>Waleworke</t>
  </si>
  <si>
    <t>pwaleworkenh@netscape.com</t>
  </si>
  <si>
    <t>707 943 9571</t>
  </si>
  <si>
    <t>Neil</t>
  </si>
  <si>
    <t>Warrior</t>
  </si>
  <si>
    <t>nwarriorni@latimes.com</t>
  </si>
  <si>
    <t>124 382 9749</t>
  </si>
  <si>
    <t>Harmony</t>
  </si>
  <si>
    <t>Ribchester</t>
  </si>
  <si>
    <t>hribchesternj@google.es</t>
  </si>
  <si>
    <t>489 581 4385</t>
  </si>
  <si>
    <t>Emory</t>
  </si>
  <si>
    <t>Cabel</t>
  </si>
  <si>
    <t>ecabelnk@plala.or.jp</t>
  </si>
  <si>
    <t>857 160 9429</t>
  </si>
  <si>
    <t>Fax</t>
  </si>
  <si>
    <t>Southerns</t>
  </si>
  <si>
    <t>fsouthernsnl@imageshack.us</t>
  </si>
  <si>
    <t>565 890 1305</t>
  </si>
  <si>
    <t>Georgianne</t>
  </si>
  <si>
    <t>Lahrs</t>
  </si>
  <si>
    <t>glahrsnm@skype.com</t>
  </si>
  <si>
    <t>197 311 1036</t>
  </si>
  <si>
    <t>Kayne</t>
  </si>
  <si>
    <t>Arnefield</t>
  </si>
  <si>
    <t>karnefieldnn@eventbrite.com</t>
  </si>
  <si>
    <t>591 765 0989</t>
  </si>
  <si>
    <t>Neron</t>
  </si>
  <si>
    <t>Mohring</t>
  </si>
  <si>
    <t>nmohringno@utexas.edu</t>
  </si>
  <si>
    <t>972 447 2234</t>
  </si>
  <si>
    <t>Lenee</t>
  </si>
  <si>
    <t>Seabourne</t>
  </si>
  <si>
    <t>lseabournenp@ft.com</t>
  </si>
  <si>
    <t>277 498 1165</t>
  </si>
  <si>
    <t>Grantley</t>
  </si>
  <si>
    <t>Orr</t>
  </si>
  <si>
    <t>gorrnq@cdbaby.com</t>
  </si>
  <si>
    <t>801 943 3047</t>
  </si>
  <si>
    <t>Rhodie</t>
  </si>
  <si>
    <t>rbartolicnr@shutterfly.com</t>
  </si>
  <si>
    <t>680 237 6538</t>
  </si>
  <si>
    <t>Fairburn</t>
  </si>
  <si>
    <t>cfairburnns@themeforest.net</t>
  </si>
  <si>
    <t>740 524 5952</t>
  </si>
  <si>
    <t>Vannini</t>
  </si>
  <si>
    <t>avanninint@yellowpages.com</t>
  </si>
  <si>
    <t>101 147 4462</t>
  </si>
  <si>
    <t>Isidor</t>
  </si>
  <si>
    <t>Crosen</t>
  </si>
  <si>
    <t>icrosennu@over-blog.com</t>
  </si>
  <si>
    <t>365 227 3347</t>
  </si>
  <si>
    <t>Sherm</t>
  </si>
  <si>
    <t>Castellani</t>
  </si>
  <si>
    <t>scastellaninv@marriott.com</t>
  </si>
  <si>
    <t>211 294 7560</t>
  </si>
  <si>
    <t>Celestine</t>
  </si>
  <si>
    <t>Giacovazzo</t>
  </si>
  <si>
    <t>cgiacovazzonw@buzzfeed.com</t>
  </si>
  <si>
    <t>399 225 5198</t>
  </si>
  <si>
    <t>Anthony</t>
  </si>
  <si>
    <t>Tuiller</t>
  </si>
  <si>
    <t>atuillernx@bing.com</t>
  </si>
  <si>
    <t>272 873 2841</t>
  </si>
  <si>
    <t>Zacharie</t>
  </si>
  <si>
    <t>MacVagh</t>
  </si>
  <si>
    <t>zmacvaghny@wisc.edu</t>
  </si>
  <si>
    <t>489 623 8960</t>
  </si>
  <si>
    <t>Leslie</t>
  </si>
  <si>
    <t>Snar</t>
  </si>
  <si>
    <t>lsnarnz@cornell.edu</t>
  </si>
  <si>
    <t>579 302 1277</t>
  </si>
  <si>
    <t>Onofredo</t>
  </si>
  <si>
    <t>Merali</t>
  </si>
  <si>
    <t>omeralio0@washington.edu</t>
  </si>
  <si>
    <t>101 802 9750</t>
  </si>
  <si>
    <t>Heinrick</t>
  </si>
  <si>
    <t>Mulqueen</t>
  </si>
  <si>
    <t>hmulqueeno1@github.com</t>
  </si>
  <si>
    <t>118 817 5600</t>
  </si>
  <si>
    <t>Georas</t>
  </si>
  <si>
    <t>Matias</t>
  </si>
  <si>
    <t>gmatiaso2@sitemeter.com</t>
  </si>
  <si>
    <t>506 453 1921</t>
  </si>
  <si>
    <t>Romonda</t>
  </si>
  <si>
    <t>Pedri</t>
  </si>
  <si>
    <t>rpedrio3@ucoz.com</t>
  </si>
  <si>
    <t>590 762 9182</t>
  </si>
  <si>
    <t>Minne</t>
  </si>
  <si>
    <t>Thurlow</t>
  </si>
  <si>
    <t>mthurlowo4@disqus.com</t>
  </si>
  <si>
    <t>497 421 3735</t>
  </si>
  <si>
    <t>Annissa</t>
  </si>
  <si>
    <t>Embury</t>
  </si>
  <si>
    <t>aemburyo5@facebook.com</t>
  </si>
  <si>
    <t>984 207 2875</t>
  </si>
  <si>
    <t>Giffard</t>
  </si>
  <si>
    <t>Kemmet</t>
  </si>
  <si>
    <t>gkemmeto6@wunderground.com</t>
  </si>
  <si>
    <t>354 398 2503</t>
  </si>
  <si>
    <t>Perl</t>
  </si>
  <si>
    <t>Felmingham</t>
  </si>
  <si>
    <t>pfelminghamo7@plala.or.jp</t>
  </si>
  <si>
    <t>326 831 9033</t>
  </si>
  <si>
    <t>Seumas</t>
  </si>
  <si>
    <t>Rayne</t>
  </si>
  <si>
    <t>srayneo8@mapquest.com</t>
  </si>
  <si>
    <t>388 789 8299</t>
  </si>
  <si>
    <t>Anastasie</t>
  </si>
  <si>
    <t>Crowcroft</t>
  </si>
  <si>
    <t>acrowcrofto9@google.fr</t>
  </si>
  <si>
    <t>653 350 5708</t>
  </si>
  <si>
    <t>Charita</t>
  </si>
  <si>
    <t>Bayns</t>
  </si>
  <si>
    <t>cbaynsoa@telegraph.co.uk</t>
  </si>
  <si>
    <t>574 708 7486</t>
  </si>
  <si>
    <t>Britt</t>
  </si>
  <si>
    <t>bgumeyob@a8.net</t>
  </si>
  <si>
    <t>712 959 4086</t>
  </si>
  <si>
    <t>Bertram</t>
  </si>
  <si>
    <t>Moriarty</t>
  </si>
  <si>
    <t>bmoriartyoc@360.cn</t>
  </si>
  <si>
    <t>152 466 0941</t>
  </si>
  <si>
    <t>Eulalie</t>
  </si>
  <si>
    <t>Talmadge</t>
  </si>
  <si>
    <t>etalmadgeod@army.mil</t>
  </si>
  <si>
    <t>374 919 3317</t>
  </si>
  <si>
    <t>Ivan</t>
  </si>
  <si>
    <t>Pattingson</t>
  </si>
  <si>
    <t>ipattingsonoe@discuz.net</t>
  </si>
  <si>
    <t>184 335 1934</t>
  </si>
  <si>
    <t>Teddie</t>
  </si>
  <si>
    <t>Gullen</t>
  </si>
  <si>
    <t>tgullenof@youku.com</t>
  </si>
  <si>
    <t>329 100 7333</t>
  </si>
  <si>
    <t>Maressa</t>
  </si>
  <si>
    <t>Andreia</t>
  </si>
  <si>
    <t>mandreiaog@tuttocitta.it</t>
  </si>
  <si>
    <t>691 411 3414</t>
  </si>
  <si>
    <t>Henderson</t>
  </si>
  <si>
    <t>McDonell</t>
  </si>
  <si>
    <t>hmcdonelloh@cam.ac.uk</t>
  </si>
  <si>
    <t>228 676 2323</t>
  </si>
  <si>
    <t>Edythe</t>
  </si>
  <si>
    <t>Syddall</t>
  </si>
  <si>
    <t>esyddalloi@exblog.jp</t>
  </si>
  <si>
    <t>507 110 1667</t>
  </si>
  <si>
    <t>Hugh</t>
  </si>
  <si>
    <t>Baiss</t>
  </si>
  <si>
    <t>hbaissoj@plala.or.jp</t>
  </si>
  <si>
    <t>500 892 4281</t>
  </si>
  <si>
    <t>Janos</t>
  </si>
  <si>
    <t>Delany</t>
  </si>
  <si>
    <t>jdelanyok@walmart.com</t>
  </si>
  <si>
    <t>322 494 9282</t>
  </si>
  <si>
    <t>Eran</t>
  </si>
  <si>
    <t>Lambertz</t>
  </si>
  <si>
    <t>elambertzol@cmu.edu</t>
  </si>
  <si>
    <t>297 474 9737</t>
  </si>
  <si>
    <t>Gilberto</t>
  </si>
  <si>
    <t>Tytherton</t>
  </si>
  <si>
    <t>gtythertonom@ehow.com</t>
  </si>
  <si>
    <t>919 414 0580</t>
  </si>
  <si>
    <t>Hayward</t>
  </si>
  <si>
    <t>Corder</t>
  </si>
  <si>
    <t>hcorderon@latimes.com</t>
  </si>
  <si>
    <t>700 141 0785</t>
  </si>
  <si>
    <t>Sterne</t>
  </si>
  <si>
    <t>Macklin</t>
  </si>
  <si>
    <t>smacklinoo@last.fm</t>
  </si>
  <si>
    <t>178 510 4096</t>
  </si>
  <si>
    <t>McFayden</t>
  </si>
  <si>
    <t>wmcfaydenop@discovery.com</t>
  </si>
  <si>
    <t>669 528 3399</t>
  </si>
  <si>
    <t>Averyl</t>
  </si>
  <si>
    <t>Fronek</t>
  </si>
  <si>
    <t>afronekoq@theglobeandmail.com</t>
  </si>
  <si>
    <t>322 565 9234</t>
  </si>
  <si>
    <t>Garrett</t>
  </si>
  <si>
    <t>Widdop</t>
  </si>
  <si>
    <t>gwiddopor@walmart.com</t>
  </si>
  <si>
    <t>101 551 5786</t>
  </si>
  <si>
    <t>Tyson</t>
  </si>
  <si>
    <t>Jarrard</t>
  </si>
  <si>
    <t>tjarrardos@ebay.com</t>
  </si>
  <si>
    <t>867 533 4398</t>
  </si>
  <si>
    <t>Auberon</t>
  </si>
  <si>
    <t>McCormick</t>
  </si>
  <si>
    <t>amccormickot@canalblog.com</t>
  </si>
  <si>
    <t>218 890 2707</t>
  </si>
  <si>
    <t>Ernie</t>
  </si>
  <si>
    <t>Crother</t>
  </si>
  <si>
    <t>ecrotherou@mozilla.com</t>
  </si>
  <si>
    <t>656 584 2404</t>
  </si>
  <si>
    <t>Mabelle</t>
  </si>
  <si>
    <t>Tittletross</t>
  </si>
  <si>
    <t>mtittletrossov@psu.edu</t>
  </si>
  <si>
    <t>813 101 1756</t>
  </si>
  <si>
    <t>Norton</t>
  </si>
  <si>
    <t>Blackford</t>
  </si>
  <si>
    <t>nblackfordow@biblegateway.com</t>
  </si>
  <si>
    <t>151 107 4656</t>
  </si>
  <si>
    <t>Flossy</t>
  </si>
  <si>
    <t>Brawley</t>
  </si>
  <si>
    <t>fbrawleyox@wiley.com</t>
  </si>
  <si>
    <t>282 285 2582</t>
  </si>
  <si>
    <t>Eolande</t>
  </si>
  <si>
    <t>Trayford</t>
  </si>
  <si>
    <t>etrayfordoy@multiply.com</t>
  </si>
  <si>
    <t>967 225 3801</t>
  </si>
  <si>
    <t>Shellysheldon</t>
  </si>
  <si>
    <t>Kniveton</t>
  </si>
  <si>
    <t>sknivetonoz@ning.com</t>
  </si>
  <si>
    <t>906 474 7344</t>
  </si>
  <si>
    <t>Allin</t>
  </si>
  <si>
    <t>Gedling</t>
  </si>
  <si>
    <t>agedlingp0@uol.com.br</t>
  </si>
  <si>
    <t>772 556 2588</t>
  </si>
  <si>
    <t>Ashby</t>
  </si>
  <si>
    <t>Yanshinov</t>
  </si>
  <si>
    <t>ayanshinovp1@squarespace.com</t>
  </si>
  <si>
    <t>883 884 8547</t>
  </si>
  <si>
    <t>Dorita</t>
  </si>
  <si>
    <t>Achurch</t>
  </si>
  <si>
    <t>dachurchp2@wikia.com</t>
  </si>
  <si>
    <t>335 362 7850</t>
  </si>
  <si>
    <t>Margot</t>
  </si>
  <si>
    <t>Brumbye</t>
  </si>
  <si>
    <t>mbrumbyep3@cmu.edu</t>
  </si>
  <si>
    <t>559 354 3017</t>
  </si>
  <si>
    <t>Mathian</t>
  </si>
  <si>
    <t>Legister</t>
  </si>
  <si>
    <t>mlegisterp4@cafepress.com</t>
  </si>
  <si>
    <t>871 297 0453</t>
  </si>
  <si>
    <t>Vivia</t>
  </si>
  <si>
    <t>Kevis</t>
  </si>
  <si>
    <t>vkevisp5@biblegateway.com</t>
  </si>
  <si>
    <t>812 115 6667</t>
  </si>
  <si>
    <t>Korey</t>
  </si>
  <si>
    <t>Doudny</t>
  </si>
  <si>
    <t>kdoudnyp6@cnet.com</t>
  </si>
  <si>
    <t>126 169 6884</t>
  </si>
  <si>
    <t>Arleyne</t>
  </si>
  <si>
    <t>Goldspink</t>
  </si>
  <si>
    <t>agoldspinkp7@ucoz.ru</t>
  </si>
  <si>
    <t>695 714 2188</t>
  </si>
  <si>
    <t>Giustina</t>
  </si>
  <si>
    <t>Faers</t>
  </si>
  <si>
    <t>gfaersp8@diigo.com</t>
  </si>
  <si>
    <t>900 311 2684</t>
  </si>
  <si>
    <t>Kirckman</t>
  </si>
  <si>
    <t>kkirckmanp9@businessinsider.com</t>
  </si>
  <si>
    <t>153 780 0400</t>
  </si>
  <si>
    <t>Rutherford</t>
  </si>
  <si>
    <t>rmcritchiepa@quantcast.com</t>
  </si>
  <si>
    <t>590 731 5213</t>
  </si>
  <si>
    <t>Thorsten</t>
  </si>
  <si>
    <t>Rodden</t>
  </si>
  <si>
    <t>troddenpb@foxnews.com</t>
  </si>
  <si>
    <t>898 925 6417</t>
  </si>
  <si>
    <t>Farndale</t>
  </si>
  <si>
    <t>nfarndalepc@livejournal.com</t>
  </si>
  <si>
    <t>528 686 7492</t>
  </si>
  <si>
    <t>Rosalind</t>
  </si>
  <si>
    <t>Fernihough</t>
  </si>
  <si>
    <t>rfernihoughpd@go.com</t>
  </si>
  <si>
    <t>319 401 7569</t>
  </si>
  <si>
    <t>Bili</t>
  </si>
  <si>
    <t>Awton</t>
  </si>
  <si>
    <t>bawtonpe@reference.com</t>
  </si>
  <si>
    <t>914 458 8650</t>
  </si>
  <si>
    <t>Candace</t>
  </si>
  <si>
    <t>Ezele</t>
  </si>
  <si>
    <t>cezelepf@stanford.edu</t>
  </si>
  <si>
    <t>547 379 5948</t>
  </si>
  <si>
    <t>Gwen</t>
  </si>
  <si>
    <t>Bredes</t>
  </si>
  <si>
    <t>gbredespg@webnode.com</t>
  </si>
  <si>
    <t>818 948 0745</t>
  </si>
  <si>
    <t>Dollard</t>
  </si>
  <si>
    <t>bdollardph@wufoo.com</t>
  </si>
  <si>
    <t>478 839 3859</t>
  </si>
  <si>
    <t>Melva</t>
  </si>
  <si>
    <t>Sweeny</t>
  </si>
  <si>
    <t>msweenypi@github.com</t>
  </si>
  <si>
    <t>230 471 6849</t>
  </si>
  <si>
    <t>Howie</t>
  </si>
  <si>
    <t>Rawle</t>
  </si>
  <si>
    <t>hrawlepj@apache.org</t>
  </si>
  <si>
    <t>501 231 8050</t>
  </si>
  <si>
    <t>Sauncho</t>
  </si>
  <si>
    <t>De Paepe</t>
  </si>
  <si>
    <t>sdepaepepk@php.net</t>
  </si>
  <si>
    <t>796 150 6706</t>
  </si>
  <si>
    <t>Ashcroft</t>
  </si>
  <si>
    <t>bashcroftpl@twitpic.com</t>
  </si>
  <si>
    <t>691 490 0214</t>
  </si>
  <si>
    <t>Minnnie</t>
  </si>
  <si>
    <t>mlyttlepm@tuttocitta.it</t>
  </si>
  <si>
    <t>364 989 1495</t>
  </si>
  <si>
    <t>Rebekah</t>
  </si>
  <si>
    <t>Cauldfield</t>
  </si>
  <si>
    <t>rcauldfieldpn@independent.co.uk</t>
  </si>
  <si>
    <t>246 530 2278</t>
  </si>
  <si>
    <t>Priscilla</t>
  </si>
  <si>
    <t>Schmidt</t>
  </si>
  <si>
    <t>pschmidtpo@alexa.com</t>
  </si>
  <si>
    <t>222 533 4396</t>
  </si>
  <si>
    <t>Sandilands</t>
  </si>
  <si>
    <t>msandilandspp@springer.com</t>
  </si>
  <si>
    <t>996 505 9226</t>
  </si>
  <si>
    <t>Will</t>
  </si>
  <si>
    <t>Ewen</t>
  </si>
  <si>
    <t>wewenpq@issuu.com</t>
  </si>
  <si>
    <t>605 136 9858</t>
  </si>
  <si>
    <t>Flor</t>
  </si>
  <si>
    <t>Meeson</t>
  </si>
  <si>
    <t>fmeesonpr@homestead.com</t>
  </si>
  <si>
    <t>844 378 9866</t>
  </si>
  <si>
    <t>Tallou</t>
  </si>
  <si>
    <t>Saker</t>
  </si>
  <si>
    <t>tsakerps@naver.com</t>
  </si>
  <si>
    <t>105 539 4717</t>
  </si>
  <si>
    <t>Bobinette</t>
  </si>
  <si>
    <t>Mews</t>
  </si>
  <si>
    <t>bmewspt@seattletimes.com</t>
  </si>
  <si>
    <t>132 228 9408</t>
  </si>
  <si>
    <t>Keaves</t>
  </si>
  <si>
    <t>vkeavespu@sitemeter.com</t>
  </si>
  <si>
    <t>642 855 0760</t>
  </si>
  <si>
    <t>Luckcock</t>
  </si>
  <si>
    <t>iluckcockpv@nasa.gov</t>
  </si>
  <si>
    <t>962 954 0353</t>
  </si>
  <si>
    <t>Beth</t>
  </si>
  <si>
    <t>Vant</t>
  </si>
  <si>
    <t>bvantpw@vimeo.com</t>
  </si>
  <si>
    <t>277 763 5583</t>
  </si>
  <si>
    <t>Findley</t>
  </si>
  <si>
    <t>Calafato</t>
  </si>
  <si>
    <t>fcalafatopx@ucoz.ru</t>
  </si>
  <si>
    <t>876 342 8012</t>
  </si>
  <si>
    <t>Lynnea</t>
  </si>
  <si>
    <t>Gosling</t>
  </si>
  <si>
    <t>lgoslingpy@amazon.de</t>
  </si>
  <si>
    <t>908 665 9774</t>
  </si>
  <si>
    <t>Kahlil</t>
  </si>
  <si>
    <t>Southworth</t>
  </si>
  <si>
    <t>ksouthworthpz@census.gov</t>
  </si>
  <si>
    <t>877 367 0558</t>
  </si>
  <si>
    <t>Meggy</t>
  </si>
  <si>
    <t>Hanhard</t>
  </si>
  <si>
    <t>mhanhardq0@multiply.com</t>
  </si>
  <si>
    <t>856 377 4369</t>
  </si>
  <si>
    <t>Barrett</t>
  </si>
  <si>
    <t>Cantera</t>
  </si>
  <si>
    <t>bcanteraq1@51.la</t>
  </si>
  <si>
    <t>213 747 9356</t>
  </si>
  <si>
    <t>Randolf</t>
  </si>
  <si>
    <t>Picknett</t>
  </si>
  <si>
    <t>rpicknettq2@squarespace.com</t>
  </si>
  <si>
    <t>364 391 9077</t>
  </si>
  <si>
    <t>Kathryne</t>
  </si>
  <si>
    <t>Graeber</t>
  </si>
  <si>
    <t>kgraeberq3@about.me</t>
  </si>
  <si>
    <t>734 962 9446</t>
  </si>
  <si>
    <t>Alvera</t>
  </si>
  <si>
    <t>Sprason</t>
  </si>
  <si>
    <t>asprasonq4@xinhuanet.com</t>
  </si>
  <si>
    <t>862 251 5130</t>
  </si>
  <si>
    <t>Sianna</t>
  </si>
  <si>
    <t>Diche</t>
  </si>
  <si>
    <t>sdicheq5@patch.com</t>
  </si>
  <si>
    <t>569 713 9812</t>
  </si>
  <si>
    <t>Leeanne</t>
  </si>
  <si>
    <t>Vaughton</t>
  </si>
  <si>
    <t>lvaughtonq6@umich.edu</t>
  </si>
  <si>
    <t>607 760 5630</t>
  </si>
  <si>
    <t>Arman</t>
  </si>
  <si>
    <t>Eixenberger</t>
  </si>
  <si>
    <t>aeixenbergerq7@aol.com</t>
  </si>
  <si>
    <t>871 994 4540</t>
  </si>
  <si>
    <t>Gertruda</t>
  </si>
  <si>
    <t>St. Clair</t>
  </si>
  <si>
    <t>gstclairq8@macromedia.com</t>
  </si>
  <si>
    <t>770 336 4881</t>
  </si>
  <si>
    <t>Elianore</t>
  </si>
  <si>
    <t>Hancox</t>
  </si>
  <si>
    <t>ehancoxq9@google.fr</t>
  </si>
  <si>
    <t>220 173 8566</t>
  </si>
  <si>
    <t>Aundrea</t>
  </si>
  <si>
    <t>Berryann</t>
  </si>
  <si>
    <t>aberryannqa@imageshack.us</t>
  </si>
  <si>
    <t>502 549 6857</t>
  </si>
  <si>
    <t>Rich</t>
  </si>
  <si>
    <t>hrichqb@stanford.edu</t>
  </si>
  <si>
    <t>210 813 7696</t>
  </si>
  <si>
    <t>Buck</t>
  </si>
  <si>
    <t>tbuckqc@360.cn</t>
  </si>
  <si>
    <t>843 371 9612</t>
  </si>
  <si>
    <t>Wilt</t>
  </si>
  <si>
    <t>Firle</t>
  </si>
  <si>
    <t>wfirleqd@storify.com</t>
  </si>
  <si>
    <t>836 857 9792</t>
  </si>
  <si>
    <t>Gardie</t>
  </si>
  <si>
    <t>Marquez</t>
  </si>
  <si>
    <t>gmarquezqe@sciencedaily.com</t>
  </si>
  <si>
    <t>711 929 1140</t>
  </si>
  <si>
    <t>Ignazio</t>
  </si>
  <si>
    <t>Mottershead</t>
  </si>
  <si>
    <t>imottersheadqf@tinypic.com</t>
  </si>
  <si>
    <t>245 656 1291</t>
  </si>
  <si>
    <t>Winny</t>
  </si>
  <si>
    <t>Acarson</t>
  </si>
  <si>
    <t>wacarsonqg@sun.com</t>
  </si>
  <si>
    <t>660 636 6790</t>
  </si>
  <si>
    <t>Antone</t>
  </si>
  <si>
    <t>Canape</t>
  </si>
  <si>
    <t>acanapeqh@360.cn</t>
  </si>
  <si>
    <t>447 317 0212</t>
  </si>
  <si>
    <t>Agneta</t>
  </si>
  <si>
    <t>Killner</t>
  </si>
  <si>
    <t>akillnerqi@sfgate.com</t>
  </si>
  <si>
    <t>853 648 1182</t>
  </si>
  <si>
    <t>Honey</t>
  </si>
  <si>
    <t>Hischke</t>
  </si>
  <si>
    <t>hhischkeqj@va.gov</t>
  </si>
  <si>
    <t>878 814 7469</t>
  </si>
  <si>
    <t>Clarie</t>
  </si>
  <si>
    <t>Faucherand</t>
  </si>
  <si>
    <t>cfaucherandqk@umn.edu</t>
  </si>
  <si>
    <t>464 480 0276</t>
  </si>
  <si>
    <t>Tott</t>
  </si>
  <si>
    <t>mtottql@engadget.com</t>
  </si>
  <si>
    <t>974 536 9658</t>
  </si>
  <si>
    <t>Rolfe</t>
  </si>
  <si>
    <t>Rhule</t>
  </si>
  <si>
    <t>rrhuleqm@gizmodo.com</t>
  </si>
  <si>
    <t>765 454 0600</t>
  </si>
  <si>
    <t>Stefan</t>
  </si>
  <si>
    <t>Thrift</t>
  </si>
  <si>
    <t>sthriftqn@cargocollective.com</t>
  </si>
  <si>
    <t>189 385 7297</t>
  </si>
  <si>
    <t>Salem</t>
  </si>
  <si>
    <t>Gellert</t>
  </si>
  <si>
    <t>sgellertqo@forbes.com</t>
  </si>
  <si>
    <t>680 918 2300</t>
  </si>
  <si>
    <t>Kippar</t>
  </si>
  <si>
    <t>Leeb</t>
  </si>
  <si>
    <t>kleebqp@google.pl</t>
  </si>
  <si>
    <t>582 522 9336</t>
  </si>
  <si>
    <t>Ediva</t>
  </si>
  <si>
    <t>Messiter</t>
  </si>
  <si>
    <t>emessiterqq@typepad.com</t>
  </si>
  <si>
    <t>653 883 7165</t>
  </si>
  <si>
    <t>Dorris</t>
  </si>
  <si>
    <t>Benasik</t>
  </si>
  <si>
    <t>dbenasikqr@google.com.hk</t>
  </si>
  <si>
    <t>723 485 8617</t>
  </si>
  <si>
    <t>Yeldon</t>
  </si>
  <si>
    <t>cyeldonqs@wisc.edu</t>
  </si>
  <si>
    <t>883 357 8104</t>
  </si>
  <si>
    <t>Grannie</t>
  </si>
  <si>
    <t>Novik</t>
  </si>
  <si>
    <t>gnovikqt@artisteer.com</t>
  </si>
  <si>
    <t>631 932 8864</t>
  </si>
  <si>
    <t>Bertine</t>
  </si>
  <si>
    <t>Heape</t>
  </si>
  <si>
    <t>bheapequ@theatlantic.com</t>
  </si>
  <si>
    <t>231 991 2661</t>
  </si>
  <si>
    <t>Kim</t>
  </si>
  <si>
    <t>Sigert</t>
  </si>
  <si>
    <t>ksigertqv@hao123.com</t>
  </si>
  <si>
    <t>401 548 4697</t>
  </si>
  <si>
    <t>Walliw</t>
  </si>
  <si>
    <t>Brimilcombe</t>
  </si>
  <si>
    <t>wbrimilcombeqw@nbcnews.com</t>
  </si>
  <si>
    <t>616 228 7641</t>
  </si>
  <si>
    <t>Kerby</t>
  </si>
  <si>
    <t>Rawet</t>
  </si>
  <si>
    <t>krawetqx@liveinternet.ru</t>
  </si>
  <si>
    <t>684 328 2843</t>
  </si>
  <si>
    <t>Julita</t>
  </si>
  <si>
    <t>Dethloff</t>
  </si>
  <si>
    <t>jdethloffqy@arizona.edu</t>
  </si>
  <si>
    <t>487 255 3071</t>
  </si>
  <si>
    <t>Shayne</t>
  </si>
  <si>
    <t>Teresia</t>
  </si>
  <si>
    <t>steresiaqz@slashdot.org</t>
  </si>
  <si>
    <t>933 111 7620</t>
  </si>
  <si>
    <t>Jose</t>
  </si>
  <si>
    <t>Story</t>
  </si>
  <si>
    <t>jstoryr0@taobao.com</t>
  </si>
  <si>
    <t>493 879 6153</t>
  </si>
  <si>
    <t>Frans</t>
  </si>
  <si>
    <t>Woodberry</t>
  </si>
  <si>
    <t>fwoodberryr1@sciencedaily.com</t>
  </si>
  <si>
    <t>494 184 0573</t>
  </si>
  <si>
    <t>Bryna</t>
  </si>
  <si>
    <t>Tourot</t>
  </si>
  <si>
    <t>btourotr2@yellowbook.com</t>
  </si>
  <si>
    <t>499 679 7291</t>
  </si>
  <si>
    <t>Mesnard</t>
  </si>
  <si>
    <t>cmesnardr3@nature.com</t>
  </si>
  <si>
    <t>638 787 2150</t>
  </si>
  <si>
    <t>Rihosek</t>
  </si>
  <si>
    <t>brihosekr4@cisco.com</t>
  </si>
  <si>
    <t>344 994 8098</t>
  </si>
  <si>
    <t>Jocko</t>
  </si>
  <si>
    <t>Kissock</t>
  </si>
  <si>
    <t>jkissockr5@mayoclinic.com</t>
  </si>
  <si>
    <t>614 798 9337</t>
  </si>
  <si>
    <t>Claiborne</t>
  </si>
  <si>
    <t>Packington</t>
  </si>
  <si>
    <t>cpackingtonr6@sitemeter.com</t>
  </si>
  <si>
    <t>401 208 7910</t>
  </si>
  <si>
    <t>Wendye</t>
  </si>
  <si>
    <t>Gleader</t>
  </si>
  <si>
    <t>wgleaderr7@sciencedaily.com</t>
  </si>
  <si>
    <t>667 271 8607</t>
  </si>
  <si>
    <t>Leonid</t>
  </si>
  <si>
    <t>Dowda</t>
  </si>
  <si>
    <t>ldowdar8@squarespace.com</t>
  </si>
  <si>
    <t>763 682 9796</t>
  </si>
  <si>
    <t>Estelle</t>
  </si>
  <si>
    <t>Chesman</t>
  </si>
  <si>
    <t>echesmanr9@tumblr.com</t>
  </si>
  <si>
    <t>922 424 8347</t>
  </si>
  <si>
    <t>Amandy</t>
  </si>
  <si>
    <t>Gudgen</t>
  </si>
  <si>
    <t>agudgenra@vistaprint.com</t>
  </si>
  <si>
    <t>475 173 2387</t>
  </si>
  <si>
    <t>Hansiain</t>
  </si>
  <si>
    <t>Weldon</t>
  </si>
  <si>
    <t>hweldonrb@tripadvisor.com</t>
  </si>
  <si>
    <t>261 565 9874</t>
  </si>
  <si>
    <t>Dilly</t>
  </si>
  <si>
    <t>Aleksandrev</t>
  </si>
  <si>
    <t>daleksandrevrc@ftc.gov</t>
  </si>
  <si>
    <t>793 563 3680</t>
  </si>
  <si>
    <t>Austina</t>
  </si>
  <si>
    <t>Clemot</t>
  </si>
  <si>
    <t>aclemotrd@aboutads.info</t>
  </si>
  <si>
    <t>637 745 6089</t>
  </si>
  <si>
    <t>Hilliard</t>
  </si>
  <si>
    <t>Mayoral</t>
  </si>
  <si>
    <t>hmayoralre@chronoengine.com</t>
  </si>
  <si>
    <t>874 225 0504</t>
  </si>
  <si>
    <t>Joya</t>
  </si>
  <si>
    <t>Mustarde</t>
  </si>
  <si>
    <t>jmustarderf@ucsd.edu</t>
  </si>
  <si>
    <t>868 826 5689</t>
  </si>
  <si>
    <t>Jess</t>
  </si>
  <si>
    <t>St. Paul</t>
  </si>
  <si>
    <t>jstpaulrg@shinystat.com</t>
  </si>
  <si>
    <t>482 571 4746</t>
  </si>
  <si>
    <t>Marianne</t>
  </si>
  <si>
    <t>Shallcroff</t>
  </si>
  <si>
    <t>mshallcroffrh@gmpg.org</t>
  </si>
  <si>
    <t>911 444 4036</t>
  </si>
  <si>
    <t>Wilow</t>
  </si>
  <si>
    <t>Genner</t>
  </si>
  <si>
    <t>wgennerri@gmpg.org</t>
  </si>
  <si>
    <t>739 871 0304</t>
  </si>
  <si>
    <t>Rufe</t>
  </si>
  <si>
    <t>Yann</t>
  </si>
  <si>
    <t>ryannrj@nba.com</t>
  </si>
  <si>
    <t>649 106 5334</t>
  </si>
  <si>
    <t>Nathaniel</t>
  </si>
  <si>
    <t>Teers</t>
  </si>
  <si>
    <t>nteersrk@ustream.tv</t>
  </si>
  <si>
    <t>818 452 2328</t>
  </si>
  <si>
    <t>Geoffry</t>
  </si>
  <si>
    <t>Shelper</t>
  </si>
  <si>
    <t>gshelperrl@ustream.tv</t>
  </si>
  <si>
    <t>657 966 2095</t>
  </si>
  <si>
    <t>Rustie</t>
  </si>
  <si>
    <t>Rotham</t>
  </si>
  <si>
    <t>rrothamrm@yale.edu</t>
  </si>
  <si>
    <t>458 547 6835</t>
  </si>
  <si>
    <t>Temp</t>
  </si>
  <si>
    <t>Priestley</t>
  </si>
  <si>
    <t>tpriestleyrn@typepad.com</t>
  </si>
  <si>
    <t>387 609 9467</t>
  </si>
  <si>
    <t>Rafaelia</t>
  </si>
  <si>
    <t>Smallpiece</t>
  </si>
  <si>
    <t>rsmallpiecero@blog.com</t>
  </si>
  <si>
    <t>619 947 5362</t>
  </si>
  <si>
    <t>Clementine</t>
  </si>
  <si>
    <t>Buckell</t>
  </si>
  <si>
    <t>cbuckellrp@drupal.org</t>
  </si>
  <si>
    <t>735 164 9155</t>
  </si>
  <si>
    <t>Winthrop</t>
  </si>
  <si>
    <t>Viles</t>
  </si>
  <si>
    <t>wvilesrq@sitemeter.com</t>
  </si>
  <si>
    <t>392 661 5536</t>
  </si>
  <si>
    <t>Jemimah</t>
  </si>
  <si>
    <t>Clothier</t>
  </si>
  <si>
    <t>jclothierrr@feedburner.com</t>
  </si>
  <si>
    <t>131 257 1246</t>
  </si>
  <si>
    <t>ciriLLO</t>
  </si>
  <si>
    <t>elliOT</t>
  </si>
  <si>
    <t>anGE</t>
  </si>
  <si>
    <t>eLDen</t>
  </si>
  <si>
    <t>CHIp</t>
  </si>
  <si>
    <t>AgneTA</t>
  </si>
  <si>
    <t>BRYna</t>
  </si>
  <si>
    <t>Banadesh</t>
  </si>
  <si>
    <t>bangladesh</t>
  </si>
  <si>
    <t>bangldes</t>
  </si>
  <si>
    <t>bangledesh</t>
  </si>
  <si>
    <t>baldagesh</t>
  </si>
  <si>
    <t>baldnagesh</t>
  </si>
  <si>
    <t>Lakshmapur</t>
  </si>
  <si>
    <t>Bhatpara Abhaynagar</t>
  </si>
  <si>
    <t>Jhingergacha</t>
  </si>
  <si>
    <t>Pir Naogaon</t>
  </si>
  <si>
    <t>Pargaaj</t>
  </si>
  <si>
    <t>+8804284218624</t>
  </si>
  <si>
    <t>+8804771820502</t>
  </si>
  <si>
    <t>+8808927031046</t>
  </si>
  <si>
    <t>Other</t>
  </si>
  <si>
    <t>+8803966603768</t>
  </si>
  <si>
    <t>+8808372998531</t>
  </si>
  <si>
    <t>+8806737447113</t>
  </si>
  <si>
    <t>+8809619405462</t>
  </si>
  <si>
    <t>+8802629634530</t>
  </si>
  <si>
    <t>+8806524950574</t>
  </si>
  <si>
    <t>+8806412030875</t>
  </si>
  <si>
    <t>+8804956711440</t>
  </si>
  <si>
    <t>+8804471777616</t>
  </si>
  <si>
    <t>+8802339904153</t>
  </si>
  <si>
    <t>+8806194500043</t>
  </si>
  <si>
    <t>+8801826494641</t>
  </si>
  <si>
    <t>+8805149764876</t>
  </si>
  <si>
    <t>+8806783237455</t>
  </si>
  <si>
    <t>+8807079599604</t>
  </si>
  <si>
    <t>+8806868609990</t>
  </si>
  <si>
    <t>+8802124581232</t>
  </si>
  <si>
    <t>+8804031629416</t>
  </si>
  <si>
    <t>+8809766312029</t>
  </si>
  <si>
    <t>+8803809676720</t>
  </si>
  <si>
    <t>+8809386940753</t>
  </si>
  <si>
    <t>+8809438828583</t>
  </si>
  <si>
    <t>+8808982152372</t>
  </si>
  <si>
    <t>+8803914811931</t>
  </si>
  <si>
    <t>+8807351447492</t>
  </si>
  <si>
    <t>+8808892318269</t>
  </si>
  <si>
    <t>+8809253265197</t>
  </si>
  <si>
    <t>+8804425696113</t>
  </si>
  <si>
    <t>+8808733055431</t>
  </si>
  <si>
    <t>+8804732818544</t>
  </si>
  <si>
    <t>+8809441490674</t>
  </si>
  <si>
    <t>+8807419229213</t>
  </si>
  <si>
    <t>+8802767845595</t>
  </si>
  <si>
    <t>+8806156128396</t>
  </si>
  <si>
    <t>+8804485770881</t>
  </si>
  <si>
    <t>+8808282652936</t>
  </si>
  <si>
    <t>+8809261349974</t>
  </si>
  <si>
    <t>+8801479741081</t>
  </si>
  <si>
    <t>+8808932086695</t>
  </si>
  <si>
    <t>+8805718022743</t>
  </si>
  <si>
    <t>+8803672705135</t>
  </si>
  <si>
    <t>+8809408143346</t>
  </si>
  <si>
    <t>+8804753366261</t>
  </si>
  <si>
    <t>+8802462315646</t>
  </si>
  <si>
    <t>+8807209124139</t>
  </si>
  <si>
    <t>+8805365745764</t>
  </si>
  <si>
    <t>+8808234971495</t>
  </si>
  <si>
    <t>+8804516002915</t>
  </si>
  <si>
    <t>+8809828515926</t>
  </si>
  <si>
    <t>+8804922368271</t>
  </si>
  <si>
    <t>+8804185224465</t>
  </si>
  <si>
    <t>+8807505670648</t>
  </si>
  <si>
    <t>+8803575474147</t>
  </si>
  <si>
    <t>+8807675187052</t>
  </si>
  <si>
    <t>+8806496884737</t>
  </si>
  <si>
    <t>+8805023651544</t>
  </si>
  <si>
    <t>+8804171074906</t>
  </si>
  <si>
    <t>+8809482834744</t>
  </si>
  <si>
    <t>+8809726599486</t>
  </si>
  <si>
    <t>+8809134724408</t>
  </si>
  <si>
    <t>+8803792130012</t>
  </si>
  <si>
    <t>+8804338250262</t>
  </si>
  <si>
    <t>+8804475245778</t>
  </si>
  <si>
    <t>La Verne</t>
  </si>
  <si>
    <t>+8803896076143</t>
  </si>
  <si>
    <t>+8809428198688</t>
  </si>
  <si>
    <t>+8805787032099</t>
  </si>
  <si>
    <t>+8808226588084</t>
  </si>
  <si>
    <t>+8803398387658</t>
  </si>
  <si>
    <t>+8806249663077</t>
  </si>
  <si>
    <t>+8808331772931</t>
  </si>
  <si>
    <t>+8809152240054</t>
  </si>
  <si>
    <t>+8805085976466</t>
  </si>
  <si>
    <t>+8802786793581</t>
  </si>
  <si>
    <t>+8802496961801</t>
  </si>
  <si>
    <t>+8807692389574</t>
  </si>
  <si>
    <t>+8807846321624</t>
  </si>
  <si>
    <t>+8802311445091</t>
  </si>
  <si>
    <t>+8803075792258</t>
  </si>
  <si>
    <t>+8808881771930</t>
  </si>
  <si>
    <t>+8807328253960</t>
  </si>
  <si>
    <t>+8803985424889</t>
  </si>
  <si>
    <t>+8808186736991</t>
  </si>
  <si>
    <t>+8806968905351</t>
  </si>
  <si>
    <t>+8804441077504</t>
  </si>
  <si>
    <t>+8807124211663</t>
  </si>
  <si>
    <t>+8807441368320</t>
  </si>
  <si>
    <t>+8808741077509</t>
  </si>
  <si>
    <t>+8801805961257</t>
  </si>
  <si>
    <t>+8802735543782</t>
  </si>
  <si>
    <t>+8803715341168</t>
  </si>
  <si>
    <t>+8809855575701</t>
  </si>
  <si>
    <t>+8802834950079</t>
  </si>
  <si>
    <t>+8806566188606</t>
  </si>
  <si>
    <t>+8803858756509</t>
  </si>
  <si>
    <t>+8803284223623</t>
  </si>
  <si>
    <t>+8803993925061</t>
  </si>
  <si>
    <t>+8803996934271</t>
  </si>
  <si>
    <t>+8802418433101</t>
  </si>
  <si>
    <t>+8804617556384</t>
  </si>
  <si>
    <t>+8808858482088</t>
  </si>
  <si>
    <t>+8809373545973</t>
  </si>
  <si>
    <t>+8805653425292</t>
  </si>
  <si>
    <t>+8806016691037</t>
  </si>
  <si>
    <t>+8803785573980</t>
  </si>
  <si>
    <t>+8803311338546</t>
  </si>
  <si>
    <t>+8808425526872</t>
  </si>
  <si>
    <t>+8803731803458</t>
  </si>
  <si>
    <t>+8801526155868</t>
  </si>
  <si>
    <t>+8803393543848</t>
  </si>
  <si>
    <t>+8801837787160</t>
  </si>
  <si>
    <t>+8801438822083</t>
  </si>
  <si>
    <t>+8802728115462</t>
  </si>
  <si>
    <t>+8805784031599</t>
  </si>
  <si>
    <t>+8806357746070</t>
  </si>
  <si>
    <t>+8802504328473</t>
  </si>
  <si>
    <t>+8803241671114</t>
  </si>
  <si>
    <t>+8802552614258</t>
  </si>
  <si>
    <t>+8805773248780</t>
  </si>
  <si>
    <t>+8805474326015</t>
  </si>
  <si>
    <t>+8807624869475</t>
  </si>
  <si>
    <t>+8801602883482</t>
  </si>
  <si>
    <t>+8804156999697</t>
  </si>
  <si>
    <t>+8806151867432</t>
  </si>
  <si>
    <t>+8804534748360</t>
  </si>
  <si>
    <t>+8808342170443</t>
  </si>
  <si>
    <t>+8808848593658</t>
  </si>
  <si>
    <t>+8802849068021</t>
  </si>
  <si>
    <t>+8808144151908</t>
  </si>
  <si>
    <t>+8804897578259</t>
  </si>
  <si>
    <t>+8805636541191</t>
  </si>
  <si>
    <t>+8801002349082</t>
  </si>
  <si>
    <t>+8807681629597</t>
  </si>
  <si>
    <t>+8807133948879</t>
  </si>
  <si>
    <t>+8808212040786</t>
  </si>
  <si>
    <t>+8808997076208</t>
  </si>
  <si>
    <t>+8807996470503</t>
  </si>
  <si>
    <t>+8807719425395</t>
  </si>
  <si>
    <t>+8807009643451</t>
  </si>
  <si>
    <t>+8809583207357</t>
  </si>
  <si>
    <t>+8801148099505</t>
  </si>
  <si>
    <t>+8809405324278</t>
  </si>
  <si>
    <t>+8809872620755</t>
  </si>
  <si>
    <t>+8801513894868</t>
  </si>
  <si>
    <t>+8806959198604</t>
  </si>
  <si>
    <t>+8802414336562</t>
  </si>
  <si>
    <t>+8807099963221</t>
  </si>
  <si>
    <t>+8806315925107</t>
  </si>
  <si>
    <t>+8808556321708</t>
  </si>
  <si>
    <t>+8802045995712</t>
  </si>
  <si>
    <t>+8806617153568</t>
  </si>
  <si>
    <t>+8801474536275</t>
  </si>
  <si>
    <t>+8808222713564</t>
  </si>
  <si>
    <t>+8801687576162</t>
  </si>
  <si>
    <t>+8805756221213</t>
  </si>
  <si>
    <t>+8805949486858</t>
  </si>
  <si>
    <t>+8802146006882</t>
  </si>
  <si>
    <t>+8808355751004</t>
  </si>
  <si>
    <t>+8803912255473</t>
  </si>
  <si>
    <t>+8801386523340</t>
  </si>
  <si>
    <t>+8801817445208</t>
  </si>
  <si>
    <t>+8808883531829</t>
  </si>
  <si>
    <t>+8807522406178</t>
  </si>
  <si>
    <t>+8803718295511</t>
  </si>
  <si>
    <t>+8806152955779</t>
  </si>
  <si>
    <t>+8806204814284</t>
  </si>
  <si>
    <t>+8803646681924</t>
  </si>
  <si>
    <t>+8806462043709</t>
  </si>
  <si>
    <t>+8806698730566</t>
  </si>
  <si>
    <t>+8802364247643</t>
  </si>
  <si>
    <t>+8809043924222</t>
  </si>
  <si>
    <t>+8802647059408</t>
  </si>
  <si>
    <t>+8802525313290</t>
  </si>
  <si>
    <t>+8804198461918</t>
  </si>
  <si>
    <t>+8805126682854</t>
  </si>
  <si>
    <t>+8805715999250</t>
  </si>
  <si>
    <t>+8803066644099</t>
  </si>
  <si>
    <t>+8804675631845</t>
  </si>
  <si>
    <t>+8804496426845</t>
  </si>
  <si>
    <t>+8804052683337</t>
  </si>
  <si>
    <t>+8803536236759</t>
  </si>
  <si>
    <t>+8804607710729</t>
  </si>
  <si>
    <t>+8809316088483</t>
  </si>
  <si>
    <t>+8807493602893</t>
  </si>
  <si>
    <t>+8806726284243</t>
  </si>
  <si>
    <t>+8806785874629</t>
  </si>
  <si>
    <t>+8808423895059</t>
  </si>
  <si>
    <t>+8803475743790</t>
  </si>
  <si>
    <t>+8802231238909</t>
  </si>
  <si>
    <t>+8801917925663</t>
  </si>
  <si>
    <t>+8803965734909</t>
  </si>
  <si>
    <t>+8807363668950</t>
  </si>
  <si>
    <t>+8805073438951</t>
  </si>
  <si>
    <t>+8803555625303</t>
  </si>
  <si>
    <t>+8808038652776</t>
  </si>
  <si>
    <t>+8803439751586</t>
  </si>
  <si>
    <t>+8807428281032</t>
  </si>
  <si>
    <t>+8807679929195</t>
  </si>
  <si>
    <t>+8808957499832</t>
  </si>
  <si>
    <t>+8802683138499</t>
  </si>
  <si>
    <t>+8802971756017</t>
  </si>
  <si>
    <t>+8808043879255</t>
  </si>
  <si>
    <t>+8806042079486</t>
  </si>
  <si>
    <t>+8803834459400</t>
  </si>
  <si>
    <t>+8802724583407</t>
  </si>
  <si>
    <t>+8808018442972</t>
  </si>
  <si>
    <t>+8805978019071</t>
  </si>
  <si>
    <t>+8807206841737</t>
  </si>
  <si>
    <t>+8803812523161</t>
  </si>
  <si>
    <t>+8807588019139</t>
  </si>
  <si>
    <t>+8803395721563</t>
  </si>
  <si>
    <t>+8803632722047</t>
  </si>
  <si>
    <t>+8801097494995</t>
  </si>
  <si>
    <t>+8804808254069</t>
  </si>
  <si>
    <t>+8809867973615</t>
  </si>
  <si>
    <t>+8801498683692</t>
  </si>
  <si>
    <t>+8803315126229</t>
  </si>
  <si>
    <t>+8807519450279</t>
  </si>
  <si>
    <t>+8804264193461</t>
  </si>
  <si>
    <t>+8805547269025</t>
  </si>
  <si>
    <t>+8804339106536</t>
  </si>
  <si>
    <t>+8807001310623</t>
  </si>
  <si>
    <t>+8805378471037</t>
  </si>
  <si>
    <t>+8804212455304</t>
  </si>
  <si>
    <t>+8808797410338</t>
  </si>
  <si>
    <t>+8809595730033</t>
  </si>
  <si>
    <t>+8807381204771</t>
  </si>
  <si>
    <t>+8804651156762</t>
  </si>
  <si>
    <t>+8801604815881</t>
  </si>
  <si>
    <t>+8804134357557</t>
  </si>
  <si>
    <t>+8802165622583</t>
  </si>
  <si>
    <t>+8808172306872</t>
  </si>
  <si>
    <t>+8809676890100</t>
  </si>
  <si>
    <t>+8805637959608</t>
  </si>
  <si>
    <t>+8806898845657</t>
  </si>
  <si>
    <t>+8807182271574</t>
  </si>
  <si>
    <t>+8806351398735</t>
  </si>
  <si>
    <t>+8802087707544</t>
  </si>
  <si>
    <t>+8804907405419</t>
  </si>
  <si>
    <t>+8801313988860</t>
  </si>
  <si>
    <t>+8806252197970</t>
  </si>
  <si>
    <t>+8801169873476</t>
  </si>
  <si>
    <t>+8805564730934</t>
  </si>
  <si>
    <t>+8803316501083</t>
  </si>
  <si>
    <t>+8803865755349</t>
  </si>
  <si>
    <t>+8804047916634</t>
  </si>
  <si>
    <t>+8808322289306</t>
  </si>
  <si>
    <t>+8803624154009</t>
  </si>
  <si>
    <t>+8803652198203</t>
  </si>
  <si>
    <t>+8809414398387</t>
  </si>
  <si>
    <t>+8805972144152</t>
  </si>
  <si>
    <t>+8801353455127</t>
  </si>
  <si>
    <t>+8809271674941</t>
  </si>
  <si>
    <t>+8808545454943</t>
  </si>
  <si>
    <t>+8807779608816</t>
  </si>
  <si>
    <t>+8803459477212</t>
  </si>
  <si>
    <t>+8805365132902</t>
  </si>
  <si>
    <t>+8805413026695</t>
  </si>
  <si>
    <t>+8807679508897</t>
  </si>
  <si>
    <t>+8807687856500</t>
  </si>
  <si>
    <t>+8808467725568</t>
  </si>
  <si>
    <t>+8804991847552</t>
  </si>
  <si>
    <t>+8801425012610</t>
  </si>
  <si>
    <t>+8804753226549</t>
  </si>
  <si>
    <t>+8805349399594</t>
  </si>
  <si>
    <t>+8805758599397</t>
  </si>
  <si>
    <t>+8803829914652</t>
  </si>
  <si>
    <t>+8804488759328</t>
  </si>
  <si>
    <t>+8802249077799</t>
  </si>
  <si>
    <t>+8805901673120</t>
  </si>
  <si>
    <t>+8801888805672</t>
  </si>
  <si>
    <t>+8808025050285</t>
  </si>
  <si>
    <t>+8808141631213</t>
  </si>
  <si>
    <t>+8808647325290</t>
  </si>
  <si>
    <t>+8803748369161</t>
  </si>
  <si>
    <t>+8802525868507</t>
  </si>
  <si>
    <t>+8803855201798</t>
  </si>
  <si>
    <t>+8806389546046</t>
  </si>
  <si>
    <t>+8806727730084</t>
  </si>
  <si>
    <t>+8802655855768</t>
  </si>
  <si>
    <t>+8808088001164</t>
  </si>
  <si>
    <t>+8804035294327</t>
  </si>
  <si>
    <t>+8806487269173</t>
  </si>
  <si>
    <t>+8805742474396</t>
  </si>
  <si>
    <t>+8809919736426</t>
  </si>
  <si>
    <t>+8802797838081</t>
  </si>
  <si>
    <t>+8809303963899</t>
  </si>
  <si>
    <t>+8805693771877</t>
  </si>
  <si>
    <t>+8801456313968</t>
  </si>
  <si>
    <t>+8808334703070</t>
  </si>
  <si>
    <t>+8804634598811</t>
  </si>
  <si>
    <t>+8808081517286</t>
  </si>
  <si>
    <t>+8802617728066</t>
  </si>
  <si>
    <t>+8807885653618</t>
  </si>
  <si>
    <t>+8805815817396</t>
  </si>
  <si>
    <t>+8805126337204</t>
  </si>
  <si>
    <t>+8804646651452</t>
  </si>
  <si>
    <t>+8807071500871</t>
  </si>
  <si>
    <t>+8801598582209</t>
  </si>
  <si>
    <t>+8809768439914</t>
  </si>
  <si>
    <t>+8803957244331</t>
  </si>
  <si>
    <t>+8806428134098</t>
  </si>
  <si>
    <t>+8802235450477</t>
  </si>
  <si>
    <t>+8807999231421</t>
  </si>
  <si>
    <t>+8804337482453</t>
  </si>
  <si>
    <t>+8803495920880</t>
  </si>
  <si>
    <t>+8808817287416</t>
  </si>
  <si>
    <t>+8801918111367</t>
  </si>
  <si>
    <t>+8801725403403</t>
  </si>
  <si>
    <t>+8809902497144</t>
  </si>
  <si>
    <t>+8805647645406</t>
  </si>
  <si>
    <t>+8808319535615</t>
  </si>
  <si>
    <t>+8801121456820</t>
  </si>
  <si>
    <t>+8809115895989</t>
  </si>
  <si>
    <t>+8803234049431</t>
  </si>
  <si>
    <t>+8808654141759</t>
  </si>
  <si>
    <t>+8808208020166</t>
  </si>
  <si>
    <t>+8803105737904</t>
  </si>
  <si>
    <t>+8809356955950</t>
  </si>
  <si>
    <t>+8805288161956</t>
  </si>
  <si>
    <t>+8802513094489</t>
  </si>
  <si>
    <t>+8805165557814</t>
  </si>
  <si>
    <t>+8807379139109</t>
  </si>
  <si>
    <t>+8808786599469</t>
  </si>
  <si>
    <t>+8802004262957</t>
  </si>
  <si>
    <t>+8809341909359</t>
  </si>
  <si>
    <t>+8806275966835</t>
  </si>
  <si>
    <t>+8802139708399</t>
  </si>
  <si>
    <t>+8806162838125</t>
  </si>
  <si>
    <t>+8803685344850</t>
  </si>
  <si>
    <t>+8803204642973</t>
  </si>
  <si>
    <t>+8808022915181</t>
  </si>
  <si>
    <t>+8809714312441</t>
  </si>
  <si>
    <t>+8803858266404</t>
  </si>
  <si>
    <t>+8809095261246</t>
  </si>
  <si>
    <t>+8806832260789</t>
  </si>
  <si>
    <t>+8804546962421</t>
  </si>
  <si>
    <t>+8807349046508</t>
  </si>
  <si>
    <t>+8809838578396</t>
  </si>
  <si>
    <t>+8804726146881</t>
  </si>
  <si>
    <t>+8805855311905</t>
  </si>
  <si>
    <t>+8804309636287</t>
  </si>
  <si>
    <t>+8808282021411</t>
  </si>
  <si>
    <t>+8801687774417</t>
  </si>
  <si>
    <t>+8805621897887</t>
  </si>
  <si>
    <t>+8801496953745</t>
  </si>
  <si>
    <t>+8805662381957</t>
  </si>
  <si>
    <t>Carol-Jean</t>
  </si>
  <si>
    <t>+8803636923724</t>
  </si>
  <si>
    <t>+8804409309554</t>
  </si>
  <si>
    <t>+8806216429812</t>
  </si>
  <si>
    <t>+8808553205966</t>
  </si>
  <si>
    <t>+8801667149991</t>
  </si>
  <si>
    <t>+8809195871978</t>
  </si>
  <si>
    <t>+8808711038491</t>
  </si>
  <si>
    <t>+8805142608494</t>
  </si>
  <si>
    <t>+8807446174894</t>
  </si>
  <si>
    <t>+8805265018664</t>
  </si>
  <si>
    <t>+8802312184645</t>
  </si>
  <si>
    <t>+8806743806474</t>
  </si>
  <si>
    <t>+8809623542506</t>
  </si>
  <si>
    <t>+8803159619687</t>
  </si>
  <si>
    <t>+8801054605906</t>
  </si>
  <si>
    <t>+8801604088677</t>
  </si>
  <si>
    <t>+8802266521922</t>
  </si>
  <si>
    <t>+8809093718540</t>
  </si>
  <si>
    <t>+8807806878609</t>
  </si>
  <si>
    <t>+8806857420119</t>
  </si>
  <si>
    <t>+8807352497134</t>
  </si>
  <si>
    <t>+8804914931444</t>
  </si>
  <si>
    <t>+8806852185690</t>
  </si>
  <si>
    <t>+8801751113351</t>
  </si>
  <si>
    <t>+8801186136406</t>
  </si>
  <si>
    <t>+8807681603129</t>
  </si>
  <si>
    <t>+8804254367073</t>
  </si>
  <si>
    <t>+8809097052628</t>
  </si>
  <si>
    <t>+8809685637701</t>
  </si>
  <si>
    <t>+8807209481251</t>
  </si>
  <si>
    <t>+8808679749694</t>
  </si>
  <si>
    <t>+8802942135258</t>
  </si>
  <si>
    <t>+8802647938230</t>
  </si>
  <si>
    <t>+8804514890597</t>
  </si>
  <si>
    <t>+8808128022747</t>
  </si>
  <si>
    <t>+8801752200204</t>
  </si>
  <si>
    <t>+8807146112949</t>
  </si>
  <si>
    <t>+8803099315196</t>
  </si>
  <si>
    <t>+8806415909554</t>
  </si>
  <si>
    <t>+8801753419019</t>
  </si>
  <si>
    <t>+8804451353715</t>
  </si>
  <si>
    <t>+8808735262970</t>
  </si>
  <si>
    <t>+8801035775128</t>
  </si>
  <si>
    <t>+8805192308947</t>
  </si>
  <si>
    <t>+8805798755981</t>
  </si>
  <si>
    <t>+8809396099150</t>
  </si>
  <si>
    <t>+8806035459743</t>
  </si>
  <si>
    <t>+8803389722854</t>
  </si>
  <si>
    <t>+8803775908665</t>
  </si>
  <si>
    <t>+8802545816036</t>
  </si>
  <si>
    <t>+8802324815218</t>
  </si>
  <si>
    <t>+8801772325346</t>
  </si>
  <si>
    <t>+8809975668545</t>
  </si>
  <si>
    <t>+8803273302787</t>
  </si>
  <si>
    <t>+8808868729568</t>
  </si>
  <si>
    <t>+8806572731390</t>
  </si>
  <si>
    <t>+8804211403452</t>
  </si>
  <si>
    <t>+8804883109299</t>
  </si>
  <si>
    <t>+8809038507619</t>
  </si>
  <si>
    <t>+8806846414126</t>
  </si>
  <si>
    <t>+8809715660172</t>
  </si>
  <si>
    <t>+8804798044741</t>
  </si>
  <si>
    <t>+8805206516919</t>
  </si>
  <si>
    <t>+8802643167743</t>
  </si>
  <si>
    <t>+8807042244025</t>
  </si>
  <si>
    <t>+8803132971610</t>
  </si>
  <si>
    <t>+8803342857920</t>
  </si>
  <si>
    <t>+8809624845063</t>
  </si>
  <si>
    <t>+8808996551361</t>
  </si>
  <si>
    <t>+8805136639137</t>
  </si>
  <si>
    <t>+8803801013492</t>
  </si>
  <si>
    <t>+8807199545448</t>
  </si>
  <si>
    <t>+8805374253604</t>
  </si>
  <si>
    <t>+8809367695066</t>
  </si>
  <si>
    <t>+8803669103661</t>
  </si>
  <si>
    <t>+8808905490758</t>
  </si>
  <si>
    <t>+8802815651421</t>
  </si>
  <si>
    <t>+8804003386764</t>
  </si>
  <si>
    <t>+8802253491462</t>
  </si>
  <si>
    <t>+8803887592063</t>
  </si>
  <si>
    <t>+8806034527247</t>
  </si>
  <si>
    <t>+8804908537568</t>
  </si>
  <si>
    <t>+8802896548972</t>
  </si>
  <si>
    <t>+8802247074512</t>
  </si>
  <si>
    <t>+8802495363874</t>
  </si>
  <si>
    <t>+8806394243790</t>
  </si>
  <si>
    <t>+8802027839311</t>
  </si>
  <si>
    <t>+8809713580372</t>
  </si>
  <si>
    <t>+8806059215469</t>
  </si>
  <si>
    <t>+8802977521836</t>
  </si>
  <si>
    <t>+8808986658269</t>
  </si>
  <si>
    <t>+8804753050576</t>
  </si>
  <si>
    <t>+8809225163667</t>
  </si>
  <si>
    <t>+8809901900979</t>
  </si>
  <si>
    <t>+8807247043974</t>
  </si>
  <si>
    <t>+8805824599690</t>
  </si>
  <si>
    <t>+8807041713438</t>
  </si>
  <si>
    <t>+8805734055948</t>
  </si>
  <si>
    <t>+8802324283281</t>
  </si>
  <si>
    <t>+8802892208538</t>
  </si>
  <si>
    <t>+8802963104618</t>
  </si>
  <si>
    <t>+8805849307504</t>
  </si>
  <si>
    <t>+8807408282356</t>
  </si>
  <si>
    <t>+8801232617777</t>
  </si>
  <si>
    <t>+8803956542832</t>
  </si>
  <si>
    <t>+8803382922892</t>
  </si>
  <si>
    <t>+8802297889556</t>
  </si>
  <si>
    <t>+8806461949338</t>
  </si>
  <si>
    <t>+8805358263051</t>
  </si>
  <si>
    <t>+8804037329437</t>
  </si>
  <si>
    <t>+8803893982778</t>
  </si>
  <si>
    <t>+8803843529581</t>
  </si>
  <si>
    <t>+8807942580957</t>
  </si>
  <si>
    <t>+8803224335082</t>
  </si>
  <si>
    <t>+8802399485508</t>
  </si>
  <si>
    <t>+8804387524512</t>
  </si>
  <si>
    <t>+8802592220158</t>
  </si>
  <si>
    <t>+8806736136285</t>
  </si>
  <si>
    <t>+8806704123173</t>
  </si>
  <si>
    <t>+8806127857219</t>
  </si>
  <si>
    <t>+8803151540606</t>
  </si>
  <si>
    <t>+8809186272428</t>
  </si>
  <si>
    <t>+8805645760719</t>
  </si>
  <si>
    <t>+8803465751439</t>
  </si>
  <si>
    <t>+8804375044832</t>
  </si>
  <si>
    <t>+8802021563804</t>
  </si>
  <si>
    <t>+8808873603301</t>
  </si>
  <si>
    <t>+8807147871913</t>
  </si>
  <si>
    <t>+8806104502281</t>
  </si>
  <si>
    <t>+8804612591815</t>
  </si>
  <si>
    <t>+8803876401452</t>
  </si>
  <si>
    <t>+8804122252136</t>
  </si>
  <si>
    <t>+8801825883371</t>
  </si>
  <si>
    <t>+8801524248437</t>
  </si>
  <si>
    <t>+8805225627792</t>
  </si>
  <si>
    <t>+8801758074760</t>
  </si>
  <si>
    <t>+8807162655977</t>
  </si>
  <si>
    <t>+8805218242518</t>
  </si>
  <si>
    <t>+8808121210421</t>
  </si>
  <si>
    <t>+8808376908433</t>
  </si>
  <si>
    <t>+8803435158322</t>
  </si>
  <si>
    <t>+8809292515471</t>
  </si>
  <si>
    <t>+8804565436290</t>
  </si>
  <si>
    <t>+8807168847087</t>
  </si>
  <si>
    <t>+8805471572455</t>
  </si>
  <si>
    <t>+8806902117939</t>
  </si>
  <si>
    <t>+8801327125931</t>
  </si>
  <si>
    <t>+8807402856260</t>
  </si>
  <si>
    <t>+8809834505676</t>
  </si>
  <si>
    <t>+8809341670561</t>
  </si>
  <si>
    <t>+8808467327066</t>
  </si>
  <si>
    <t>+8802458739595</t>
  </si>
  <si>
    <t>+8808181314411</t>
  </si>
  <si>
    <t>+8805963223820</t>
  </si>
  <si>
    <t>+8807068127707</t>
  </si>
  <si>
    <t>+8809173314937</t>
  </si>
  <si>
    <t>+8801261484654</t>
  </si>
  <si>
    <t>+8801979488688</t>
  </si>
  <si>
    <t>+8806919551471</t>
  </si>
  <si>
    <t>+8809431900215</t>
  </si>
  <si>
    <t>+8805393321428</t>
  </si>
  <si>
    <t>+8809756790122</t>
  </si>
  <si>
    <t>+8809001206178</t>
  </si>
  <si>
    <t>+8802028118347</t>
  </si>
  <si>
    <t>+8804453370803</t>
  </si>
  <si>
    <t>+8807674175406</t>
  </si>
  <si>
    <t>+8808561872619</t>
  </si>
  <si>
    <t>+8806453954234</t>
  </si>
  <si>
    <t>+8807656602218</t>
  </si>
  <si>
    <t>+8804492698759</t>
  </si>
  <si>
    <t>+8808117662849</t>
  </si>
  <si>
    <t>+8807754862277</t>
  </si>
  <si>
    <t>+8808655999516</t>
  </si>
  <si>
    <t>+8806359748922</t>
  </si>
  <si>
    <t>+8809941383006</t>
  </si>
  <si>
    <t>+8805592167738</t>
  </si>
  <si>
    <t>+8803894047742</t>
  </si>
  <si>
    <t>+8806559032224</t>
  </si>
  <si>
    <t>+8809214937791</t>
  </si>
  <si>
    <t>+8809852933184</t>
  </si>
  <si>
    <t>+8807606886826</t>
  </si>
  <si>
    <t>+8806988588165</t>
  </si>
  <si>
    <t>+8805417717837</t>
  </si>
  <si>
    <t>+8808623548682</t>
  </si>
  <si>
    <t>+8802091129323</t>
  </si>
  <si>
    <t>+8806352615043</t>
  </si>
  <si>
    <t>+8808788268216</t>
  </si>
  <si>
    <t>+8803744709174</t>
  </si>
  <si>
    <t>+8805225674938</t>
  </si>
  <si>
    <t>+8808641465081</t>
  </si>
  <si>
    <t>+8805436644227</t>
  </si>
  <si>
    <t>+8802323191767</t>
  </si>
  <si>
    <t>+8809499714253</t>
  </si>
  <si>
    <t>+8801605015513</t>
  </si>
  <si>
    <t>+8801147631703</t>
  </si>
  <si>
    <t>+8809191018408</t>
  </si>
  <si>
    <t>+8805971090735</t>
  </si>
  <si>
    <t>+8804712268074</t>
  </si>
  <si>
    <t>+8803627857021</t>
  </si>
  <si>
    <t>+8808918571528</t>
  </si>
  <si>
    <t>+8803927761536</t>
  </si>
  <si>
    <t>+8808068815587</t>
  </si>
  <si>
    <t>+8809127044788</t>
  </si>
  <si>
    <t>+8807827414735</t>
  </si>
  <si>
    <t>+8806389475821</t>
  </si>
  <si>
    <t>+8805943481115</t>
  </si>
  <si>
    <t>+8807873439665</t>
  </si>
  <si>
    <t>+8804186958774</t>
  </si>
  <si>
    <t>+8804227496272</t>
  </si>
  <si>
    <t>+8801297439953</t>
  </si>
  <si>
    <t>+8804517993402</t>
  </si>
  <si>
    <t>+8802496822387</t>
  </si>
  <si>
    <t>+8804682073839</t>
  </si>
  <si>
    <t>+8801038008185</t>
  </si>
  <si>
    <t>+8809969822094</t>
  </si>
  <si>
    <t>+8804917681758</t>
  </si>
  <si>
    <t>+8808392522591</t>
  </si>
  <si>
    <t>+8804012568158</t>
  </si>
  <si>
    <t>+8806898966142</t>
  </si>
  <si>
    <t>+8807594573596</t>
  </si>
  <si>
    <t>+8806653703624</t>
  </si>
  <si>
    <t>+8809458520789</t>
  </si>
  <si>
    <t>+8808727173728</t>
  </si>
  <si>
    <t>+8805329153321</t>
  </si>
  <si>
    <t>+8807021692140</t>
  </si>
  <si>
    <t>+8801105661435</t>
  </si>
  <si>
    <t>+8805909108359</t>
  </si>
  <si>
    <t>+8802335050676</t>
  </si>
  <si>
    <t>+8801231445899</t>
  </si>
  <si>
    <t>+8806807358120</t>
  </si>
  <si>
    <t>+8805853850512</t>
  </si>
  <si>
    <t>+8807551925709</t>
  </si>
  <si>
    <t>+8809423791147</t>
  </si>
  <si>
    <t>+8802725583205</t>
  </si>
  <si>
    <t>+8805165594301</t>
  </si>
  <si>
    <t>+8805821301587</t>
  </si>
  <si>
    <t>+8807683346655</t>
  </si>
  <si>
    <t>+8807769148207</t>
  </si>
  <si>
    <t>+8802376615637</t>
  </si>
  <si>
    <t>+8805397329363</t>
  </si>
  <si>
    <t>+8803263779344</t>
  </si>
  <si>
    <t>+8806567191123</t>
  </si>
  <si>
    <t>+8807064094690</t>
  </si>
  <si>
    <t>+8806346153556</t>
  </si>
  <si>
    <t>+8801136848856</t>
  </si>
  <si>
    <t>+8808993593157</t>
  </si>
  <si>
    <t>+8805021683081</t>
  </si>
  <si>
    <t>+8808136362574</t>
  </si>
  <si>
    <t>+8807277191983</t>
  </si>
  <si>
    <t>+8804369916796</t>
  </si>
  <si>
    <t>+8806609572468</t>
  </si>
  <si>
    <t>+8808875371551</t>
  </si>
  <si>
    <t>+8804059823026</t>
  </si>
  <si>
    <t>+8804478671848</t>
  </si>
  <si>
    <t>+8803184531061</t>
  </si>
  <si>
    <t>+8804828410790</t>
  </si>
  <si>
    <t>+8806664257943</t>
  </si>
  <si>
    <t>+8809571184641</t>
  </si>
  <si>
    <t>+8803224826377</t>
  </si>
  <si>
    <t>+8806066331874</t>
  </si>
  <si>
    <t>+8807385982538</t>
  </si>
  <si>
    <t>+8805397418089</t>
  </si>
  <si>
    <t>+8804621415677</t>
  </si>
  <si>
    <t>+8807204300123</t>
  </si>
  <si>
    <t>+8809714962858</t>
  </si>
  <si>
    <t>+8807531438530</t>
  </si>
  <si>
    <t>+8806039281527</t>
  </si>
  <si>
    <t>+8802039247657</t>
  </si>
  <si>
    <t>+8801863494350</t>
  </si>
  <si>
    <t>+8808892807189</t>
  </si>
  <si>
    <t>+8806931297913</t>
  </si>
  <si>
    <t>+8809084296284</t>
  </si>
  <si>
    <t>+8801628573879</t>
  </si>
  <si>
    <t>+8801591980140</t>
  </si>
  <si>
    <t>+8807015415930</t>
  </si>
  <si>
    <t>+8804903967321</t>
  </si>
  <si>
    <t>+8806204024040</t>
  </si>
  <si>
    <t>+8809921157786</t>
  </si>
  <si>
    <t>+8803717035622</t>
  </si>
  <si>
    <t>+8808621524068</t>
  </si>
  <si>
    <t>+8803605508957</t>
  </si>
  <si>
    <t>+8808094911774</t>
  </si>
  <si>
    <t>+8807251374285</t>
  </si>
  <si>
    <t>+8809328967878</t>
  </si>
  <si>
    <t>+8805444241919</t>
  </si>
  <si>
    <t>+8801403780982</t>
  </si>
  <si>
    <t>+8804662785744</t>
  </si>
  <si>
    <t>+8809846793651</t>
  </si>
  <si>
    <t>+8801764987039</t>
  </si>
  <si>
    <t>+8809526395140</t>
  </si>
  <si>
    <t>+8805925462199</t>
  </si>
  <si>
    <t>+8805644517399</t>
  </si>
  <si>
    <t>+8807583755494</t>
  </si>
  <si>
    <t>+8801216470998</t>
  </si>
  <si>
    <t>+8805081248164</t>
  </si>
  <si>
    <t>+8804211495345</t>
  </si>
  <si>
    <t>+8806722298488</t>
  </si>
  <si>
    <t>+8809038788583</t>
  </si>
  <si>
    <t>+8802789461722</t>
  </si>
  <si>
    <t>+8809436927535</t>
  </si>
  <si>
    <t>+8809307996526</t>
  </si>
  <si>
    <t>+8805226657724</t>
  </si>
  <si>
    <t>+8809852064082</t>
  </si>
  <si>
    <t>+8801281699336</t>
  </si>
  <si>
    <t>+8801701866415</t>
  </si>
  <si>
    <t>+8803887047206</t>
  </si>
  <si>
    <t>+8801457396812</t>
  </si>
  <si>
    <t>+8802819620283</t>
  </si>
  <si>
    <t>+8807664978893</t>
  </si>
  <si>
    <t>+8805383613348</t>
  </si>
  <si>
    <t>+8804584904050</t>
  </si>
  <si>
    <t>+8805539271999</t>
  </si>
  <si>
    <t>+8808286925699</t>
  </si>
  <si>
    <t>+8807783253070</t>
  </si>
  <si>
    <t>+8807733094338</t>
  </si>
  <si>
    <t>+8808434682780</t>
  </si>
  <si>
    <t>+8803073737745</t>
  </si>
  <si>
    <t>+8802464759184</t>
  </si>
  <si>
    <t>+8806292321251</t>
  </si>
  <si>
    <t>+8804396085430</t>
  </si>
  <si>
    <t>+8809736614492</t>
  </si>
  <si>
    <t>+8808374877904</t>
  </si>
  <si>
    <t>+8804132029527</t>
  </si>
  <si>
    <t>+8803377090267</t>
  </si>
  <si>
    <t>+8807175502589</t>
  </si>
  <si>
    <t>+8801246508883</t>
  </si>
  <si>
    <t>+8802746950956</t>
  </si>
  <si>
    <t>+8806447124016</t>
  </si>
  <si>
    <t>+8806964730727</t>
  </si>
  <si>
    <t>+8801842517074</t>
  </si>
  <si>
    <t>+8805657791088</t>
  </si>
  <si>
    <t>+8807775417398</t>
  </si>
  <si>
    <t>+8806247141419</t>
  </si>
  <si>
    <t>+8809221601331</t>
  </si>
  <si>
    <t>+8801769010845</t>
  </si>
  <si>
    <t>+8806239638045</t>
  </si>
  <si>
    <t>+8808189417945</t>
  </si>
  <si>
    <t>+8808021625074</t>
  </si>
  <si>
    <t>+8804494643936</t>
  </si>
  <si>
    <t>+8806207205154</t>
  </si>
  <si>
    <t>+8804029297001</t>
  </si>
  <si>
    <t>+8802298205066</t>
  </si>
  <si>
    <t>+8806793552724</t>
  </si>
  <si>
    <t>+8806177863572</t>
  </si>
  <si>
    <t>+8809477197388</t>
  </si>
  <si>
    <t>+8809362522555</t>
  </si>
  <si>
    <t>+8806178475184</t>
  </si>
  <si>
    <t>+8805714747490</t>
  </si>
  <si>
    <t>+8809062040440</t>
  </si>
  <si>
    <t>+8804091911054</t>
  </si>
  <si>
    <t>+8807228178067</t>
  </si>
  <si>
    <t>+8808615742710</t>
  </si>
  <si>
    <t>+8803051978692</t>
  </si>
  <si>
    <t>+8804742344983</t>
  </si>
  <si>
    <t>+8804003905543</t>
  </si>
  <si>
    <t>+8806373088294</t>
  </si>
  <si>
    <t>+8807127009216</t>
  </si>
  <si>
    <t>+8805355666341</t>
  </si>
  <si>
    <t>+8806567659324</t>
  </si>
  <si>
    <t>+8805419545814</t>
  </si>
  <si>
    <t>+8807181157919</t>
  </si>
  <si>
    <t>+8801996413187</t>
  </si>
  <si>
    <t>+8807079439571</t>
  </si>
  <si>
    <t>+8801243829749</t>
  </si>
  <si>
    <t>+8804895814385</t>
  </si>
  <si>
    <t>+8808571609429</t>
  </si>
  <si>
    <t>+8805658901305</t>
  </si>
  <si>
    <t>+8801973111036</t>
  </si>
  <si>
    <t>+8805917650989</t>
  </si>
  <si>
    <t>+8809724472234</t>
  </si>
  <si>
    <t>+8802774981165</t>
  </si>
  <si>
    <t>+8808019433047</t>
  </si>
  <si>
    <t>+8806802376538</t>
  </si>
  <si>
    <t>+8807405245952</t>
  </si>
  <si>
    <t>+8803652273347</t>
  </si>
  <si>
    <t>+8802112947560</t>
  </si>
  <si>
    <t>+8803992255198</t>
  </si>
  <si>
    <t>+8802728732841</t>
  </si>
  <si>
    <t>+8804896238960</t>
  </si>
  <si>
    <t>+8805793021277</t>
  </si>
  <si>
    <t>+8801188175600</t>
  </si>
  <si>
    <t>+8805064531921</t>
  </si>
  <si>
    <t>+8805907629182</t>
  </si>
  <si>
    <t>+8804974213735</t>
  </si>
  <si>
    <t>+8809842072875</t>
  </si>
  <si>
    <t>+8803268319033</t>
  </si>
  <si>
    <t>+8803887898299</t>
  </si>
  <si>
    <t>+8806533505708</t>
  </si>
  <si>
    <t>+8805747087486</t>
  </si>
  <si>
    <t>+8807129594086</t>
  </si>
  <si>
    <t>+8801524660941</t>
  </si>
  <si>
    <t>+8803749193317</t>
  </si>
  <si>
    <t>+8801843351934</t>
  </si>
  <si>
    <t>+8803291007333</t>
  </si>
  <si>
    <t>+8806914113414</t>
  </si>
  <si>
    <t>+8802286762323</t>
  </si>
  <si>
    <t>+8805071101667</t>
  </si>
  <si>
    <t>+8805008924281</t>
  </si>
  <si>
    <t>+8802974749737</t>
  </si>
  <si>
    <t>+8809194140580</t>
  </si>
  <si>
    <t>+8807001410785</t>
  </si>
  <si>
    <t>+8801785104096</t>
  </si>
  <si>
    <t>+8806695283399</t>
  </si>
  <si>
    <t>+8803225659234</t>
  </si>
  <si>
    <t>+8808675334398</t>
  </si>
  <si>
    <t>+8802188902707</t>
  </si>
  <si>
    <t>+8808131011756</t>
  </si>
  <si>
    <t>+8801511074656</t>
  </si>
  <si>
    <t>+8802822852582</t>
  </si>
  <si>
    <t>+8809672253801</t>
  </si>
  <si>
    <t>+8809064747344</t>
  </si>
  <si>
    <t>+8807725562588</t>
  </si>
  <si>
    <t>+8808838848547</t>
  </si>
  <si>
    <t>+8808712970453</t>
  </si>
  <si>
    <t>+8808121156667</t>
  </si>
  <si>
    <t>+8801261696884</t>
  </si>
  <si>
    <t>+8806957142188</t>
  </si>
  <si>
    <t>+8809003112684</t>
  </si>
  <si>
    <t>+8805907315213</t>
  </si>
  <si>
    <t>+8808989256417</t>
  </si>
  <si>
    <t>+8803194017569</t>
  </si>
  <si>
    <t>+8809144588650</t>
  </si>
  <si>
    <t>+8805473795948</t>
  </si>
  <si>
    <t>+8808189480745</t>
  </si>
  <si>
    <t>+8804788393859</t>
  </si>
  <si>
    <t>+8802304716849</t>
  </si>
  <si>
    <t>+8807961506706</t>
  </si>
  <si>
    <t>+8806914900214</t>
  </si>
  <si>
    <t>+8803649891495</t>
  </si>
  <si>
    <t>+8802465302278</t>
  </si>
  <si>
    <t>+8802225334396</t>
  </si>
  <si>
    <t>+8806051369858</t>
  </si>
  <si>
    <t>+8808443789866</t>
  </si>
  <si>
    <t>+8801055394717</t>
  </si>
  <si>
    <t>+8801322289408</t>
  </si>
  <si>
    <t>+8806428550760</t>
  </si>
  <si>
    <t>+8802777635583</t>
  </si>
  <si>
    <t>+8809086659774</t>
  </si>
  <si>
    <t>+8808773670558</t>
  </si>
  <si>
    <t>+8808563774369</t>
  </si>
  <si>
    <t>+8802137479356</t>
  </si>
  <si>
    <t>+8803643919077</t>
  </si>
  <si>
    <t>+8807349629446</t>
  </si>
  <si>
    <t>+8808622515130</t>
  </si>
  <si>
    <t>+8805697139812</t>
  </si>
  <si>
    <t>+8806077605630</t>
  </si>
  <si>
    <t>+8808719944540</t>
  </si>
  <si>
    <t>+8807703364881</t>
  </si>
  <si>
    <t>+8802201738566</t>
  </si>
  <si>
    <t>+8805025496857</t>
  </si>
  <si>
    <t>+8802108137696</t>
  </si>
  <si>
    <t>+8808433719612</t>
  </si>
  <si>
    <t>+8807119291140</t>
  </si>
  <si>
    <t>+8804473170212</t>
  </si>
  <si>
    <t>+8808536481182</t>
  </si>
  <si>
    <t>+8808788147469</t>
  </si>
  <si>
    <t>+8804644800276</t>
  </si>
  <si>
    <t>+8809745369658</t>
  </si>
  <si>
    <t>+8807654540600</t>
  </si>
  <si>
    <t>+8806809182300</t>
  </si>
  <si>
    <t>+8805825229336</t>
  </si>
  <si>
    <t>+8806538837165</t>
  </si>
  <si>
    <t>+8808833578104</t>
  </si>
  <si>
    <t>+8806319328864</t>
  </si>
  <si>
    <t>+8802319912661</t>
  </si>
  <si>
    <t>+8804015484697</t>
  </si>
  <si>
    <t>+8806162287641</t>
  </si>
  <si>
    <t>+8806843282843</t>
  </si>
  <si>
    <t>+8804872553071</t>
  </si>
  <si>
    <t>+8809331117620</t>
  </si>
  <si>
    <t>+8804938796153</t>
  </si>
  <si>
    <t>+8804941840573</t>
  </si>
  <si>
    <t>+8804996797291</t>
  </si>
  <si>
    <t>+8806387872150</t>
  </si>
  <si>
    <t>+8803449948098</t>
  </si>
  <si>
    <t>+8806147989337</t>
  </si>
  <si>
    <t>+8804012087910</t>
  </si>
  <si>
    <t>+8806672718607</t>
  </si>
  <si>
    <t>+8807636829796</t>
  </si>
  <si>
    <t>+8809224248347</t>
  </si>
  <si>
    <t>+8802615659874</t>
  </si>
  <si>
    <t>+8807935633680</t>
  </si>
  <si>
    <t>+8808742250504</t>
  </si>
  <si>
    <t>+8808688265689</t>
  </si>
  <si>
    <t>+8804825714746</t>
  </si>
  <si>
    <t>+8809114444036</t>
  </si>
  <si>
    <t>+8807398710304</t>
  </si>
  <si>
    <t>+8806491065334</t>
  </si>
  <si>
    <t>+8808184522328</t>
  </si>
  <si>
    <t>+8806579662095</t>
  </si>
  <si>
    <t>+8803876099467</t>
  </si>
  <si>
    <t>+8806199475362</t>
  </si>
  <si>
    <t>+8807351649155</t>
  </si>
  <si>
    <t>+8801312571246</t>
  </si>
  <si>
    <t>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</si>
</sst>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16" fillId="33" borderId="0" xfId="0" applyFont="1" applyFill="1" applyAlignment="1">
      <alignment horizontal="center" vertical="center"/>
    </xf>
    <xf numFmtId="2" fontId="16" fillId="33" borderId="0" xfId="0" applyNumberFormat="1" applyFont="1" applyFill="1" applyAlignment="1">
      <alignment horizontal="center" vertical="center"/>
    </xf>
    <xf numFmtId="49" fontId="16" fillId="33" borderId="0" xfId="1" applyNumberFormat="1" applyFont="1" applyFill="1" applyAlignment="1">
      <alignment horizontal="center" vertical="center"/>
    </xf>
    <xf numFmtId="49" fontId="0" fillId="0" borderId="0" xfId="1" applyNumberFormat="1"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4d3a284455e1ae89539af62d1bc5d591&amp;qlt=95" TargetMode="External"/><Relationship Id="rId21" Type="http://schemas.openxmlformats.org/officeDocument/2006/relationships/hyperlink" Target="https://www.bing.com/th?id=OSK.0ee50b8bd894253a691c3f3d6a8780fb&amp;qlt=95" TargetMode="External"/><Relationship Id="rId42" Type="http://schemas.openxmlformats.org/officeDocument/2006/relationships/hyperlink" Target="https://www.bing.com/images/search?form=xlimg&amp;q=Sirajganj" TargetMode="External"/><Relationship Id="rId63" Type="http://schemas.openxmlformats.org/officeDocument/2006/relationships/hyperlink" Target="https://www.bing.com/th?id=OSK.c7862bda5846ab6e97741fe31b742381&amp;qlt=95" TargetMode="External"/><Relationship Id="rId84" Type="http://schemas.openxmlformats.org/officeDocument/2006/relationships/hyperlink" Target="https://www.bing.com/images/search?form=xlimg&amp;q=Feni%20District" TargetMode="External"/><Relationship Id="rId138" Type="http://schemas.openxmlformats.org/officeDocument/2006/relationships/hyperlink" Target="https://www.bing.com/images/search?form=xlimg&amp;q=Chailahi" TargetMode="External"/><Relationship Id="rId159" Type="http://schemas.openxmlformats.org/officeDocument/2006/relationships/hyperlink" Target="https://www.bing.com/th?id=OSK.bd5874d456c36e5d7483267054a60a0d&amp;qlt=95" TargetMode="External"/><Relationship Id="rId107" Type="http://schemas.openxmlformats.org/officeDocument/2006/relationships/hyperlink" Target="https://www.bing.com/th?id=OSK.907525e3bc285c51cbfc82688e4a51a5&amp;qlt=95" TargetMode="External"/><Relationship Id="rId11" Type="http://schemas.openxmlformats.org/officeDocument/2006/relationships/hyperlink" Target="https://www.bing.com/th?id=OSK.e75838260c3b02854c7023549c2169b3&amp;qlt=95" TargetMode="External"/><Relationship Id="rId32" Type="http://schemas.openxmlformats.org/officeDocument/2006/relationships/hyperlink" Target="https://www.bing.com/images/search?form=xlimg&amp;q=Bera%20Upazila" TargetMode="External"/><Relationship Id="rId53" Type="http://schemas.openxmlformats.org/officeDocument/2006/relationships/hyperlink" Target="https://www.bing.com/th?id=OSK.a55IySnlOoeCmwkz9csZ-Bps7tAoyNEOPSSbxTMdL6Y&amp;qlt=95" TargetMode="External"/><Relationship Id="rId74" Type="http://schemas.openxmlformats.org/officeDocument/2006/relationships/hyperlink" Target="https://www.bing.com/images/search?form=xlimg&amp;q=Sarishabari%20Upazila" TargetMode="External"/><Relationship Id="rId128" Type="http://schemas.openxmlformats.org/officeDocument/2006/relationships/hyperlink" Target="https://www.bing.com/images/search?form=xlimg&amp;q=Badarganj%20Upazila" TargetMode="External"/><Relationship Id="rId149" Type="http://schemas.openxmlformats.org/officeDocument/2006/relationships/hyperlink" Target="https://www.bing.com/th?id=OSK.c7862bda5846ab6e97741fe31b742381&amp;qlt=95" TargetMode="External"/><Relationship Id="rId5" Type="http://schemas.openxmlformats.org/officeDocument/2006/relationships/hyperlink" Target="https://www.bing.com/th?id=OSK.5c30069217901b64c98f5ee91d9802a2&amp;qlt=95" TargetMode="External"/><Relationship Id="rId95" Type="http://schemas.openxmlformats.org/officeDocument/2006/relationships/hyperlink" Target="https://www.bing.com/th?id=OSK.767fcc7294fc82351c6b7a03fd53eab5&amp;qlt=95" TargetMode="External"/><Relationship Id="rId160" Type="http://schemas.openxmlformats.org/officeDocument/2006/relationships/hyperlink" Target="https://www.bing.com/images/search?form=xlimg&amp;q=Nabinagar%20Upazila" TargetMode="External"/><Relationship Id="rId22" Type="http://schemas.openxmlformats.org/officeDocument/2006/relationships/hyperlink" Target="https://www.bing.com/images/search?form=xlimg&amp;q=Sarankhola%20Upazila" TargetMode="External"/><Relationship Id="rId43" Type="http://schemas.openxmlformats.org/officeDocument/2006/relationships/hyperlink" Target="https://www.bing.com/th?id=OSK.79fe6d1f1006fd334586244f2c739a90&amp;qlt=95" TargetMode="External"/><Relationship Id="rId64" Type="http://schemas.openxmlformats.org/officeDocument/2006/relationships/hyperlink" Target="https://www.bing.com/images/search?form=xlimg&amp;q=Bheramara%20Upazila" TargetMode="External"/><Relationship Id="rId118" Type="http://schemas.openxmlformats.org/officeDocument/2006/relationships/hyperlink" Target="https://www.bing.com/images/search?form=xlimg&amp;q=Madaripur%20District" TargetMode="External"/><Relationship Id="rId139" Type="http://schemas.openxmlformats.org/officeDocument/2006/relationships/hyperlink" Target="https://www.bing.com/th?id=OSK.ec17b84a93910b1159151e067703eb21&amp;qlt=95" TargetMode="External"/><Relationship Id="rId85" Type="http://schemas.openxmlformats.org/officeDocument/2006/relationships/hyperlink" Target="https://www.bing.com/th?id=OSK.c7862bda5846ab6e97741fe31b742381&amp;qlt=95" TargetMode="External"/><Relationship Id="rId150" Type="http://schemas.openxmlformats.org/officeDocument/2006/relationships/hyperlink" Target="https://www.bing.com/images/search?form=xlimg&amp;q=Nageshwari%20Upazila" TargetMode="External"/><Relationship Id="rId12" Type="http://schemas.openxmlformats.org/officeDocument/2006/relationships/hyperlink" Target="https://www.bing.com/images/search?form=xlimg&amp;q=Comilla" TargetMode="External"/><Relationship Id="rId17" Type="http://schemas.openxmlformats.org/officeDocument/2006/relationships/hyperlink" Target="https://www.bing.com/th?id=OSK.63872532338d75bcc0e8215fef87ede3&amp;qlt=95" TargetMode="External"/><Relationship Id="rId33" Type="http://schemas.openxmlformats.org/officeDocument/2006/relationships/hyperlink" Target="https://www.bing.com/th?id=OSK.34a03fae69b53efd81a0d27f89d55265&amp;qlt=95" TargetMode="External"/><Relationship Id="rId38" Type="http://schemas.openxmlformats.org/officeDocument/2006/relationships/hyperlink" Target="https://www.bing.com/images/search?form=xlimg&amp;q=Satkania%20Upazila" TargetMode="External"/><Relationship Id="rId59" Type="http://schemas.openxmlformats.org/officeDocument/2006/relationships/hyperlink" Target="https://www.bing.com/th?id=OSK.b8c6eb69cb77e272781bf45d998ddaa2&amp;qlt=95" TargetMode="External"/><Relationship Id="rId103" Type="http://schemas.openxmlformats.org/officeDocument/2006/relationships/hyperlink" Target="https://www.bing.com/th?id=OSK.c7862bda5846ab6e97741fe31b742381&amp;qlt=95" TargetMode="External"/><Relationship Id="rId108" Type="http://schemas.openxmlformats.org/officeDocument/2006/relationships/hyperlink" Target="https://www.bing.com/images/search?form=xlimg&amp;q=Sylhet" TargetMode="External"/><Relationship Id="rId124" Type="http://schemas.openxmlformats.org/officeDocument/2006/relationships/hyperlink" Target="https://www.bing.com/images/search?form=xlimg&amp;q=Dhaka" TargetMode="External"/><Relationship Id="rId129" Type="http://schemas.openxmlformats.org/officeDocument/2006/relationships/hyperlink" Target="https://www.bing.com/th?id=OSK.43032b8e481a4cb2fe3c7c9e38d30fa4&amp;qlt=95" TargetMode="External"/><Relationship Id="rId54" Type="http://schemas.openxmlformats.org/officeDocument/2006/relationships/hyperlink" Target="https://www.bing.com/images/search?form=xlimg&amp;q=Khulna%20District" TargetMode="External"/><Relationship Id="rId70" Type="http://schemas.openxmlformats.org/officeDocument/2006/relationships/hyperlink" Target="https://www.bing.com/images/search?form=xlimg&amp;q=Pirojpur%20District" TargetMode="External"/><Relationship Id="rId75" Type="http://schemas.openxmlformats.org/officeDocument/2006/relationships/hyperlink" Target="https://www.bing.com/th?id=OSK.07113e5dd9c24e24d090dd4139c0d0de&amp;qlt=95" TargetMode="External"/><Relationship Id="rId91" Type="http://schemas.openxmlformats.org/officeDocument/2006/relationships/hyperlink" Target="https://www.bing.com/th?id=OSK.c7862bda5846ab6e97741fe31b742381&amp;qlt=95" TargetMode="External"/><Relationship Id="rId96" Type="http://schemas.openxmlformats.org/officeDocument/2006/relationships/hyperlink" Target="https://www.bing.com/images/search?form=xlimg&amp;q=Panchagarh%20District" TargetMode="External"/><Relationship Id="rId140" Type="http://schemas.openxmlformats.org/officeDocument/2006/relationships/hyperlink" Target="https://www.bing.com/images/search?form=xlimg&amp;q=Thakurgaon%20District" TargetMode="External"/><Relationship Id="rId145" Type="http://schemas.openxmlformats.org/officeDocument/2006/relationships/hyperlink" Target="https://www.bing.com/th?id=OSK.c7862bda5846ab6e97741fe31b742381&amp;qlt=95" TargetMode="External"/><Relationship Id="rId161" Type="http://schemas.openxmlformats.org/officeDocument/2006/relationships/hyperlink" Target="https://www.bing.com/th?id=OSK.e75343d66f07fc501bdbfbcfdd88df04&amp;qlt=95" TargetMode="External"/><Relationship Id="rId1" Type="http://schemas.openxmlformats.org/officeDocument/2006/relationships/hyperlink" Target="https://www.bing.com/th?id=OSK.998f75d0bf57ff1f61f37cdc99385382&amp;qlt=95" TargetMode="External"/><Relationship Id="rId6" Type="http://schemas.openxmlformats.org/officeDocument/2006/relationships/hyperlink" Target="https://www.bing.com/images/search?form=xlimg&amp;q=Narayanganj" TargetMode="External"/><Relationship Id="rId23" Type="http://schemas.openxmlformats.org/officeDocument/2006/relationships/hyperlink" Target="https://www.bing.com/th?id=OSK.G9n0hxXVOAPhnbVXR0Wb51ilWzBjNrj9IQ9Ql2aTm3M&amp;qlt=95" TargetMode="External"/><Relationship Id="rId28" Type="http://schemas.openxmlformats.org/officeDocument/2006/relationships/hyperlink" Target="https://www.bing.com/images/search?form=xlimg&amp;q=Shibganj%20Upazila,%20Chapai%20Nawabganj" TargetMode="External"/><Relationship Id="rId49" Type="http://schemas.openxmlformats.org/officeDocument/2006/relationships/hyperlink" Target="https://www.bing.com/th?id=OSK.f3236beeb33f90aee42d178bd6e4f597&amp;qlt=95" TargetMode="External"/><Relationship Id="rId114" Type="http://schemas.openxmlformats.org/officeDocument/2006/relationships/hyperlink" Target="https://www.bing.com/images/search?form=xlimg&amp;q=Faridpur%20District" TargetMode="External"/><Relationship Id="rId119" Type="http://schemas.openxmlformats.org/officeDocument/2006/relationships/hyperlink" Target="https://www.bing.com/th?id=OSK.7cc21fba77f42f68622b69e34c7b3014&amp;qlt=95" TargetMode="External"/><Relationship Id="rId44" Type="http://schemas.openxmlformats.org/officeDocument/2006/relationships/hyperlink" Target="https://www.bing.com/images/search?form=xlimg&amp;q=Bhola%20District" TargetMode="External"/><Relationship Id="rId60" Type="http://schemas.openxmlformats.org/officeDocument/2006/relationships/hyperlink" Target="https://www.bing.com/images/search?form=xlimg&amp;q=Bogra" TargetMode="External"/><Relationship Id="rId65" Type="http://schemas.openxmlformats.org/officeDocument/2006/relationships/hyperlink" Target="https://www.bing.com/th?id=OSK.7780460060a93f2f6ef2162911fa8816&amp;qlt=95" TargetMode="External"/><Relationship Id="rId81" Type="http://schemas.openxmlformats.org/officeDocument/2006/relationships/hyperlink" Target="https://www.bing.com/th?id=OSK.488eb347f8bc1c7fb2e0f7a7a90d03f4&amp;qlt=95" TargetMode="External"/><Relationship Id="rId86" Type="http://schemas.openxmlformats.org/officeDocument/2006/relationships/hyperlink" Target="https://www.bing.com/images/search?form=xlimg&amp;q=Kalia%20Upazila" TargetMode="External"/><Relationship Id="rId130" Type="http://schemas.openxmlformats.org/officeDocument/2006/relationships/hyperlink" Target="https://www.bing.com/images/search?form=xlimg&amp;q=Rangpur%20District" TargetMode="External"/><Relationship Id="rId135" Type="http://schemas.openxmlformats.org/officeDocument/2006/relationships/hyperlink" Target="https://www.bing.com/th?id=OSK.636db240cfda2a68e1e1b07eb47dd09f&amp;qlt=95" TargetMode="External"/><Relationship Id="rId151" Type="http://schemas.openxmlformats.org/officeDocument/2006/relationships/hyperlink" Target="https://www.bing.com/th?id=OSK.c7862bda5846ab6e97741fe31b742381&amp;qlt=95" TargetMode="External"/><Relationship Id="rId156" Type="http://schemas.openxmlformats.org/officeDocument/2006/relationships/hyperlink" Target="https://www.bing.com/images/search?form=xlimg&amp;q=Tangail" TargetMode="External"/><Relationship Id="rId13" Type="http://schemas.openxmlformats.org/officeDocument/2006/relationships/hyperlink" Target="https://www.bing.com/th?id=OSK.c7862bda5846ab6e97741fe31b742381&amp;qlt=95" TargetMode="External"/><Relationship Id="rId18" Type="http://schemas.openxmlformats.org/officeDocument/2006/relationships/hyperlink" Target="https://www.bing.com/images/search?form=xlimg&amp;q=Dinajpur%20District,%20Bangladesh" TargetMode="External"/><Relationship Id="rId39" Type="http://schemas.openxmlformats.org/officeDocument/2006/relationships/hyperlink" Target="https://www.bing.com/th?id=OSK.b1m3K9Y7i8wPD52y4ychuUKpY-l14l8rghrXQz4JWiY&amp;qlt=95" TargetMode="External"/><Relationship Id="rId109" Type="http://schemas.openxmlformats.org/officeDocument/2006/relationships/hyperlink" Target="https://www.bing.com/th?id=OSK.c7862bda5846ab6e97741fe31b742381&amp;qlt=95" TargetMode="External"/><Relationship Id="rId34" Type="http://schemas.openxmlformats.org/officeDocument/2006/relationships/hyperlink" Target="https://www.bing.com/images/search?form=xlimg&amp;q=Pabna%20District" TargetMode="External"/><Relationship Id="rId50" Type="http://schemas.openxmlformats.org/officeDocument/2006/relationships/hyperlink" Target="https://www.bing.com/images/search?form=xlimg&amp;q=Raozan%20Upazila" TargetMode="External"/><Relationship Id="rId55" Type="http://schemas.openxmlformats.org/officeDocument/2006/relationships/hyperlink" Target="https://www.bing.com/th?id=OSK.d881e2d8a33b6a837ca5d67eba7bf6b8&amp;qlt=95" TargetMode="External"/><Relationship Id="rId76" Type="http://schemas.openxmlformats.org/officeDocument/2006/relationships/hyperlink" Target="https://www.bing.com/images/search?form=xlimg&amp;q=Jamalpur%20District" TargetMode="External"/><Relationship Id="rId97" Type="http://schemas.openxmlformats.org/officeDocument/2006/relationships/hyperlink" Target="https://www.bing.com/th?id=OSK.c7862bda5846ab6e97741fe31b742381&amp;qlt=95" TargetMode="External"/><Relationship Id="rId104" Type="http://schemas.openxmlformats.org/officeDocument/2006/relationships/hyperlink" Target="https://www.bing.com/images/search?form=xlimg&amp;q=Barahanuddin" TargetMode="External"/><Relationship Id="rId120" Type="http://schemas.openxmlformats.org/officeDocument/2006/relationships/hyperlink" Target="https://www.bing.com/images/search?form=xlimg&amp;q=Barisal" TargetMode="External"/><Relationship Id="rId125" Type="http://schemas.openxmlformats.org/officeDocument/2006/relationships/hyperlink" Target="https://www.bing.com/th?id=OSK.1a04f773365fe1139386af778ce9913b&amp;qlt=95" TargetMode="External"/><Relationship Id="rId141" Type="http://schemas.openxmlformats.org/officeDocument/2006/relationships/hyperlink" Target="https://www.bing.com/th?id=OSK.0ebedcdbbd3e43fd1ef50603d8847464&amp;qlt=95" TargetMode="External"/><Relationship Id="rId146" Type="http://schemas.openxmlformats.org/officeDocument/2006/relationships/hyperlink" Target="https://www.bing.com/images/search?form=xlimg&amp;q=Bajitpur%20Upazila" TargetMode="External"/><Relationship Id="rId7" Type="http://schemas.openxmlformats.org/officeDocument/2006/relationships/hyperlink" Target="https://www.bing.com/th?id=OSK.51f2cc64e2d4883773d0eecaa886e9e6&amp;qlt=95" TargetMode="External"/><Relationship Id="rId71" Type="http://schemas.openxmlformats.org/officeDocument/2006/relationships/hyperlink" Target="https://www.bing.com/th?id=OSK.c269498e64ca9620096e9b0a3076eeff&amp;qlt=95" TargetMode="External"/><Relationship Id="rId92" Type="http://schemas.openxmlformats.org/officeDocument/2006/relationships/hyperlink" Target="https://www.bing.com/images/search?form=xlimg&amp;q=Mirzapur,%20Ishwarganj,%20Mymensingh" TargetMode="External"/><Relationship Id="rId162" Type="http://schemas.openxmlformats.org/officeDocument/2006/relationships/hyperlink" Target="https://www.bing.com/images/search?form=xlimg&amp;q=Mehendiganj%20Upazila" TargetMode="External"/><Relationship Id="rId2" Type="http://schemas.openxmlformats.org/officeDocument/2006/relationships/hyperlink" Target="https://www.bing.com/images/search?form=xlimg&amp;q=Cox's%20Bazar" TargetMode="External"/><Relationship Id="rId29" Type="http://schemas.openxmlformats.org/officeDocument/2006/relationships/hyperlink" Target="https://www.bing.com/th?id=OSK.2cd817c0db21e5c9d5746abbaa427a9b&amp;qlt=95" TargetMode="External"/><Relationship Id="rId24" Type="http://schemas.openxmlformats.org/officeDocument/2006/relationships/hyperlink" Target="https://www.bing.com/images/search?form=xlimg&amp;q=Jessore" TargetMode="External"/><Relationship Id="rId40" Type="http://schemas.openxmlformats.org/officeDocument/2006/relationships/hyperlink" Target="https://www.bing.com/images/search?form=xlimg&amp;q=Gournadi%20Upazila" TargetMode="External"/><Relationship Id="rId45" Type="http://schemas.openxmlformats.org/officeDocument/2006/relationships/hyperlink" Target="https://www.bing.com/th?id=OSK.c7862bda5846ab6e97741fe31b742381&amp;qlt=95" TargetMode="External"/><Relationship Id="rId66" Type="http://schemas.openxmlformats.org/officeDocument/2006/relationships/hyperlink" Target="https://www.bing.com/images/search?form=xlimg&amp;q=Kushtia%20District" TargetMode="External"/><Relationship Id="rId87" Type="http://schemas.openxmlformats.org/officeDocument/2006/relationships/hyperlink" Target="https://www.bing.com/th?id=OSK.d0dc9b9eb4b52aa48a322d7943359235&amp;qlt=95" TargetMode="External"/><Relationship Id="rId110" Type="http://schemas.openxmlformats.org/officeDocument/2006/relationships/hyperlink" Target="https://www.bing.com/images/search?form=xlimg&amp;q=Manikchhari%20Upazila" TargetMode="External"/><Relationship Id="rId115" Type="http://schemas.openxmlformats.org/officeDocument/2006/relationships/hyperlink" Target="https://www.bing.com/th?id=OSK.NcXWb5rgoWPPPmw5_R4BjlbI1ut19TYmlLScUx-IKq4&amp;qlt=95" TargetMode="External"/><Relationship Id="rId131" Type="http://schemas.openxmlformats.org/officeDocument/2006/relationships/hyperlink" Target="https://www.bing.com/th?id=OSK.cb10b5c2cc80c447fedbe795f2f60b21&amp;qlt=95" TargetMode="External"/><Relationship Id="rId136" Type="http://schemas.openxmlformats.org/officeDocument/2006/relationships/hyperlink" Target="https://www.bing.com/images/search?form=xlimg&amp;q=Nagarpur%20Union" TargetMode="External"/><Relationship Id="rId157" Type="http://schemas.openxmlformats.org/officeDocument/2006/relationships/hyperlink" Target="https://www.bing.com/th?id=OSK.f32032365f4a8a5580f08c5e5de1fe86&amp;qlt=95" TargetMode="External"/><Relationship Id="rId61" Type="http://schemas.openxmlformats.org/officeDocument/2006/relationships/hyperlink" Target="https://www.bing.com/th?id=OSK.b0a80740c06c7318d7cee603c535e8b7&amp;qlt=95" TargetMode="External"/><Relationship Id="rId82" Type="http://schemas.openxmlformats.org/officeDocument/2006/relationships/hyperlink" Target="https://www.bing.com/images/search?form=xlimg&amp;q=Lalmonirhat%20District" TargetMode="External"/><Relationship Id="rId152" Type="http://schemas.openxmlformats.org/officeDocument/2006/relationships/hyperlink" Target="https://www.bing.com/images/search?form=xlimg&amp;q=Patiya%20Upazila" TargetMode="External"/><Relationship Id="rId19" Type="http://schemas.openxmlformats.org/officeDocument/2006/relationships/hyperlink" Target="https://www.bing.com/th?id=OSK.710671ab1da166128ea78fbe2fc47362&amp;qlt=95" TargetMode="External"/><Relationship Id="rId14" Type="http://schemas.openxmlformats.org/officeDocument/2006/relationships/hyperlink" Target="https://www.bing.com/images/search?form=xlimg&amp;q=Laksam%20Upazila" TargetMode="External"/><Relationship Id="rId30" Type="http://schemas.openxmlformats.org/officeDocument/2006/relationships/hyperlink" Target="https://www.bing.com/images/search?form=xlimg&amp;q=Chapai%20Nawabganj%20District" TargetMode="External"/><Relationship Id="rId35" Type="http://schemas.openxmlformats.org/officeDocument/2006/relationships/hyperlink" Target="https://www.bing.com/th?id=OSK.c7862bda5846ab6e97741fe31b742381&amp;qlt=95" TargetMode="External"/><Relationship Id="rId56" Type="http://schemas.openxmlformats.org/officeDocument/2006/relationships/hyperlink" Target="https://www.bing.com/images/search?form=xlimg&amp;q=Kishoreganj%20District" TargetMode="External"/><Relationship Id="rId77" Type="http://schemas.openxmlformats.org/officeDocument/2006/relationships/hyperlink" Target="https://www.bing.com/th?id=OSK.56e8e7a22c5dc62c7f7c0627603413da&amp;qlt=95" TargetMode="External"/><Relationship Id="rId100" Type="http://schemas.openxmlformats.org/officeDocument/2006/relationships/hyperlink" Target="https://www.bing.com/images/search?form=xlimg&amp;q=Habiganj%20District" TargetMode="External"/><Relationship Id="rId105" Type="http://schemas.openxmlformats.org/officeDocument/2006/relationships/hyperlink" Target="https://www.bing.com/th?id=OSK.b2ef7f46c1fedd9e1db595dc135f8247&amp;qlt=95" TargetMode="External"/><Relationship Id="rId126" Type="http://schemas.openxmlformats.org/officeDocument/2006/relationships/hyperlink" Target="https://www.bing.com/images/search?form=xlimg&amp;q=Joypurhat%20District" TargetMode="External"/><Relationship Id="rId147" Type="http://schemas.openxmlformats.org/officeDocument/2006/relationships/hyperlink" Target="https://www.bing.com/th?id=OSK.50c1e545d7bd1fff9b588ba608063516&amp;qlt=95" TargetMode="External"/><Relationship Id="rId8" Type="http://schemas.openxmlformats.org/officeDocument/2006/relationships/hyperlink" Target="https://www.bing.com/images/search?form=xlimg&amp;q=Tungipara%20Upazila" TargetMode="External"/><Relationship Id="rId51" Type="http://schemas.openxmlformats.org/officeDocument/2006/relationships/hyperlink" Target="https://www.bing.com/th?id=OSK.c7862bda5846ab6e97741fe31b742381&amp;qlt=95" TargetMode="External"/><Relationship Id="rId72" Type="http://schemas.openxmlformats.org/officeDocument/2006/relationships/hyperlink" Target="https://www.bing.com/images/search?form=xlimg&amp;q=Narsingdi%20District" TargetMode="External"/><Relationship Id="rId93" Type="http://schemas.openxmlformats.org/officeDocument/2006/relationships/hyperlink" Target="https://www.bing.com/th?id=OSK.9e067936539265720dfbc13b3caacb10&amp;qlt=95" TargetMode="External"/><Relationship Id="rId98" Type="http://schemas.openxmlformats.org/officeDocument/2006/relationships/hyperlink" Target="https://www.bing.com/images/search?form=xlimg&amp;q=Parbatipur%20Upazila" TargetMode="External"/><Relationship Id="rId121" Type="http://schemas.openxmlformats.org/officeDocument/2006/relationships/hyperlink" Target="https://www.bing.com/th?id=OSK.c7862bda5846ab6e97741fe31b742381&amp;qlt=95" TargetMode="External"/><Relationship Id="rId142" Type="http://schemas.openxmlformats.org/officeDocument/2006/relationships/hyperlink" Target="https://www.bing.com/images/search?form=xlimg&amp;q=Ishwardi%20Upazila" TargetMode="External"/><Relationship Id="rId163" Type="http://schemas.openxmlformats.org/officeDocument/2006/relationships/hyperlink" Target="https://www.bing.com/th?id=OSK.a1dd2d43b0ed37a255b1542a1b5e2b3e&amp;qlt=95" TargetMode="External"/><Relationship Id="rId3" Type="http://schemas.openxmlformats.org/officeDocument/2006/relationships/hyperlink" Target="https://www.bing.com/th?id=OSK.ee7b1e350ec152307f7240a652d0fcba&amp;qlt=95" TargetMode="External"/><Relationship Id="rId25" Type="http://schemas.openxmlformats.org/officeDocument/2006/relationships/hyperlink" Target="https://www.bing.com/th?id=OSK.5f8eca9f6c8f1b2ae38e71c23b248d21&amp;qlt=95" TargetMode="External"/><Relationship Id="rId46" Type="http://schemas.openxmlformats.org/officeDocument/2006/relationships/hyperlink" Target="https://www.bing.com/images/search?form=xlimg&amp;q=Sandwip%20Upazila" TargetMode="External"/><Relationship Id="rId67" Type="http://schemas.openxmlformats.org/officeDocument/2006/relationships/hyperlink" Target="https://www.bing.com/th?id=OSK.2e1587feec7c75741b46c75809d7311d&amp;qlt=95" TargetMode="External"/><Relationship Id="rId116" Type="http://schemas.openxmlformats.org/officeDocument/2006/relationships/hyperlink" Target="https://www.bing.com/images/search?form=xlimg&amp;q=Sherpur%20District" TargetMode="External"/><Relationship Id="rId137" Type="http://schemas.openxmlformats.org/officeDocument/2006/relationships/hyperlink" Target="https://www.bing.com/th?id=OSK.5d8af7bbf8d0a85a4e043b09faec48c7&amp;qlt=95" TargetMode="External"/><Relationship Id="rId158" Type="http://schemas.openxmlformats.org/officeDocument/2006/relationships/hyperlink" Target="https://www.bing.com/images/search?form=xlimg&amp;q=Muktagacha%20Upazila" TargetMode="External"/><Relationship Id="rId20" Type="http://schemas.openxmlformats.org/officeDocument/2006/relationships/hyperlink" Target="https://www.bing.com/images/search?form=xlimg&amp;q=Nalchity%20Upazila" TargetMode="External"/><Relationship Id="rId41" Type="http://schemas.openxmlformats.org/officeDocument/2006/relationships/hyperlink" Target="https://www.bing.com/th?id=OSK.f142c78f46e47e0255a8406f1b5e14f9&amp;qlt=95" TargetMode="External"/><Relationship Id="rId62" Type="http://schemas.openxmlformats.org/officeDocument/2006/relationships/hyperlink" Target="https://www.bing.com/images/search?form=xlimg&amp;q=Satkhira%20District" TargetMode="External"/><Relationship Id="rId83" Type="http://schemas.openxmlformats.org/officeDocument/2006/relationships/hyperlink" Target="https://www.bing.com/th?id=OSK.38dedabde9eea8df54d5cd8b9a15e94f&amp;qlt=95" TargetMode="External"/><Relationship Id="rId88" Type="http://schemas.openxmlformats.org/officeDocument/2006/relationships/hyperlink" Target="https://www.bing.com/images/search?form=xlimg&amp;q=Narail%20District" TargetMode="External"/><Relationship Id="rId111" Type="http://schemas.openxmlformats.org/officeDocument/2006/relationships/hyperlink" Target="https://www.bing.com/th?id=OSK.94e459c5b623b58073451a4c407b5123&amp;qlt=95" TargetMode="External"/><Relationship Id="rId132" Type="http://schemas.openxmlformats.org/officeDocument/2006/relationships/hyperlink" Target="https://www.bing.com/images/search?form=xlimg&amp;q=Chhagalnaiya%20Upazila" TargetMode="External"/><Relationship Id="rId153" Type="http://schemas.openxmlformats.org/officeDocument/2006/relationships/hyperlink" Target="https://www.bing.com/th?id=OSK.3d66583e7f6a84a4001e543d3d6c9ce1&amp;qlt=95" TargetMode="External"/><Relationship Id="rId15" Type="http://schemas.openxmlformats.org/officeDocument/2006/relationships/hyperlink" Target="https://www.bing.com/th?id=OSK.c7862bda5846ab6e97741fe31b742381&amp;qlt=95" TargetMode="External"/><Relationship Id="rId36" Type="http://schemas.openxmlformats.org/officeDocument/2006/relationships/hyperlink" Target="https://www.bing.com/images/search?form=xlimg&amp;q=Morrelganj%20Upazila" TargetMode="External"/><Relationship Id="rId57" Type="http://schemas.openxmlformats.org/officeDocument/2006/relationships/hyperlink" Target="https://www.bing.com/th?id=OSK.c7862bda5846ab6e97741fe31b742381&amp;qlt=95" TargetMode="External"/><Relationship Id="rId106" Type="http://schemas.openxmlformats.org/officeDocument/2006/relationships/hyperlink" Target="https://www.bing.com/images/search?form=xlimg&amp;q=Gafargaon%20Upazila" TargetMode="External"/><Relationship Id="rId127" Type="http://schemas.openxmlformats.org/officeDocument/2006/relationships/hyperlink" Target="https://www.bing.com/th?id=OSK.c7862bda5846ab6e97741fe31b742381&amp;qlt=95" TargetMode="External"/><Relationship Id="rId10" Type="http://schemas.openxmlformats.org/officeDocument/2006/relationships/hyperlink" Target="https://www.bing.com/images/search?form=xlimg&amp;q=Raipur" TargetMode="External"/><Relationship Id="rId31" Type="http://schemas.openxmlformats.org/officeDocument/2006/relationships/hyperlink" Target="https://www.bing.com/th?id=OSK.c7862bda5846ab6e97741fe31b742381&amp;qlt=95" TargetMode="External"/><Relationship Id="rId52" Type="http://schemas.openxmlformats.org/officeDocument/2006/relationships/hyperlink" Target="https://www.bing.com/images/search?form=xlimg&amp;q=Phultala%20Upazila" TargetMode="External"/><Relationship Id="rId73" Type="http://schemas.openxmlformats.org/officeDocument/2006/relationships/hyperlink" Target="https://www.bing.com/th?id=OSK.65c72ab47d52373b7df3ebc2ebb3ad9e&amp;qlt=95" TargetMode="External"/><Relationship Id="rId78" Type="http://schemas.openxmlformats.org/officeDocument/2006/relationships/hyperlink" Target="https://www.bing.com/images/search?form=xlimg&amp;q=Lalmohan%20Upazila" TargetMode="External"/><Relationship Id="rId94" Type="http://schemas.openxmlformats.org/officeDocument/2006/relationships/hyperlink" Target="https://www.bing.com/images/search?form=xlimg&amp;q=Ramganj%20Upazila" TargetMode="External"/><Relationship Id="rId99" Type="http://schemas.openxmlformats.org/officeDocument/2006/relationships/hyperlink" Target="https://www.bing.com/th?id=OSK.cKIzKFDZj_u3axZmEmBtqveVnxQEBBw_x6GXTr2pLNU&amp;qlt=95" TargetMode="External"/><Relationship Id="rId101" Type="http://schemas.openxmlformats.org/officeDocument/2006/relationships/hyperlink" Target="https://www.bing.com/th?id=OSK.c7862bda5846ab6e97741fe31b742381&amp;qlt=95" TargetMode="External"/><Relationship Id="rId122" Type="http://schemas.openxmlformats.org/officeDocument/2006/relationships/hyperlink" Target="https://www.bing.com/images/search?form=xlimg&amp;q=Baniachong%20Upazila" TargetMode="External"/><Relationship Id="rId143" Type="http://schemas.openxmlformats.org/officeDocument/2006/relationships/hyperlink" Target="https://www.bing.com/th?id=OSK.bf3461fd4d534f1d3e0a6de701de50b6&amp;qlt=95" TargetMode="External"/><Relationship Id="rId148" Type="http://schemas.openxmlformats.org/officeDocument/2006/relationships/hyperlink" Target="https://www.bing.com/images/search?form=xlimg&amp;q=Moulvibazar%20District" TargetMode="External"/><Relationship Id="rId164" Type="http://schemas.openxmlformats.org/officeDocument/2006/relationships/hyperlink" Target="https://www.bing.com/images/search?form=xlimg&amp;q=Bandarban%20District" TargetMode="External"/><Relationship Id="rId4" Type="http://schemas.openxmlformats.org/officeDocument/2006/relationships/hyperlink" Target="https://www.bing.com/images/search?form=xlimg&amp;q=Khagrachhari%20District" TargetMode="External"/><Relationship Id="rId9" Type="http://schemas.openxmlformats.org/officeDocument/2006/relationships/hyperlink" Target="https://www.bing.com/th?id=OSK.cb49979acf20b0aa88dad5e1529b016e&amp;qlt=95" TargetMode="External"/><Relationship Id="rId26" Type="http://schemas.openxmlformats.org/officeDocument/2006/relationships/hyperlink" Target="https://www.bing.com/images/search?form=xlimg&amp;q=Tungi,%20Bihar" TargetMode="External"/><Relationship Id="rId47" Type="http://schemas.openxmlformats.org/officeDocument/2006/relationships/hyperlink" Target="https://www.bing.com/th?id=OSK.313d4e49f71c8f8312b7fe3081f4b78f&amp;qlt=95" TargetMode="External"/><Relationship Id="rId68" Type="http://schemas.openxmlformats.org/officeDocument/2006/relationships/hyperlink" Target="https://www.bing.com/images/search?form=xlimg&amp;q=Bhandaria%20Upazila" TargetMode="External"/><Relationship Id="rId89" Type="http://schemas.openxmlformats.org/officeDocument/2006/relationships/hyperlink" Target="https://www.bing.com/th?id=OSK.b899f914d642bc271669936e935f8a88&amp;qlt=95" TargetMode="External"/><Relationship Id="rId112" Type="http://schemas.openxmlformats.org/officeDocument/2006/relationships/hyperlink" Target="https://www.bing.com/images/search?form=xlimg&amp;q=Kesabpur,%20India" TargetMode="External"/><Relationship Id="rId133" Type="http://schemas.openxmlformats.org/officeDocument/2006/relationships/hyperlink" Target="https://www.bing.com/th?id=OSK.953f582f363d69b212fc19c20033bdac&amp;qlt=95" TargetMode="External"/><Relationship Id="rId154" Type="http://schemas.openxmlformats.org/officeDocument/2006/relationships/hyperlink" Target="https://www.bing.com/images/search?form=xlimg&amp;q=P%c3%a5l%c3%a4ng" TargetMode="External"/><Relationship Id="rId16" Type="http://schemas.openxmlformats.org/officeDocument/2006/relationships/hyperlink" Target="https://www.bing.com/images/search?form=xlimg&amp;q=Sakhipur" TargetMode="External"/><Relationship Id="rId37" Type="http://schemas.openxmlformats.org/officeDocument/2006/relationships/hyperlink" Target="https://www.bing.com/th?id=OSK.c7862bda5846ab6e97741fe31b742381&amp;qlt=95" TargetMode="External"/><Relationship Id="rId58" Type="http://schemas.openxmlformats.org/officeDocument/2006/relationships/hyperlink" Target="https://www.bing.com/images/search?form=xlimg&amp;q=Dohar%20Upazila" TargetMode="External"/><Relationship Id="rId79" Type="http://schemas.openxmlformats.org/officeDocument/2006/relationships/hyperlink" Target="https://www.bing.com/th?id=OSK.a1c343ff447b7d9df01bd0434e8739e9&amp;qlt=95" TargetMode="External"/><Relationship Id="rId102" Type="http://schemas.openxmlformats.org/officeDocument/2006/relationships/hyperlink" Target="https://www.bing.com/images/search?form=xlimg&amp;q=Bhairab%20Upazila" TargetMode="External"/><Relationship Id="rId123" Type="http://schemas.openxmlformats.org/officeDocument/2006/relationships/hyperlink" Target="https://www.bing.com/th?id=OSK.a272f6820cb65f81fc2eda22ce58393d&amp;qlt=95" TargetMode="External"/><Relationship Id="rId144" Type="http://schemas.openxmlformats.org/officeDocument/2006/relationships/hyperlink" Target="https://www.bing.com/images/search?form=xlimg&amp;q=Chittagong" TargetMode="External"/><Relationship Id="rId90" Type="http://schemas.openxmlformats.org/officeDocument/2006/relationships/hyperlink" Target="https://www.bing.com/images/search?form=xlimg&amp;q=Mymensingh" TargetMode="External"/><Relationship Id="rId27" Type="http://schemas.openxmlformats.org/officeDocument/2006/relationships/hyperlink" Target="https://www.bing.com/th?id=OSK.c7862bda5846ab6e97741fe31b742381&amp;qlt=95" TargetMode="External"/><Relationship Id="rId48" Type="http://schemas.openxmlformats.org/officeDocument/2006/relationships/hyperlink" Target="https://www.bing.com/images/search?form=xlimg&amp;q=Netrokona%20District" TargetMode="External"/><Relationship Id="rId69" Type="http://schemas.openxmlformats.org/officeDocument/2006/relationships/hyperlink" Target="https://www.bing.com/th?id=OSK.ae3fcc9d5d78cb87e016693a0139e4d2&amp;qlt=95" TargetMode="External"/><Relationship Id="rId113" Type="http://schemas.openxmlformats.org/officeDocument/2006/relationships/hyperlink" Target="https://www.bing.com/th?id=OSK.6912a466670103fd8d1b0d80eb947edd&amp;qlt=95" TargetMode="External"/><Relationship Id="rId134" Type="http://schemas.openxmlformats.org/officeDocument/2006/relationships/hyperlink" Target="https://www.bing.com/images/search?form=xlimg&amp;q=Teknaf%20Upazila" TargetMode="External"/><Relationship Id="rId80" Type="http://schemas.openxmlformats.org/officeDocument/2006/relationships/hyperlink" Target="https://www.bing.com/images/search?form=xlimg&amp;q=Uttar%20Pradesh" TargetMode="External"/><Relationship Id="rId155" Type="http://schemas.openxmlformats.org/officeDocument/2006/relationships/hyperlink" Target="https://www.bing.com/th?id=OSK.b3bae7115bc6667d796d4fa7e7c22a04&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Srd>
</file>

<file path=xl/richData/rdarray.xml><?xml version="1.0" encoding="utf-8"?>
<arrayData xmlns="http://schemas.microsoft.com/office/spreadsheetml/2017/richdata2" count="20">
  <a r="1">
    <v t="r">7</v>
  </a>
  <a r="1">
    <v t="r">27</v>
  </a>
  <a r="1">
    <v t="r">47</v>
  </a>
  <a r="1">
    <v t="r">58</v>
  </a>
  <a r="1">
    <v t="r">77</v>
  </a>
  <a r="1">
    <v t="r">115</v>
  </a>
  <a r="1">
    <v t="s">Bangladesh Standard Time</v>
  </a>
  <a r="1">
    <v t="s">Rafika Jahan Baby (Mayor)</v>
  </a>
  <a r="1">
    <v t="r">199</v>
  </a>
  <a r="1">
    <v t="r">272</v>
  </a>
  <a r="3">
    <v t="r">348</v>
    <v t="r">349</v>
    <v t="r">350</v>
  </a>
  <a r="1">
    <v t="s">Hindi</v>
  </a>
  <a r="1">
    <v t="r">390</v>
  </a>
  <a r="1">
    <v t="r">441</v>
  </a>
  <a r="1">
    <v t="r">466</v>
  </a>
  <a r="1">
    <v t="r">523</v>
  </a>
  <a r="1">
    <v t="r">542</v>
  </a>
  <a r="1">
    <v t="r">629</v>
  </a>
  <a r="1">
    <v t="r">684</v>
  </a>
  <a r="1">
    <v t="s">UTC+06:00</v>
  </a>
</arrayData>
</file>

<file path=xl/richData/rdrichvalue.xml><?xml version="1.0" encoding="utf-8"?>
<rvData xmlns="http://schemas.microsoft.com/office/spreadsheetml/2017/richdata" count="722">
  <rv s="0">
    <v>536870912</v>
    <v>Cox's Bazar</v>
    <v>bfe4ae11-5d5d-9831-d2aa-660de493179f</v>
    <v>en-GB</v>
    <v>Map</v>
  </rv>
  <rv s="0">
    <v>536870912</v>
    <v>Cox's Bazar District</v>
    <v>e5af98b4-9051-6706-f69f-650a27ae1cc0</v>
    <v>en-GB</v>
    <v>Map</v>
  </rv>
  <rv s="0">
    <v>536870912</v>
    <v>Cox's Bazar Sadar Upazila</v>
    <v>d9c4689a-2b9a-1663-3de5-66ed8cbfd769</v>
    <v>en-GB</v>
    <v>Map</v>
  </rv>
  <rv s="1">
    <fb>649</fb>
    <v>8</v>
  </rv>
  <rv s="0">
    <v>536870912</v>
    <v>Bangladesh</v>
    <v>c5fa012f-7347-0857-872b-2a5efc180846</v>
    <v>en-GB</v>
    <v>Map</v>
  </rv>
  <rv s="2">
    <v>0</v>
    <v>6</v>
    <v>0</v>
    <v>7</v>
    <v>0</v>
    <v>Image of Cox's Bazar</v>
  </rv>
  <rv s="1">
    <fb>21.583333333333002</fb>
    <v>9</v>
  </rv>
  <rv s="0">
    <v>805306368</v>
    <v>Mujibur Rahman (Mayor)</v>
    <v>89f9985f-6f90-413f-1a58-e5120e326119</v>
    <v>en-GB</v>
    <v>Generic</v>
  </rv>
  <rv s="3">
    <v>0</v>
  </rv>
  <rv s="4">
    <v>https://www.bing.com/search?q=cox%27s+bazar&amp;form=skydnc</v>
    <v>Learn more on Bing</v>
  </rv>
  <rv s="1">
    <fb>92.016666666667007</fb>
    <v>9</v>
  </rv>
  <rv s="1">
    <fb>167477</fb>
    <v>8</v>
  </rv>
  <rv s="5">
    <v>#VALUE!</v>
    <v>en-GB</v>
    <v>bfe4ae11-5d5d-9831-d2aa-660de493179f</v>
    <v>536870912</v>
    <v>1</v>
    <v>1</v>
    <v>2</v>
    <v>Cox's Bazar</v>
    <v>4</v>
    <v>5</v>
    <v>Map</v>
    <v>6</v>
    <v>7</v>
    <v>1</v>
    <v>2</v>
    <v>3</v>
    <v>4</v>
    <v>Cox's Bazar is a city, fishing port, tourism centre, and district headquarters in Southeastern Bangladesh. The iconic Cox's Bazar Beach, one of the most popular tourist attractions in Bangladesh, is the longest uninterrupted beach in the ...</v>
    <v>5</v>
    <v>6</v>
    <v>8</v>
    <v>9</v>
    <v>10</v>
    <v>Cox's Bazar</v>
    <v>11</v>
    <v>Cox's Bazar</v>
    <v>mdp/vdpid/7854517668768907265</v>
  </rv>
  <rv s="0">
    <v>536870912</v>
    <v>Khagrachhari District</v>
    <v>df50ab78-eb78-3bcf-148b-da5ba188fbbe</v>
    <v>en-GB</v>
    <v>Map</v>
  </rv>
  <rv s="0">
    <v>536870912</v>
    <v>Chattogram Division</v>
    <v>ab343ce3-a920-bd96-4d55-5e1805a83766</v>
    <v>en-GB</v>
    <v>Map</v>
  </rv>
  <rv s="1">
    <fb>2749.16</fb>
    <v>8</v>
  </rv>
  <rv s="2">
    <v>1</v>
    <v>6</v>
    <v>11</v>
    <v>7</v>
    <v>0</v>
    <v>Image of Khagrachhari District</v>
  </rv>
  <rv s="0">
    <v>536870912</v>
    <v>Matiranga Upazila</v>
    <v>a35ec33b-7e64-8a5a-9a95-4cf32ed3f0cc</v>
    <v>en-GB</v>
    <v>Map</v>
  </rv>
  <rv s="4">
    <v>https://www.bing.com/search?q=khagrachari+district+bangladesh&amp;form=skydnc</v>
    <v>Learn more on Bing</v>
  </rv>
  <rv s="1">
    <fb>613917</fb>
    <v>8</v>
  </rv>
  <rv s="6">
    <v>#VALUE!</v>
    <v>en-GB</v>
    <v>df50ab78-eb78-3bcf-148b-da5ba188fbbe</v>
    <v>536870912</v>
    <v>1</v>
    <v>12</v>
    <v>13</v>
    <v>Khagrachhari District</v>
    <v>4</v>
    <v>5</v>
    <v>Map</v>
    <v>6</v>
    <v>7</v>
    <v>14</v>
    <v>15</v>
    <v>4</v>
    <v>Khagrachari is a district in the Chittagong Division of Southeastern Bangladesh. It is a part of the Chittagong Hill Tracts region.</v>
    <v>16</v>
    <v>17</v>
    <v>18</v>
    <v>Khagrachhari District</v>
    <v>19</v>
    <v>Khagrachhari District</v>
    <v>mdp/vdpid/-7954627147</v>
  </rv>
  <rv s="0">
    <v>536870912</v>
    <v>Narayanganj</v>
    <v>d10b5bc3-3933-2b4e-7c86-05ccdbfcaffa</v>
    <v>en-GB</v>
    <v>Map</v>
  </rv>
  <rv s="0">
    <v>536870912</v>
    <v>Dhaka Division</v>
    <v>31821045-9519-4206-56bc-2eb01fb6c71d</v>
    <v>en-GB</v>
    <v>Map</v>
  </rv>
  <rv s="0">
    <v>536870912</v>
    <v>Narayanganj District</v>
    <v>0465d84e-2af9-6cbd-51e2-68ebe8657fa2</v>
    <v>en-GB</v>
    <v>Map</v>
  </rv>
  <rv s="1">
    <fb>33.57</fb>
    <v>8</v>
  </rv>
  <rv s="2">
    <v>2</v>
    <v>6</v>
    <v>14</v>
    <v>7</v>
    <v>0</v>
    <v>Image of Narayanganj</v>
  </rv>
  <rv s="1">
    <fb>23.616666666667001</fb>
    <v>9</v>
  </rv>
  <rv s="0">
    <v>805306368</v>
    <v>Selina Hayat Ivy (Mayor)</v>
    <v>a1777e65-4f18-969f-33e0-a412a5679422</v>
    <v>en-GB</v>
    <v>Generic</v>
  </rv>
  <rv s="3">
    <v>1</v>
  </rv>
  <rv s="4">
    <v>https://www.bing.com/search?q=narayanganj+bangladesh&amp;form=skydnc</v>
    <v>Learn more on Bing</v>
  </rv>
  <rv s="1">
    <fb>90.5</fb>
    <v>9</v>
  </rv>
  <rv s="1">
    <fb>1572386</fb>
    <v>8</v>
  </rv>
  <rv s="5">
    <v>#VALUE!</v>
    <v>en-GB</v>
    <v>d10b5bc3-3933-2b4e-7c86-05ccdbfcaffa</v>
    <v>536870912</v>
    <v>1</v>
    <v>16</v>
    <v>2</v>
    <v>Narayanganj</v>
    <v>4</v>
    <v>5</v>
    <v>Map</v>
    <v>6</v>
    <v>17</v>
    <v>22</v>
    <v>23</v>
    <v>24</v>
    <v>4</v>
    <v>Narayanganj is a city in central Bangladesh. It is in the Narayanganj District, about 16 km southeast of the capital city of Dhaka, and has a population of about 2 million. It is the 6th largest city in Bangladesh. It is also a center of ...</v>
    <v>25</v>
    <v>26</v>
    <v>28</v>
    <v>29</v>
    <v>30</v>
    <v>Narayanganj</v>
    <v>31</v>
    <v>Narayanganj</v>
    <v>mdp/vdpid/7806160396598902785</v>
  </rv>
  <rv s="0">
    <v>536870912</v>
    <v>Tungipara Upazila</v>
    <v>ac74a9e8-c4e0-e57f-822a-564ae040bf6b</v>
    <v>en-GB</v>
    <v>Map</v>
  </rv>
  <rv s="0">
    <v>536870912</v>
    <v>Gopalganj District</v>
    <v>7f2e438c-ed77-1090-3997-dbd0054322e5</v>
    <v>en-GB</v>
    <v>Map</v>
  </rv>
  <rv s="1">
    <fb>127.25</fb>
    <v>8</v>
  </rv>
  <rv s="2">
    <v>3</v>
    <v>6</v>
    <v>18</v>
    <v>7</v>
    <v>0</v>
    <v>Image of Tungipara Upazila</v>
  </rv>
  <rv s="1">
    <fb>22.9</fb>
    <v>9</v>
  </rv>
  <rv s="4">
    <v>https://www.bing.com/search?q=tungipara+upazila+bangladesh&amp;form=skydnc</v>
    <v>Learn more on Bing</v>
  </rv>
  <rv s="1">
    <fb>89.883300000000006</fb>
    <v>9</v>
  </rv>
  <rv s="1">
    <fb>88102</fb>
    <v>8</v>
  </rv>
  <rv s="7">
    <v>#VALUE!</v>
    <v>en-GB</v>
    <v>ac74a9e8-c4e0-e57f-822a-564ae040bf6b</v>
    <v>536870912</v>
    <v>1</v>
    <v>20</v>
    <v>21</v>
    <v>Tungipara Upazila</v>
    <v>4</v>
    <v>5</v>
    <v>Map</v>
    <v>6</v>
    <v>22</v>
    <v>22</v>
    <v>34</v>
    <v>35</v>
    <v>4</v>
    <v>Tungipara is an upazila of Gopalganj District in the Division of Dhaka, Bangladesh. It is the birthplace of Sheikh Mujibur Rahman, the founder of independent Bangladesh and his grave is also here. In 1995 it became an Upazila.</v>
    <v>36</v>
    <v>37</v>
    <v>38</v>
    <v>39</v>
    <v>Tungipara Upazila</v>
    <v>40</v>
    <v>Tungipara Upazila</v>
    <v>mdp/vdpid/7421914556542222337</v>
  </rv>
  <rv s="0">
    <v>536870912</v>
    <v>Raipur</v>
    <v>6dee662b-566b-47cc-65a8-a4836adc317b</v>
    <v>en-GB</v>
    <v>Map</v>
  </rv>
  <rv s="1">
    <fb>226</fb>
    <v>8</v>
  </rv>
  <rv s="0">
    <v>536870912</v>
    <v>India</v>
    <v>85fa63d3-9596-adb9-b4eb-502273d84f56</v>
    <v>en-GB</v>
    <v>Map</v>
  </rv>
  <rv s="2">
    <v>4</v>
    <v>6</v>
    <v>24</v>
    <v>7</v>
    <v>0</v>
    <v>Image of Raipur</v>
  </rv>
  <rv s="1">
    <fb>21.2379468</fb>
    <v>9</v>
  </rv>
  <rv s="0">
    <v>805306368</v>
    <v>Aijaz Dhebar (Mayor)</v>
    <v>2351ddba-25ca-9a83-6889-bfaf49dc8e9a</v>
    <v>en-GB</v>
    <v>Generic</v>
  </rv>
  <rv s="3">
    <v>2</v>
  </rv>
  <rv s="4">
    <v>https://www.bing.com/search?q=raipur&amp;form=skydnc</v>
    <v>Learn more on Bing</v>
  </rv>
  <rv s="1">
    <fb>81.633683300000001</fb>
    <v>9</v>
  </rv>
  <rv s="1">
    <fb>1010087</fb>
    <v>8</v>
  </rv>
  <rv s="8">
    <v>#VALUE!</v>
    <v>en-GB</v>
    <v>6dee662b-566b-47cc-65a8-a4836adc317b</v>
    <v>536870912</v>
    <v>1</v>
    <v>25</v>
    <v>26</v>
    <v>Raipur</v>
    <v>4</v>
    <v>5</v>
    <v>Map</v>
    <v>6</v>
    <v>7</v>
    <v>43</v>
    <v>44</v>
    <v>Raipur is the capital city of the Indian state of Chhattisgarh. Raipur is also the administrative headquarters of Raipur district and Raipur division, and the largest city of the state. It was a part of Madhya Pradesh before the state of ...</v>
    <v>45</v>
    <v>46</v>
    <v>48</v>
    <v>49</v>
    <v>50</v>
    <v>Raipur</v>
    <v>51</v>
    <v>Raipur</v>
    <v>mdp/vdpid/7467620465960288257</v>
  </rv>
  <rv s="0">
    <v>536870912</v>
    <v>Comilla</v>
    <v>20313b94-8fd0-0c0e-28cf-74a9020bebbe</v>
    <v>en-GB</v>
    <v>Map</v>
  </rv>
  <rv s="0">
    <v>536870912</v>
    <v>Comilla District</v>
    <v>c51b7fa1-fc10-b984-9740-e887327888b3</v>
    <v>en-GB</v>
    <v>Map</v>
  </rv>
  <rv s="1">
    <fb>153</fb>
    <v>8</v>
  </rv>
  <rv s="2">
    <v>5</v>
    <v>6</v>
    <v>27</v>
    <v>7</v>
    <v>0</v>
    <v>Image of Comilla</v>
  </rv>
  <rv s="1">
    <fb>23.45</fb>
    <v>9</v>
  </rv>
  <rv s="0">
    <v>805306368</v>
    <v>Arfanul Haque Rifat (Mayor)</v>
    <v>b5fcc1d9-0116-ad0d-14e7-db8d9408d0be</v>
    <v>en-GB</v>
    <v>Generic</v>
  </rv>
  <rv s="3">
    <v>3</v>
  </rv>
  <rv s="4">
    <v>https://www.bing.com/search?q=comilla+bangladesh&amp;form=skydnc</v>
    <v>Learn more on Bing</v>
  </rv>
  <rv s="1">
    <fb>91.2</fb>
    <v>9</v>
  </rv>
  <rv s="1">
    <fb>296010</fb>
    <v>8</v>
  </rv>
  <rv s="5">
    <v>#VALUE!</v>
    <v>en-GB</v>
    <v>20313b94-8fd0-0c0e-28cf-74a9020bebbe</v>
    <v>536870912</v>
    <v>1</v>
    <v>28</v>
    <v>2</v>
    <v>Comilla</v>
    <v>4</v>
    <v>5</v>
    <v>Map</v>
    <v>6</v>
    <v>7</v>
    <v>14</v>
    <v>54</v>
    <v>55</v>
    <v>4</v>
    <v>Comilla, officially spelled Cumilla, is a metropolis on the banks of the Gomti River in eastern Bangladesh. Comilla was one of the cities of ancient Bengal. Also the city of Comilla was once the capital of Tripura kingdom. Comilla Airport is ...</v>
    <v>56</v>
    <v>57</v>
    <v>59</v>
    <v>60</v>
    <v>61</v>
    <v>Comilla</v>
    <v>62</v>
    <v>Comilla</v>
    <v>mdp/vdpid/7806208986033684481</v>
  </rv>
  <rv s="0">
    <v>536870912</v>
    <v>Laksam Upazila</v>
    <v>6e22b996-470e-7fff-1b98-b7cac5e51a09</v>
    <v>en-GB</v>
    <v>Map</v>
  </rv>
  <rv s="1">
    <fb>135.61000000000001</fb>
    <v>8</v>
  </rv>
  <rv s="2">
    <v>6</v>
    <v>6</v>
    <v>29</v>
    <v>7</v>
    <v>0</v>
    <v>Image of Laksam Upazila</v>
  </rv>
  <rv s="1">
    <fb>23.246666666667</fb>
    <v>9</v>
  </rv>
  <rv s="4">
    <v>https://www.bing.com/search?q=laksam+upazila+bangladesh&amp;form=skydnc</v>
    <v>Learn more on Bing</v>
  </rv>
  <rv s="1">
    <fb>91.128333333333003</fb>
    <v>9</v>
  </rv>
  <rv s="1">
    <fb>294719</fb>
    <v>8</v>
  </rv>
  <rv s="7">
    <v>#VALUE!</v>
    <v>en-GB</v>
    <v>6e22b996-470e-7fff-1b98-b7cac5e51a09</v>
    <v>536870912</v>
    <v>1</v>
    <v>31</v>
    <v>21</v>
    <v>Laksam Upazila</v>
    <v>4</v>
    <v>5</v>
    <v>Map</v>
    <v>6</v>
    <v>7</v>
    <v>14</v>
    <v>54</v>
    <v>65</v>
    <v>4</v>
    <v>Laksam is an upazila of Comilla District in the Division of Chittagong, Bangladesh. Laksam is widely known as the birthplace of Nawab Faizunnesa Chowdhurani.</v>
    <v>66</v>
    <v>67</v>
    <v>68</v>
    <v>69</v>
    <v>Laksam Upazila</v>
    <v>70</v>
    <v>Laksam Upazila</v>
    <v>mdp/vdpid/7806213112356405249</v>
  </rv>
  <rv s="0">
    <v>536870912</v>
    <v>Sakhipur</v>
    <v>e40c0fc3-e3f5-79d0-ea88-ccacbc4fed38</v>
    <v>en-GB</v>
    <v>Map</v>
  </rv>
  <rv s="0">
    <v>536870912</v>
    <v>Tangail District</v>
    <v>6e410e8a-5dd0-cddc-b4a7-b8eee7054309</v>
    <v>en-GB</v>
    <v>Map</v>
  </rv>
  <rv s="1">
    <fb>27.62</fb>
    <v>8</v>
  </rv>
  <rv s="2">
    <v>7</v>
    <v>6</v>
    <v>32</v>
    <v>7</v>
    <v>0</v>
    <v>Image of Sakhipur</v>
  </rv>
  <rv s="1">
    <fb>24.319880000000001</fb>
    <v>9</v>
  </rv>
  <rv s="0">
    <v>805306368</v>
    <v>Md. Abu Hanif Azad (Mayor)</v>
    <v>3e0f778f-2988-2cb1-f4c8-804c105aac14</v>
    <v>en-GB</v>
    <v>Generic</v>
  </rv>
  <rv s="3">
    <v>4</v>
  </rv>
  <rv s="4">
    <v>https://www.bing.com/search?q=sakhipur&amp;form=skydnc</v>
    <v>Learn more on Bing</v>
  </rv>
  <rv s="1">
    <fb>90.169430000000006</fb>
    <v>9</v>
  </rv>
  <rv s="9">
    <v>#VALUE!</v>
    <v>en-GB</v>
    <v>e40c0fc3-e3f5-79d0-ea88-ccacbc4fed38</v>
    <v>536870912</v>
    <v>1</v>
    <v>33</v>
    <v>34</v>
    <v>Sakhipur</v>
    <v>4</v>
    <v>5</v>
    <v>Map</v>
    <v>6</v>
    <v>35</v>
    <v>22</v>
    <v>73</v>
    <v>74</v>
    <v>4</v>
    <v>Sakhipur is a town of Sakhipur Upazila, Tangail, Bangladesh. The town is situated 36 kilometres east of Tangail city and 77 kilometres northwest of Dhaka city, the capital of Bangladesh.</v>
    <v>75</v>
    <v>76</v>
    <v>78</v>
    <v>79</v>
    <v>80</v>
    <v>Sakhipur</v>
    <v>Sakhipur</v>
    <v>mdp/vdpid/7805940744169979905</v>
  </rv>
  <rv s="0">
    <v>536870912</v>
    <v>Dinajpur District, Bangladesh</v>
    <v>1634f99a-2f1b-2eea-506c-334257b98e59</v>
    <v>en-GB</v>
    <v>Map</v>
  </rv>
  <rv s="0">
    <v>536870912</v>
    <v>Rangpur Division</v>
    <v>57cd882a-c5de-439c-3c97-9b97d81cfb7e</v>
    <v>en-GB</v>
    <v>Map</v>
  </rv>
  <rv s="1">
    <fb>3444.3</fb>
    <v>8</v>
  </rv>
  <rv s="2">
    <v>8</v>
    <v>6</v>
    <v>37</v>
    <v>7</v>
    <v>0</v>
    <v>Image of Dinajpur District, Bangladesh</v>
  </rv>
  <rv s="4">
    <v>https://www.bing.com/search?q=dinajpur+bangladesh&amp;form=skydnc</v>
    <v>Learn more on Bing</v>
  </rv>
  <rv s="1">
    <fb>2990128</fb>
    <v>8</v>
  </rv>
  <rv s="10">
    <v>#VALUE!</v>
    <v>en-GB</v>
    <v>1634f99a-2f1b-2eea-506c-334257b98e59</v>
    <v>536870912</v>
    <v>1</v>
    <v>38</v>
    <v>39</v>
    <v>Dinajpur District, Bangladesh</v>
    <v>4</v>
    <v>5</v>
    <v>Map</v>
    <v>6</v>
    <v>7</v>
    <v>83</v>
    <v>84</v>
    <v>4</v>
    <v>Dinajpur district is a district in the Rangpur Division of northern Bangladesh. Dinajpur is the largest district among all sixteen northern districts of Bangladesh.</v>
    <v>85</v>
    <v>86</v>
    <v>Dinajpur District, Bangladesh</v>
    <v>87</v>
    <v>Dinajpur District, Bangladesh</v>
    <v>mdp/vdpid/-7954627151</v>
  </rv>
  <rv s="0">
    <v>536870912</v>
    <v>Nalchity Upazila</v>
    <v>d9630458-7fc6-1572-011c-d8a2f1be5d2b</v>
    <v>en-GB</v>
    <v>Map</v>
  </rv>
  <rv s="0">
    <v>536870912</v>
    <v>Barisal Division</v>
    <v>43584efe-2ddf-e5bc-52eb-b8751204a21f</v>
    <v>en-GB</v>
    <v>Map</v>
  </rv>
  <rv s="0">
    <v>536870912</v>
    <v>Jhalokati District</v>
    <v>4d45be92-3b3a-be24-9f7d-baf23f7b3a47</v>
    <v>en-GB</v>
    <v>Map</v>
  </rv>
  <rv s="1">
    <fb>231.43</fb>
    <v>8</v>
  </rv>
  <rv s="2">
    <v>9</v>
    <v>6</v>
    <v>40</v>
    <v>7</v>
    <v>0</v>
    <v>Image of Nalchity Upazila</v>
  </rv>
  <rv s="1">
    <fb>22.622199999999999</fb>
    <v>9</v>
  </rv>
  <rv s="4">
    <v>https://www.bing.com/search?q=nalchity+upazila+bangladesh&amp;form=skydnc</v>
    <v>Learn more on Bing</v>
  </rv>
  <rv s="1">
    <fb>90.270799999999994</fb>
    <v>9</v>
  </rv>
  <rv s="1">
    <fb>193556</fb>
    <v>8</v>
  </rv>
  <rv s="7">
    <v>#VALUE!</v>
    <v>en-GB</v>
    <v>d9630458-7fc6-1572-011c-d8a2f1be5d2b</v>
    <v>536870912</v>
    <v>1</v>
    <v>41</v>
    <v>21</v>
    <v>Nalchity Upazila</v>
    <v>4</v>
    <v>5</v>
    <v>Map</v>
    <v>6</v>
    <v>7</v>
    <v>90</v>
    <v>91</v>
    <v>92</v>
    <v>4</v>
    <v>Nalchity is an upazila of Jhalokati District in the division of Barisal, Bangladesh.</v>
    <v>93</v>
    <v>94</v>
    <v>95</v>
    <v>96</v>
    <v>Nalchity Upazila</v>
    <v>97</v>
    <v>Nalchity Upazila</v>
    <v>mdp/vdpid/7806240940808470529</v>
  </rv>
  <rv s="0">
    <v>536870912</v>
    <v>Sarankhola Upazila</v>
    <v>1ca1a5c7-f12c-28d4-77b7-b2e4f3fdb9d2</v>
    <v>en-GB</v>
    <v>Map</v>
  </rv>
  <rv s="0">
    <v>536870912</v>
    <v>Khulna Division</v>
    <v>91466b95-10c0-e30b-bbf1-e01564c351b9</v>
    <v>en-GB</v>
    <v>Map</v>
  </rv>
  <rv s="0">
    <v>536870912</v>
    <v>Bagerhat District</v>
    <v>93bf8a81-9e71-46a1-29a4-82aa8e813fcf</v>
    <v>en-GB</v>
    <v>Map</v>
  </rv>
  <rv s="1">
    <fb>756.61</fb>
    <v>8</v>
  </rv>
  <rv s="2">
    <v>10</v>
    <v>6</v>
    <v>42</v>
    <v>7</v>
    <v>0</v>
    <v>Image of Sarankhola Upazila</v>
  </rv>
  <rv s="1">
    <fb>22.291699999999999</fb>
    <v>9</v>
  </rv>
  <rv s="4">
    <v>https://www.bing.com/search?q=sarankhola+upazila+india&amp;form=skydnc</v>
    <v>Learn more on Bing</v>
  </rv>
  <rv s="1">
    <fb>89.791700000000006</fb>
    <v>9</v>
  </rv>
  <rv s="1">
    <fb>107856</fb>
    <v>8</v>
  </rv>
  <rv s="7">
    <v>#VALUE!</v>
    <v>en-GB</v>
    <v>1ca1a5c7-f12c-28d4-77b7-b2e4f3fdb9d2</v>
    <v>536870912</v>
    <v>1</v>
    <v>44</v>
    <v>21</v>
    <v>Sarankhola Upazila</v>
    <v>4</v>
    <v>5</v>
    <v>Map</v>
    <v>6</v>
    <v>22</v>
    <v>100</v>
    <v>101</v>
    <v>102</v>
    <v>4</v>
    <v>Sarankhola is an upazila of Bagerhat District in the Division of Khulna, Bangladesh. Sarankhola was formed as a Thana in 1907. A major part of the upazila belongs to the Sundarbans.</v>
    <v>103</v>
    <v>104</v>
    <v>105</v>
    <v>106</v>
    <v>Sarankhola Upazila</v>
    <v>107</v>
    <v>Sarankhola Upazila</v>
    <v>mdp/vdpid/7469972828742221825</v>
  </rv>
  <rv s="0">
    <v>536870912</v>
    <v>Jessore</v>
    <v>0ae095d7-636b-a957-de45-7803a822b410</v>
    <v>en-GB</v>
    <v>Map</v>
  </rv>
  <rv s="0">
    <v>536870912</v>
    <v>Jashore District</v>
    <v>85b9346f-35d3-0d7b-e48a-14531ac19bb0</v>
    <v>en-GB</v>
    <v>Map</v>
  </rv>
  <rv s="1">
    <fb>25.72</fb>
    <v>8</v>
  </rv>
  <rv s="0">
    <v>536870912</v>
    <v>British Raj</v>
    <v>20193abe-79a7-473f-979c-a3cfdac8639a</v>
    <v>en-GB</v>
    <v>Map</v>
  </rv>
  <rv s="2">
    <v>11</v>
    <v>6</v>
    <v>45</v>
    <v>7</v>
    <v>0</v>
    <v>Image of Jessore</v>
  </rv>
  <rv s="1">
    <fb>23.166666670000001</fb>
    <v>9</v>
  </rv>
  <rv s="0">
    <v>805306368</v>
    <v>Haider Gani Khan (Mayor)</v>
    <v>81d87f46-9961-df28-ac52-4a7c53bf7a1b</v>
    <v>en-GB</v>
    <v>Generic</v>
  </rv>
  <rv s="3">
    <v>5</v>
  </rv>
  <rv s="4">
    <v>https://www.bing.com/search?q=jessore+town&amp;form=skydnc</v>
    <v>Learn more on Bing</v>
  </rv>
  <rv s="1">
    <fb>89.216666669999995</fb>
    <v>9</v>
  </rv>
  <rv s="1">
    <fb>201796</fb>
    <v>8</v>
  </rv>
  <rv s="3">
    <v>6</v>
  </rv>
  <rv s="11">
    <v>#VALUE!</v>
    <v>en-GB</v>
    <v>0ae095d7-636b-a957-de45-7803a822b410</v>
    <v>536870912</v>
    <v>1</v>
    <v>46</v>
    <v>47</v>
    <v>Jessore</v>
    <v>4</v>
    <v>5</v>
    <v>Map</v>
    <v>6</v>
    <v>7</v>
    <v>100</v>
    <v>110</v>
    <v>111</v>
    <v>112</v>
    <v>Jessore, officially Jashore, is a city of Jessore District situated in Khulna Division. It is situated in the south-western part of Bangladesh. It is home to the first flight training school of the Bangladeshi Air Force, established in 1971. It ...</v>
    <v>113</v>
    <v>114</v>
    <v>116</v>
    <v>117</v>
    <v>118</v>
    <v>Jessore</v>
    <v>119</v>
    <v>120</v>
    <v>Jessore</v>
    <v>mdp/vdpid/7421872870428508161</v>
  </rv>
  <rv s="0">
    <v>536870912</v>
    <v>Tungi, Bihar</v>
    <v>ff392890-ac87-b4fd-7d41-aec7ef8a3240</v>
    <v>en-GB</v>
    <v>Map</v>
  </rv>
  <rv s="0">
    <v>536870912</v>
    <v>Bihar</v>
    <v>e402c108-ade8-40dd-b6d7-f36882e8e3e3</v>
    <v>en-GB</v>
    <v>Map</v>
  </rv>
  <rv s="2">
    <v>12</v>
    <v>6</v>
    <v>48</v>
    <v>7</v>
    <v>0</v>
    <v>Image of Tungi, Bihar</v>
  </rv>
  <rv s="1">
    <fb>26.716699999999999</fb>
    <v>9</v>
  </rv>
  <rv s="4">
    <v>https://www.bing.com/search?q=tungi%2c+bihar&amp;form=skydnc</v>
    <v>Learn more on Bing</v>
  </rv>
  <rv s="1">
    <fb>76.116699999999994</fb>
    <v>9</v>
  </rv>
  <rv s="12">
    <v>#VALUE!</v>
    <v>en-GB</v>
    <v>ff392890-ac87-b4fd-7d41-aec7ef8a3240</v>
    <v>536870912</v>
    <v>1</v>
    <v>49</v>
    <v>50</v>
    <v>Tungi, Bihar</v>
    <v>4</v>
    <v>5</v>
    <v>Map</v>
    <v>6</v>
    <v>123</v>
    <v>44</v>
    <v>Tungi is a village in Nalanda district in Bihar, India.</v>
    <v>124</v>
    <v>125</v>
    <v>126</v>
    <v>127</v>
    <v>Tungi, Bihar</v>
    <v>Tungi, Bihar</v>
    <v>mdp/vdpid/7411519842768912385</v>
  </rv>
  <rv s="0">
    <v>536870912</v>
    <v>Shibganj Upazila, Chapai Nawabganj</v>
    <v>3251cef1-2cb1-f067-55fa-c1aafd5ca251</v>
    <v>en-GB</v>
    <v>Map</v>
  </rv>
  <rv s="0">
    <v>536870912</v>
    <v>Rajshahi Division</v>
    <v>6f0455a3-b5ec-6b6f-0928-3986232961a4</v>
    <v>en-GB</v>
    <v>Map</v>
  </rv>
  <rv s="0">
    <v>536870912</v>
    <v>Chapai Nawabganj District</v>
    <v>2ffb7c76-2433-36bd-e7a0-ac3d7b8899ff</v>
    <v>en-GB</v>
    <v>Map</v>
  </rv>
  <rv s="1">
    <fb>525.42999999999995</fb>
    <v>8</v>
  </rv>
  <rv s="2">
    <v>13</v>
    <v>6</v>
    <v>51</v>
    <v>7</v>
    <v>0</v>
    <v>Image of Shibganj Upazila, Chapai Nawabganj</v>
  </rv>
  <rv s="1">
    <fb>24.683299999999999</fb>
    <v>9</v>
  </rv>
  <rv s="4">
    <v>https://www.bing.com/search?q=shibganj+upazila%2c+nawabganj+india&amp;form=skydnc</v>
    <v>Learn more on Bing</v>
  </rv>
  <rv s="1">
    <fb>88.166700000000006</fb>
    <v>9</v>
  </rv>
  <rv s="1">
    <fb>591178</fb>
    <v>8</v>
  </rv>
  <rv s="7">
    <v>#VALUE!</v>
    <v>en-GB</v>
    <v>3251cef1-2cb1-f067-55fa-c1aafd5ca251</v>
    <v>536870912</v>
    <v>1</v>
    <v>53</v>
    <v>21</v>
    <v>Shibganj Upazila, Chapai Nawabganj</v>
    <v>4</v>
    <v>5</v>
    <v>Map</v>
    <v>6</v>
    <v>7</v>
    <v>130</v>
    <v>131</v>
    <v>132</v>
    <v>4</v>
    <v>Shibganj is an upazila of Nawabganj District in the Division of Rajshahi, Bangladesh.</v>
    <v>133</v>
    <v>134</v>
    <v>135</v>
    <v>136</v>
    <v>Shibganj Upazila, Chapai Nawabganj</v>
    <v>137</v>
    <v>Shibganj Upazila, Chapai Nawabganj</v>
    <v>mdp/vdpid/7421435615645794305</v>
  </rv>
  <rv s="1">
    <fb>1703</fb>
    <v>8</v>
  </rv>
  <rv s="2">
    <v>14</v>
    <v>6</v>
    <v>55</v>
    <v>7</v>
    <v>0</v>
    <v>Image of Chapai Nawabganj District</v>
  </rv>
  <rv s="4">
    <v>https://www.bing.com/search?q=chapai+nawabganj+district+bangladesh&amp;form=skydnc</v>
    <v>Learn more on Bing</v>
  </rv>
  <rv s="1">
    <fb>1647521</fb>
    <v>8</v>
  </rv>
  <rv s="6">
    <v>#VALUE!</v>
    <v>en-GB</v>
    <v>2ffb7c76-2433-36bd-e7a0-ac3d7b8899ff</v>
    <v>536870912</v>
    <v>1</v>
    <v>56</v>
    <v>13</v>
    <v>Chapai Nawabganj District</v>
    <v>4</v>
    <v>5</v>
    <v>Map</v>
    <v>6</v>
    <v>7</v>
    <v>130</v>
    <v>139</v>
    <v>4</v>
    <v>Chapainawabganj is located in the north-western part of Bangladesh. It is a part of the Rajshahi Division, and was formerly a sub-division of Malda district. The north and west part of Chapai Nawabganj is bounded by Malda and Murshidabad ...</v>
    <v>140</v>
    <v>129</v>
    <v>141</v>
    <v>Chapai Nawabganj District</v>
    <v>142</v>
    <v>Chapai Nawabganj District</v>
    <v>mdp/vdpid/-7954627092</v>
  </rv>
  <rv s="0">
    <v>536870912</v>
    <v>Bera Upazila</v>
    <v>da5bd645-552a-9223-69e6-2be55228f580</v>
    <v>en-GB</v>
    <v>Map</v>
  </rv>
  <rv s="0">
    <v>536870912</v>
    <v>Pabna District</v>
    <v>df35ca02-1c1e-5053-6d99-90803f0c1b63</v>
    <v>en-GB</v>
    <v>Map</v>
  </rv>
  <rv s="1">
    <fb>248.6</fb>
    <v>8</v>
  </rv>
  <rv s="2">
    <v>15</v>
    <v>6</v>
    <v>57</v>
    <v>7</v>
    <v>0</v>
    <v>Image of Bera Upazila</v>
  </rv>
  <rv s="1">
    <fb>24.066700000000001</fb>
    <v>9</v>
  </rv>
  <rv s="4">
    <v>https://www.bing.com/search?q=bera+upazila+bangladesh&amp;form=skydnc</v>
    <v>Learn more on Bing</v>
  </rv>
  <rv s="1">
    <fb>89.625</fb>
    <v>9</v>
  </rv>
  <rv s="1">
    <fb>208897</fb>
    <v>8</v>
  </rv>
  <rv s="13">
    <v>#VALUE!</v>
    <v>en-GB</v>
    <v>da5bd645-552a-9223-69e6-2be55228f580</v>
    <v>536870912</v>
    <v>1</v>
    <v>59</v>
    <v>60</v>
    <v>Bera Upazila</v>
    <v>61</v>
    <v>5</v>
    <v>Map</v>
    <v>6</v>
    <v>22</v>
    <v>130</v>
    <v>145</v>
    <v>146</v>
    <v>4</v>
    <v>Bera is an upazila of Pabna District in the Division of Rajshahi, Bangladesh.</v>
    <v>147</v>
    <v>148</v>
    <v>149</v>
    <v>150</v>
    <v>Bera Upazila</v>
    <v>151</v>
    <v>Bera Upazila</v>
  </rv>
  <rv s="1">
    <fb>2371.5</fb>
    <v>8</v>
  </rv>
  <rv s="2">
    <v>16</v>
    <v>6</v>
    <v>63</v>
    <v>7</v>
    <v>0</v>
    <v>Image of Pabna District</v>
  </rv>
  <rv s="1">
    <fb>24.410000010000001</fb>
    <v>9</v>
  </rv>
  <rv s="4">
    <v>https://www.bing.com/search?q=pabna+district+bangladesh&amp;form=skydnc</v>
    <v>Learn more on Bing</v>
  </rv>
  <rv s="1">
    <fb>88.930000010000001</fb>
    <v>9</v>
  </rv>
  <rv s="1">
    <fb>2523179</fb>
    <v>8</v>
  </rv>
  <rv s="13">
    <v>#VALUE!</v>
    <v>en-GB</v>
    <v>df35ca02-1c1e-5053-6d99-90803f0c1b63</v>
    <v>536870912</v>
    <v>1</v>
    <v>64</v>
    <v>60</v>
    <v>Pabna District</v>
    <v>61</v>
    <v>5</v>
    <v>Map</v>
    <v>6</v>
    <v>7</v>
    <v>130</v>
    <v>130</v>
    <v>153</v>
    <v>4</v>
    <v>Pabna District is a district in central Bangladesh. It is an economically important district. Its administrative capital is the eponymous Pabna town.</v>
    <v>154</v>
    <v>155</v>
    <v>156</v>
    <v>157</v>
    <v>Pabna District</v>
    <v>158</v>
    <v>Pabna District</v>
  </rv>
  <rv s="0">
    <v>536870912</v>
    <v>Morrelganj Upazila</v>
    <v>4b8ccee5-93dc-63ba-a470-5d3921582d92</v>
    <v>en-GB</v>
    <v>Map</v>
  </rv>
  <rv s="1">
    <fb>460.91</fb>
    <v>8</v>
  </rv>
  <rv s="2">
    <v>17</v>
    <v>6</v>
    <v>65</v>
    <v>7</v>
    <v>0</v>
    <v>Image of Morrelganj Upazila</v>
  </rv>
  <rv s="1">
    <fb>22.45</fb>
    <v>9</v>
  </rv>
  <rv s="4">
    <v>https://www.bing.com/search?q=morrelganj+upazila+india&amp;form=skydnc</v>
    <v>Learn more on Bing</v>
  </rv>
  <rv s="1">
    <fb>89.8583</fb>
    <v>9</v>
  </rv>
  <rv s="1">
    <fb>321153</fb>
    <v>8</v>
  </rv>
  <rv s="7">
    <v>#VALUE!</v>
    <v>en-GB</v>
    <v>4b8ccee5-93dc-63ba-a470-5d3921582d92</v>
    <v>536870912</v>
    <v>1</v>
    <v>67</v>
    <v>21</v>
    <v>Morrelganj Upazila</v>
    <v>4</v>
    <v>5</v>
    <v>Map</v>
    <v>6</v>
    <v>22</v>
    <v>100</v>
    <v>101</v>
    <v>161</v>
    <v>4</v>
    <v>Morrelganj is an upazila of Bagerhat District in the Division of Khulna, Bangladesh. Morrelganj thana was established in 1909 and became an upazila in 1985.</v>
    <v>162</v>
    <v>163</v>
    <v>164</v>
    <v>165</v>
    <v>Morrelganj Upazila</v>
    <v>166</v>
    <v>Morrelganj Upazila</v>
    <v>mdp/vdpid/7469970183075921921</v>
  </rv>
  <rv s="0">
    <v>536870912</v>
    <v>Satkania Upazila</v>
    <v>8ca48054-59eb-4060-18af-8c0800bece7c</v>
    <v>en-GB</v>
    <v>Map</v>
  </rv>
  <rv s="0">
    <v>536870912</v>
    <v>Chattogram District</v>
    <v>65b603ce-0f41-0793-f6e9-fa0a18542588</v>
    <v>en-GB</v>
    <v>Map</v>
  </rv>
  <rv s="1">
    <fb>282.39999999999998</fb>
    <v>8</v>
  </rv>
  <rv s="2">
    <v>18</v>
    <v>6</v>
    <v>68</v>
    <v>7</v>
    <v>0</v>
    <v>Image of Satkania Upazila</v>
  </rv>
  <rv s="1">
    <fb>22.088333333333001</fb>
    <v>9</v>
  </rv>
  <rv s="4">
    <v>https://www.bing.com/search?q=satkania+upazila+bangladesh&amp;form=skydnc</v>
    <v>Learn more on Bing</v>
  </rv>
  <rv s="1">
    <fb>92.084999999999994</fb>
    <v>9</v>
  </rv>
  <rv s="1">
    <fb>384806</fb>
    <v>8</v>
  </rv>
  <rv s="7">
    <v>#VALUE!</v>
    <v>en-GB</v>
    <v>8ca48054-59eb-4060-18af-8c0800bece7c</v>
    <v>536870912</v>
    <v>1</v>
    <v>70</v>
    <v>21</v>
    <v>Satkania Upazila</v>
    <v>4</v>
    <v>5</v>
    <v>Map</v>
    <v>6</v>
    <v>7</v>
    <v>14</v>
    <v>169</v>
    <v>170</v>
    <v>4</v>
    <v>Satkania is an upazila of Chattogram District in Chattogram Division, Bangladesh.</v>
    <v>171</v>
    <v>172</v>
    <v>173</v>
    <v>174</v>
    <v>Satkania Upazila</v>
    <v>175</v>
    <v>Satkania Upazila</v>
    <v>mdp/vdpid/7854471772077293569</v>
  </rv>
  <rv s="0">
    <v>536870912</v>
    <v>Saidpur</v>
    <v>b0b8098c-eca9-0232-8dc1-ff8f7e3cf16d</v>
    <v>en-GB</v>
    <v>Map</v>
  </rv>
  <rv s="1">
    <fb>121.68</fb>
    <v>8</v>
  </rv>
  <rv s="1">
    <fb>25.7801981</fb>
    <v>9</v>
  </rv>
  <rv s="3">
    <v>7</v>
  </rv>
  <rv s="4">
    <v>https://www.bing.com/search?q=saidpur+bangladesh&amp;form=skydnc</v>
    <v>Learn more on Bing</v>
  </rv>
  <rv s="1">
    <fb>88.901165000000006</fb>
    <v>9</v>
  </rv>
  <rv s="1">
    <fb>127104</fb>
    <v>8</v>
  </rv>
  <rv s="14">
    <v>#VALUE!</v>
    <v>en-GB</v>
    <v>b0b8098c-eca9-0232-8dc1-ff8f7e3cf16d</v>
    <v>536870912</v>
    <v>1</v>
    <v>74</v>
    <v>75</v>
    <v>Saidpur</v>
    <v>77</v>
    <v>78</v>
    <v>Map</v>
    <v>6</v>
    <v>7</v>
    <v>178</v>
    <v>4</v>
    <v>Saidpur is a city of Nilphamari district in Rangpur Division of Bangladesh. The city has become a very important communication hub for adjoining major district headquarters. Saidpur Airport is one of the domestic airports in Bangladesh. The Saidpur Railway Workshop, established in 1870, is the largest in Bangladesh and was the major railway workshop for Assam-Bengal railway. The city has historically been an Urdu-speaking community with close ties to Bihar.</v>
    <v>179</v>
    <v>180</v>
    <v>181</v>
    <v>182</v>
    <v>Saidpur</v>
    <v>183</v>
    <v>Saidpur</v>
    <v>mdp/vdpid/7420743406537670657</v>
  </rv>
  <rv s="0">
    <v>536870912</v>
    <v>Gournadi Upazila</v>
    <v>3eec68ab-4c0b-18f5-307a-4a115bbfa603</v>
    <v>en-GB</v>
    <v>Map</v>
  </rv>
  <rv s="0">
    <v>536870912</v>
    <v>Barisal District</v>
    <v>92c2322f-8da9-59b8-014d-5fa7e7b55c92</v>
    <v>en-GB</v>
    <v>Map</v>
  </rv>
  <rv s="1">
    <fb>150.54</fb>
    <v>8</v>
  </rv>
  <rv s="2">
    <v>19</v>
    <v>6</v>
    <v>79</v>
    <v>7</v>
    <v>0</v>
    <v>Image of Gournadi Upazila</v>
  </rv>
  <rv s="1">
    <fb>22.973600000000001</fb>
    <v>9</v>
  </rv>
  <rv s="4">
    <v>https://www.bing.com/search?q=gournadi+upazila+bangladesh&amp;form=skydnc</v>
    <v>Learn more on Bing</v>
  </rv>
  <rv s="1">
    <fb>90.230599999999995</fb>
    <v>9</v>
  </rv>
  <rv s="1">
    <fb>188586</fb>
    <v>8</v>
  </rv>
  <rv s="7">
    <v>#VALUE!</v>
    <v>en-GB</v>
    <v>3eec68ab-4c0b-18f5-307a-4a115bbfa603</v>
    <v>536870912</v>
    <v>1</v>
    <v>80</v>
    <v>21</v>
    <v>Gournadi Upazila</v>
    <v>4</v>
    <v>5</v>
    <v>Map</v>
    <v>6</v>
    <v>7</v>
    <v>90</v>
    <v>186</v>
    <v>187</v>
    <v>4</v>
    <v>Gournadi is an administrative unit of Barishal District in the Division of Barishal, Bangladesh. Many popular persons are born and living in this region, which include some important persons who fought for our independence that we achieved on 16 ...</v>
    <v>188</v>
    <v>189</v>
    <v>190</v>
    <v>191</v>
    <v>Gournadi Upazila</v>
    <v>192</v>
    <v>Gournadi Upazila</v>
    <v>mdp/vdpid/7806222937714851841</v>
  </rv>
  <rv s="0">
    <v>536870912</v>
    <v>Sirajganj</v>
    <v>982bfc60-e868-2091-8a6e-7443c4455e4e</v>
    <v>en-GB</v>
    <v>Map</v>
  </rv>
  <rv s="0">
    <v>536870912</v>
    <v>Sirajganj District</v>
    <v>8e9a3a3f-0d91-aeca-8261-46aa05643405</v>
    <v>en-GB</v>
    <v>Map</v>
  </rv>
  <rv s="1">
    <fb>19.559999999999999</fb>
    <v>8</v>
  </rv>
  <rv s="2">
    <v>20</v>
    <v>6</v>
    <v>82</v>
    <v>7</v>
    <v>0</v>
    <v>Image of Sirajganj</v>
  </rv>
  <rv s="1">
    <fb>24.45</fb>
    <v>9</v>
  </rv>
  <rv s="0">
    <v>805306368</v>
    <v>Sayed Abdur Rouf Mukta (Mayor)</v>
    <v>c8c98fcb-e03a-94ff-0c4f-fbf3bda47220</v>
    <v>en-GB</v>
    <v>Generic</v>
  </rv>
  <rv s="3">
    <v>8</v>
  </rv>
  <rv s="4">
    <v>https://www.bing.com/search?q=sirajganj+bangladesh&amp;form=skydnc</v>
    <v>Learn more on Bing</v>
  </rv>
  <rv s="1">
    <fb>89.716666666666995</fb>
    <v>9</v>
  </rv>
  <rv s="1">
    <fb>127147</fb>
    <v>8</v>
  </rv>
  <rv s="11">
    <v>#VALUE!</v>
    <v>en-GB</v>
    <v>982bfc60-e868-2091-8a6e-7443c4455e4e</v>
    <v>536870912</v>
    <v>1</v>
    <v>83</v>
    <v>47</v>
    <v>Sirajganj</v>
    <v>4</v>
    <v>5</v>
    <v>Map</v>
    <v>6</v>
    <v>84</v>
    <v>130</v>
    <v>195</v>
    <v>196</v>
    <v>4</v>
    <v>Sirajganj is a city in north-western Bangladesh on the right bank of the Jamuna River, located in Rajshahi Division. It is the administrative headquarters of Sirajganj District and Sirajganj Sadar Upazila. It has a population of 4,50,000 which ...</v>
    <v>197</v>
    <v>198</v>
    <v>200</v>
    <v>201</v>
    <v>202</v>
    <v>Sirajganj</v>
    <v>203</v>
    <v>120</v>
    <v>Sirajganj</v>
    <v>mdp/vdpid/7421625828154277889</v>
  </rv>
  <rv s="0">
    <v>536870912</v>
    <v>Bhola District</v>
    <v>30aba729-68a8-beee-1a99-1c996cf1e205</v>
    <v>en-GB</v>
    <v>Map</v>
  </rv>
  <rv s="1">
    <fb>3403.4750542320198</fb>
    <v>8</v>
  </rv>
  <rv s="2">
    <v>21</v>
    <v>6</v>
    <v>85</v>
    <v>7</v>
    <v>0</v>
    <v>Image of Bhola District</v>
  </rv>
  <rv s="0">
    <v>536870912</v>
    <v>Bhola Sadar Upazila</v>
    <v>c399d088-e941-0a65-5a53-b938ccc2f4da</v>
    <v>en-GB</v>
    <v>Map</v>
  </rv>
  <rv s="4">
    <v>https://www.bing.com/search?q=bhola+district+bangladesh&amp;form=skydnc</v>
    <v>Learn more on Bing</v>
  </rv>
  <rv s="1">
    <fb>1776795</fb>
    <v>8</v>
  </rv>
  <rv s="6">
    <v>#VALUE!</v>
    <v>en-GB</v>
    <v>30aba729-68a8-beee-1a99-1c996cf1e205</v>
    <v>536870912</v>
    <v>1</v>
    <v>86</v>
    <v>13</v>
    <v>Bhola District</v>
    <v>4</v>
    <v>5</v>
    <v>Map</v>
    <v>6</v>
    <v>7</v>
    <v>90</v>
    <v>206</v>
    <v>4</v>
    <v>Bhola District is an administrative district in south-central Bangladesh, which includes Bhola Island, the largest island of Bangladesh. It is located in the Barisal Division and has an area of 3403.48 km². It is bounded by Lakshmipur and ...</v>
    <v>207</v>
    <v>208</v>
    <v>209</v>
    <v>Bhola District</v>
    <v>210</v>
    <v>Bhola District</v>
    <v>mdp/vdpid/-7954627149</v>
  </rv>
  <rv s="0">
    <v>536870912</v>
    <v>Sandwip Upazila</v>
    <v>fbacb62b-9363-8779-126d-642dfe9dc664</v>
    <v>en-GB</v>
    <v>Map</v>
  </rv>
  <rv s="1">
    <fb>762.42</fb>
    <v>8</v>
  </rv>
  <rv s="2">
    <v>22</v>
    <v>6</v>
    <v>87</v>
    <v>7</v>
    <v>0</v>
    <v>Image of Sandwip Upazila</v>
  </rv>
  <rv s="1">
    <fb>22.4833</fb>
    <v>9</v>
  </rv>
  <rv s="4">
    <v>https://www.bing.com/search?q=sandwip+upazila&amp;form=skydnc</v>
    <v>Learn more on Bing</v>
  </rv>
  <rv s="1">
    <fb>91.441699999999997</fb>
    <v>9</v>
  </rv>
  <rv s="1">
    <fb>450000</fb>
    <v>8</v>
  </rv>
  <rv s="7">
    <v>#VALUE!</v>
    <v>en-GB</v>
    <v>fbacb62b-9363-8779-126d-642dfe9dc664</v>
    <v>536870912</v>
    <v>1</v>
    <v>89</v>
    <v>21</v>
    <v>Sandwip Upazila</v>
    <v>4</v>
    <v>5</v>
    <v>Map</v>
    <v>6</v>
    <v>90</v>
    <v>14</v>
    <v>169</v>
    <v>213</v>
    <v>4</v>
    <v>Sandwip is an upazila of Chattogram District in Chattogram Division, Bangladesh. It encompasses the islands of Sandwip and Urir Char.</v>
    <v>214</v>
    <v>215</v>
    <v>216</v>
    <v>217</v>
    <v>Sandwip Upazila</v>
    <v>218</v>
    <v>Sandwip Upazila</v>
    <v>mdp/vdpid/7806378642845466625</v>
  </rv>
  <rv s="0">
    <v>536870912</v>
    <v>Netrokona District</v>
    <v>be7569fa-79c9-df02-da0a-a256cd2edca7</v>
    <v>en-GB</v>
    <v>Map</v>
  </rv>
  <rv s="0">
    <v>536870912</v>
    <v>Mymensingh Division</v>
    <v>f1980674-ef33-451b-9ec0-a7b694dad827</v>
    <v>en-GB</v>
    <v>Map</v>
  </rv>
  <rv s="1">
    <fb>2743.64</fb>
    <v>8</v>
  </rv>
  <rv s="2">
    <v>23</v>
    <v>6</v>
    <v>92</v>
    <v>7</v>
    <v>0</v>
    <v>Image of Netrokona District</v>
  </rv>
  <rv s="0">
    <v>536870912</v>
    <v>Netrokona Sadar Upazila</v>
    <v>d8227999-f14a-e0b9-e456-22083697e122</v>
    <v>en-GB</v>
    <v>Map</v>
  </rv>
  <rv s="4">
    <v>https://www.bing.com/search?q=netrokona+district+bangladesh&amp;form=skydnc</v>
    <v>Learn more on Bing</v>
  </rv>
  <rv s="1">
    <fb>2229642</fb>
    <v>8</v>
  </rv>
  <rv s="6">
    <v>#VALUE!</v>
    <v>en-GB</v>
    <v>be7569fa-79c9-df02-da0a-a256cd2edca7</v>
    <v>536870912</v>
    <v>1</v>
    <v>93</v>
    <v>13</v>
    <v>Netrokona District</v>
    <v>4</v>
    <v>5</v>
    <v>Map</v>
    <v>6</v>
    <v>7</v>
    <v>221</v>
    <v>222</v>
    <v>4</v>
    <v>Netrokona is a district of the Mymensingh Division in northern Bangladesh.</v>
    <v>223</v>
    <v>224</v>
    <v>225</v>
    <v>Netrokona District</v>
    <v>226</v>
    <v>Netrokona District</v>
    <v>mdp/vdpid/-7954627144</v>
  </rv>
  <rv s="0">
    <v>536870912</v>
    <v>Raozan Upazila</v>
    <v>d4b98b87-d53b-af88-b776-120626f88f24</v>
    <v>en-GB</v>
    <v>Map</v>
  </rv>
  <rv s="1">
    <fb>246.58</fb>
    <v>8</v>
  </rv>
  <rv s="2">
    <v>24</v>
    <v>6</v>
    <v>94</v>
    <v>7</v>
    <v>0</v>
    <v>Image of Raozan Upazila</v>
  </rv>
  <rv s="1">
    <fb>22.533300000000001</fb>
    <v>9</v>
  </rv>
  <rv s="4">
    <v>https://www.bing.com/search?q=raozan+upazila&amp;form=skydnc</v>
    <v>Learn more on Bing</v>
  </rv>
  <rv s="1">
    <fb>91.933300000000003</fb>
    <v>9</v>
  </rv>
  <rv s="1">
    <fb>325389</fb>
    <v>8</v>
  </rv>
  <rv s="7">
    <v>#VALUE!</v>
    <v>en-GB</v>
    <v>d4b98b87-d53b-af88-b776-120626f88f24</v>
    <v>536870912</v>
    <v>1</v>
    <v>96</v>
    <v>21</v>
    <v>Raozan Upazila</v>
    <v>4</v>
    <v>5</v>
    <v>Map</v>
    <v>6</v>
    <v>7</v>
    <v>14</v>
    <v>169</v>
    <v>229</v>
    <v>4</v>
    <v>Raozan Upazila, gohira is an upazila of Chattogram District, in Chattogram Division, Bangladesh. It was established in 1947.</v>
    <v>230</v>
    <v>231</v>
    <v>232</v>
    <v>233</v>
    <v>Raozan Upazila</v>
    <v>234</v>
    <v>Raozan Upazila</v>
    <v>mdp/vdpid/7854429638599114753</v>
  </rv>
  <rv s="0">
    <v>536870912</v>
    <v>Phultala Upazila</v>
    <v>6240fa63-9caa-6f6f-e768-7c4215c526ff</v>
    <v>en-GB</v>
    <v>Map</v>
  </rv>
  <rv s="0">
    <v>536870912</v>
    <v>Khulna District</v>
    <v>2267a837-27f5-c9d3-3a44-ee480733d60e</v>
    <v>en-GB</v>
    <v>Map</v>
  </rv>
  <rv s="1">
    <fb>56.83</fb>
    <v>8</v>
  </rv>
  <rv s="2">
    <v>25</v>
    <v>6</v>
    <v>97</v>
    <v>7</v>
    <v>0</v>
    <v>Image of Phultala Upazila</v>
  </rv>
  <rv s="1">
    <fb>22.975000000000001</fb>
    <v>9</v>
  </rv>
  <rv s="4">
    <v>https://www.bing.com/search?q=phultala+upazila+india&amp;form=skydnc</v>
    <v>Learn more on Bing</v>
  </rv>
  <rv s="1">
    <fb>89.458299999999994</fb>
    <v>9</v>
  </rv>
  <rv s="1">
    <fb>67930</fb>
    <v>8</v>
  </rv>
  <rv s="7">
    <v>#VALUE!</v>
    <v>en-GB</v>
    <v>6240fa63-9caa-6f6f-e768-7c4215c526ff</v>
    <v>536870912</v>
    <v>1</v>
    <v>99</v>
    <v>21</v>
    <v>Phultala Upazila</v>
    <v>4</v>
    <v>5</v>
    <v>Map</v>
    <v>6</v>
    <v>22</v>
    <v>100</v>
    <v>237</v>
    <v>238</v>
    <v>4</v>
    <v>Phultala is an upazila of Khulna District in the Division of Khulna, Bangladesh.</v>
    <v>239</v>
    <v>240</v>
    <v>241</v>
    <v>242</v>
    <v>Phultala Upazila</v>
    <v>243</v>
    <v>Phultala Upazila</v>
    <v>mdp/vdpid/7421902420625588225</v>
  </rv>
  <rv s="1">
    <fb>4389.1099999999997</fb>
    <v>8</v>
  </rv>
  <rv s="2">
    <v>26</v>
    <v>6</v>
    <v>101</v>
    <v>7</v>
    <v>0</v>
    <v>Image of Khulna District</v>
  </rv>
  <rv s="0">
    <v>536870912</v>
    <v>Dumuria Upazila</v>
    <v>901d5042-1ee4-a182-c53d-ed582e937ed5</v>
    <v>en-GB</v>
    <v>Map</v>
  </rv>
  <rv s="4">
    <v>https://www.bing.com/search?q=khulna+district+bangladesh&amp;form=skydnc</v>
    <v>Learn more on Bing</v>
  </rv>
  <rv s="1">
    <fb>3118527</fb>
    <v>8</v>
  </rv>
  <rv s="6">
    <v>#VALUE!</v>
    <v>en-GB</v>
    <v>2267a837-27f5-c9d3-3a44-ee480733d60e</v>
    <v>536870912</v>
    <v>1</v>
    <v>102</v>
    <v>13</v>
    <v>Khulna District</v>
    <v>4</v>
    <v>5</v>
    <v>Map</v>
    <v>6</v>
    <v>7</v>
    <v>100</v>
    <v>245</v>
    <v>4</v>
    <v>The Khulna District is a district of Bangladesh. It is located in the Khulna Division, bordered on the north by the Jessore District and the Narail District, on the south by the Bay of Bengal, on the east by the Bagerhat District, and on the ...</v>
    <v>246</v>
    <v>247</v>
    <v>248</v>
    <v>Khulna District</v>
    <v>249</v>
    <v>Khulna District</v>
    <v>mdp/vdpid/-7954627093</v>
  </rv>
  <rv s="0">
    <v>536870912</v>
    <v>Kishoreganj District</v>
    <v>af83a26c-c5ab-29f4-2c0c-5304aa2957f3</v>
    <v>en-GB</v>
    <v>Map</v>
  </rv>
  <rv s="1">
    <fb>2689</fb>
    <v>8</v>
  </rv>
  <rv s="2">
    <v>27</v>
    <v>6</v>
    <v>103</v>
    <v>7</v>
    <v>0</v>
    <v>Image of Kishoreganj District</v>
  </rv>
  <rv s="0">
    <v>536870912</v>
    <v>Kishoreganj Sadar Upazila</v>
    <v>d13809ad-42ce-6fa2-3912-53677f2ef585</v>
    <v>en-GB</v>
    <v>Map</v>
  </rv>
  <rv s="4">
    <v>https://www.bing.com/search?q=kishoreganj+district+bangladesh&amp;form=skydnc</v>
    <v>Learn more on Bing</v>
  </rv>
  <rv s="1">
    <fb>3028706</fb>
    <v>8</v>
  </rv>
  <rv s="6">
    <v>#VALUE!</v>
    <v>en-GB</v>
    <v>af83a26c-c5ab-29f4-2c0c-5304aa2957f3</v>
    <v>536870912</v>
    <v>1</v>
    <v>104</v>
    <v>13</v>
    <v>Kishoreganj District</v>
    <v>4</v>
    <v>5</v>
    <v>Map</v>
    <v>6</v>
    <v>7</v>
    <v>22</v>
    <v>252</v>
    <v>4</v>
    <v>Kishoreganj is a district in Dhaka Division, Bangladesh. Earlier it was a Mohkuma under the Mymensingh district. It was taken 2495.07 sq. km of land from Mymensingh district to form present day Kishoreganj District. Kishorganj consists of eight ...</v>
    <v>253</v>
    <v>254</v>
    <v>255</v>
    <v>Kishoreganj District</v>
    <v>256</v>
    <v>Kishoreganj District</v>
    <v>mdp/vdpid/-7954627107</v>
  </rv>
  <rv s="0">
    <v>536870912</v>
    <v>Dohar Upazila</v>
    <v>a6c6fb0f-8ad6-1c8d-7d87-f071695f23d5</v>
    <v>en-GB</v>
    <v>Map</v>
  </rv>
  <rv s="0">
    <v>536870912</v>
    <v>Dhaka District</v>
    <v>29f9817d-aa78-ecda-a183-e0e883a40700</v>
    <v>en-GB</v>
    <v>Map</v>
  </rv>
  <rv s="1">
    <fb>121.41</fb>
    <v>8</v>
  </rv>
  <rv s="2">
    <v>28</v>
    <v>6</v>
    <v>105</v>
    <v>7</v>
    <v>0</v>
    <v>Image of Dohar Upazila</v>
  </rv>
  <rv s="1">
    <fb>23.595800000000001</fb>
    <v>9</v>
  </rv>
  <rv s="4">
    <v>https://www.bing.com/search?q=dohar+upazila+bangladesh&amp;form=skydnc</v>
    <v>Learn more on Bing</v>
  </rv>
  <rv s="1">
    <fb>90.122200000000007</fb>
    <v>9</v>
  </rv>
  <rv s="1">
    <fb>226439</fb>
    <v>8</v>
  </rv>
  <rv s="7">
    <v>#VALUE!</v>
    <v>en-GB</v>
    <v>a6c6fb0f-8ad6-1c8d-7d87-f071695f23d5</v>
    <v>536870912</v>
    <v>1</v>
    <v>107</v>
    <v>21</v>
    <v>Dohar Upazila</v>
    <v>4</v>
    <v>5</v>
    <v>Map</v>
    <v>6</v>
    <v>7</v>
    <v>22</v>
    <v>259</v>
    <v>260</v>
    <v>4</v>
    <v>Dohar is an upazila of Dhaka District in the division of Dhaka, Bangladesh. The upazila is situated in the southernmost part of Dhaka District. The Padma River borders the southern part of the upazila.</v>
    <v>261</v>
    <v>262</v>
    <v>263</v>
    <v>264</v>
    <v>Dohar Upazila</v>
    <v>265</v>
    <v>Dohar Upazila</v>
    <v>mdp/vdpid/7806153629777264641</v>
  </rv>
  <rv s="0">
    <v>536870912</v>
    <v>Bogra</v>
    <v>56346bd1-9165-f1be-72d1-e4c6acbc1fe6</v>
    <v>en-GB</v>
    <v>Map</v>
  </rv>
  <rv s="0">
    <v>536870912</v>
    <v>Bogra District</v>
    <v>62871805-5715-27dc-285c-fa54ed93f1a5</v>
    <v>en-GB</v>
    <v>Map</v>
  </rv>
  <rv s="1">
    <fb>72.5</fb>
    <v>8</v>
  </rv>
  <rv s="2">
    <v>29</v>
    <v>6</v>
    <v>108</v>
    <v>7</v>
    <v>0</v>
    <v>Image of Bogra</v>
  </rv>
  <rv s="1">
    <fb>24.85</fb>
    <v>9</v>
  </rv>
  <rv s="0">
    <v>805306368</v>
    <v>Rezaul Karim Badsha (Mayor)</v>
    <v>87759d62-d7cf-3311-869b-19e9c47bb840</v>
    <v>en-GB</v>
    <v>Generic</v>
  </rv>
  <rv s="3">
    <v>9</v>
  </rv>
  <rv s="4">
    <v>https://www.bing.com/search?q=bogra+bangladesh&amp;form=skydnc</v>
    <v>Learn more on Bing</v>
  </rv>
  <rv s="1">
    <fb>89.366666666667001</fb>
    <v>9</v>
  </rv>
  <rv s="1">
    <fb>540000</fb>
    <v>8</v>
  </rv>
  <rv s="5">
    <v>#VALUE!</v>
    <v>en-GB</v>
    <v>56346bd1-9165-f1be-72d1-e4c6acbc1fe6</v>
    <v>536870912</v>
    <v>1</v>
    <v>109</v>
    <v>2</v>
    <v>Bogra</v>
    <v>4</v>
    <v>5</v>
    <v>Map</v>
    <v>6</v>
    <v>110</v>
    <v>130</v>
    <v>268</v>
    <v>269</v>
    <v>4</v>
    <v>Bogra, officially known as Bogura, is a city located in Bogra District, Rajshahi Division, Bangladesh. The city is a major commercial hub in Northern Bangladesh. It is the second largest city in area and population in Rajshahi Division. The ...</v>
    <v>270</v>
    <v>271</v>
    <v>273</v>
    <v>274</v>
    <v>275</v>
    <v>Bogra</v>
    <v>276</v>
    <v>Bogra</v>
    <v>mdp/vdpid/7421564692314718209</v>
  </rv>
  <rv s="0">
    <v>536870912</v>
    <v>Satkhira District</v>
    <v>b902067f-823c-841c-d524-3a25234955ec</v>
    <v>en-GB</v>
    <v>Map</v>
  </rv>
  <rv s="1">
    <fb>3858</fb>
    <v>8</v>
  </rv>
  <rv s="2">
    <v>30</v>
    <v>6</v>
    <v>111</v>
    <v>7</v>
    <v>0</v>
    <v>Image of Satkhira District</v>
  </rv>
  <rv s="0">
    <v>536870912</v>
    <v>Shyamnagar Upazila</v>
    <v>084344cf-7610-d93a-bb4f-6729f7d566de</v>
    <v>en-GB</v>
    <v>Map</v>
  </rv>
  <rv s="4">
    <v>https://www.bing.com/search?q=satkhira+district+bangladesh&amp;form=skydnc</v>
    <v>Learn more on Bing</v>
  </rv>
  <rv s="1">
    <fb>1843194</fb>
    <v>8</v>
  </rv>
  <rv s="6">
    <v>#VALUE!</v>
    <v>en-GB</v>
    <v>b902067f-823c-841c-d524-3a25234955ec</v>
    <v>536870912</v>
    <v>1</v>
    <v>112</v>
    <v>13</v>
    <v>Satkhira District</v>
    <v>4</v>
    <v>5</v>
    <v>Map</v>
    <v>6</v>
    <v>84</v>
    <v>100</v>
    <v>279</v>
    <v>4</v>
    <v>The Satkhira District is a district in southwestern Bangladesh and is part of Khulna Division. It lies along the border with West Bengal, India. It is on the bank of the Arpangachhia River. The largest city and headquarter of this district is ...</v>
    <v>280</v>
    <v>281</v>
    <v>282</v>
    <v>Satkhira District</v>
    <v>283</v>
    <v>Satkhira District</v>
    <v>mdp/vdpid/-7954627116</v>
  </rv>
  <rv s="0">
    <v>536870912</v>
    <v>Bheramara Upazila</v>
    <v>aa5e2fde-ea82-472d-d1c6-ea1a783bfe90</v>
    <v>en-GB</v>
    <v>Map</v>
  </rv>
  <rv s="0">
    <v>536870912</v>
    <v>Kushtia District</v>
    <v>0b3f10d7-95a2-f195-d153-0d7a1849244c</v>
    <v>en-GB</v>
    <v>Map</v>
  </rv>
  <rv s="1">
    <fb>153.72</fb>
    <v>8</v>
  </rv>
  <rv s="2">
    <v>31</v>
    <v>6</v>
    <v>113</v>
    <v>7</v>
    <v>0</v>
    <v>Image of Bheramara Upazila</v>
  </rv>
  <rv s="1">
    <fb>24.0167</fb>
    <v>9</v>
  </rv>
  <rv s="4">
    <v>https://www.bing.com/search?q=bheramara+upazila+bangladesh&amp;form=skydnc</v>
    <v>Learn more on Bing</v>
  </rv>
  <rv s="1">
    <fb>88.991699999999994</fb>
    <v>9</v>
  </rv>
  <rv s="1">
    <fb>200084</fb>
    <v>8</v>
  </rv>
  <rv s="7">
    <v>#VALUE!</v>
    <v>en-GB</v>
    <v>aa5e2fde-ea82-472d-d1c6-ea1a783bfe90</v>
    <v>536870912</v>
    <v>1</v>
    <v>115</v>
    <v>21</v>
    <v>Bheramara Upazila</v>
    <v>4</v>
    <v>5</v>
    <v>Map</v>
    <v>6</v>
    <v>22</v>
    <v>100</v>
    <v>286</v>
    <v>287</v>
    <v>4</v>
    <v>Bheramara is an upazila of Kushtia District in the Division of Khulna, Bangladesh. The upazila is beside the Padma River, and the important Hardinge Bridge crosses the river between Bheramara Upazila and Ishurdi Upazila of Pabna District.</v>
    <v>288</v>
    <v>289</v>
    <v>290</v>
    <v>291</v>
    <v>Bheramara Upazila</v>
    <v>292</v>
    <v>Bheramara Upazila</v>
    <v>mdp/vdpid/7421611526919815169</v>
  </rv>
  <rv s="1">
    <fb>173.48</fb>
    <v>8</v>
  </rv>
  <rv s="2">
    <v>32</v>
    <v>6</v>
    <v>117</v>
    <v>7</v>
    <v>0</v>
    <v>Image of Kushtia District</v>
  </rv>
  <rv s="4">
    <v>https://www.bing.com/search?q=kushtia+district&amp;form=skydnc</v>
    <v>Learn more on Bing</v>
  </rv>
  <rv s="1">
    <fb>1946868</fb>
    <v>8</v>
  </rv>
  <rv s="10">
    <v>#VALUE!</v>
    <v>en-GB</v>
    <v>0b3f10d7-95a2-f195-d153-0d7a1849244c</v>
    <v>536870912</v>
    <v>1</v>
    <v>118</v>
    <v>39</v>
    <v>Kushtia District</v>
    <v>4</v>
    <v>5</v>
    <v>Map</v>
    <v>6</v>
    <v>7</v>
    <v>100</v>
    <v>294</v>
    <v>4</v>
    <v>Kushtia District is a district in the Khulna administrative division of western Bangladesh. Kushtia is the second largest municipality in Bangladesh and the eleventh largest city in the country. Kushtia has existed as a separate district since ...</v>
    <v>295</v>
    <v>296</v>
    <v>Kushtia District</v>
    <v>297</v>
    <v>Kushtia District</v>
    <v>mdp/vdpid/-7954627110</v>
  </rv>
  <rv s="0">
    <v>536870912</v>
    <v>Bhandaria Upazila</v>
    <v>a3671a6a-0920-cc48-58fa-cc498ef82b3a</v>
    <v>en-GB</v>
    <v>Map</v>
  </rv>
  <rv s="0">
    <v>536870912</v>
    <v>Pirojpur District</v>
    <v>d25556b0-3a5e-87c4-e14e-8613e7945812</v>
    <v>en-GB</v>
    <v>Map</v>
  </rv>
  <rv s="1">
    <fb>163.57</fb>
    <v>8</v>
  </rv>
  <rv s="2">
    <v>33</v>
    <v>6</v>
    <v>119</v>
    <v>7</v>
    <v>0</v>
    <v>Image of Bhandaria Upazila</v>
  </rv>
  <rv s="1">
    <fb>22.488900000000001</fb>
    <v>9</v>
  </rv>
  <rv s="4">
    <v>https://www.bing.com/search?q=bhandaria+upazila+bangladesh&amp;form=skydnc</v>
    <v>Learn more on Bing</v>
  </rv>
  <rv s="1">
    <fb>90.073300000000003</fb>
    <v>9</v>
  </rv>
  <rv s="1">
    <fb>148159</fb>
    <v>8</v>
  </rv>
  <rv s="7">
    <v>#VALUE!</v>
    <v>en-GB</v>
    <v>a3671a6a-0920-cc48-58fa-cc498ef82b3a</v>
    <v>536870912</v>
    <v>1</v>
    <v>120</v>
    <v>21</v>
    <v>Bhandaria Upazila</v>
    <v>4</v>
    <v>5</v>
    <v>Map</v>
    <v>6</v>
    <v>7</v>
    <v>90</v>
    <v>300</v>
    <v>301</v>
    <v>4</v>
    <v>Bhandaria is an upazila of Pirojpur District in the Division of Barisal, Bangladesh.</v>
    <v>302</v>
    <v>303</v>
    <v>304</v>
    <v>305</v>
    <v>Bhandaria Upazila</v>
    <v>306</v>
    <v>Bhandaria Upazila</v>
    <v>mdp/vdpid/7806239460303044609</v>
  </rv>
  <rv s="1">
    <fb>1277.8030115014001</fb>
    <v>8</v>
  </rv>
  <rv s="2">
    <v>34</v>
    <v>6</v>
    <v>121</v>
    <v>7</v>
    <v>0</v>
    <v>Image of Pirojpur District</v>
  </rv>
  <rv s="0">
    <v>536870912</v>
    <v>Mathbaria Upazila</v>
    <v>ee6623ce-e1ce-e191-6594-2eafee1a215c</v>
    <v>en-GB</v>
    <v>Map</v>
  </rv>
  <rv s="4">
    <v>https://www.bing.com/search?q=pirojpur+district+bangladesh&amp;form=skydnc</v>
    <v>Learn more on Bing</v>
  </rv>
  <rv s="1">
    <fb>1113257</fb>
    <v>8</v>
  </rv>
  <rv s="6">
    <v>#VALUE!</v>
    <v>en-GB</v>
    <v>d25556b0-3a5e-87c4-e14e-8613e7945812</v>
    <v>536870912</v>
    <v>1</v>
    <v>122</v>
    <v>13</v>
    <v>Pirojpur District</v>
    <v>4</v>
    <v>5</v>
    <v>Map</v>
    <v>6</v>
    <v>7</v>
    <v>90</v>
    <v>308</v>
    <v>4</v>
    <v>Pirojpur is a district in southern-western Bangladesh. It is a part of Barisal Division.</v>
    <v>309</v>
    <v>310</v>
    <v>311</v>
    <v>Pirojpur District</v>
    <v>312</v>
    <v>Pirojpur District</v>
    <v>mdp/vdpid/-7954627126</v>
  </rv>
  <rv s="0">
    <v>536870912</v>
    <v>Narsingdi District</v>
    <v>754aee51-db8e-8c47-c9c9-fe3e70f50210</v>
    <v>en-GB</v>
    <v>Map</v>
  </rv>
  <rv s="1">
    <fb>1150.1400000000001</fb>
    <v>8</v>
  </rv>
  <rv s="2">
    <v>35</v>
    <v>6</v>
    <v>124</v>
    <v>7</v>
    <v>0</v>
    <v>Image of Narsingdi District</v>
  </rv>
  <rv s="0">
    <v>536870912</v>
    <v>Narsingdi Sadar Upazila</v>
    <v>45f2fb1d-5f81-af2c-dd69-18b800aca91e</v>
    <v>en-GB</v>
    <v>Map</v>
  </rv>
  <rv s="4">
    <v>https://www.bing.com/search?q=narsingdi+district+bangladesh&amp;form=skydnc</v>
    <v>Learn more on Bing</v>
  </rv>
  <rv s="1">
    <fb>2224944</fb>
    <v>8</v>
  </rv>
  <rv s="6">
    <v>#VALUE!</v>
    <v>en-GB</v>
    <v>754aee51-db8e-8c47-c9c9-fe3e70f50210</v>
    <v>536870912</v>
    <v>1</v>
    <v>125</v>
    <v>13</v>
    <v>Narsingdi District</v>
    <v>4</v>
    <v>5</v>
    <v>Map</v>
    <v>6</v>
    <v>7</v>
    <v>22</v>
    <v>315</v>
    <v>4</v>
    <v>Narsingdi District is a district in central Bangladesh. It is located 50 km north-east of Dhaka, capital city of Bangladesh. It is a part of the Dhaka Division. The district is famous for its textile craft industry. Narsingdi is bordered by ...</v>
    <v>316</v>
    <v>317</v>
    <v>318</v>
    <v>Narsingdi District</v>
    <v>319</v>
    <v>Narsingdi District</v>
    <v>mdp/vdpid/-7954627097</v>
  </rv>
  <rv s="0">
    <v>536870912</v>
    <v>Sarishabari Upazila</v>
    <v>9b95b2c0-7786-68fc-1963-71c0ae3b49fb</v>
    <v>en-GB</v>
    <v>Map</v>
  </rv>
  <rv s="0">
    <v>536870912</v>
    <v>Jamalpur District</v>
    <v>059478e1-293a-1a66-a42b-150ec592122a</v>
    <v>en-GB</v>
    <v>Map</v>
  </rv>
  <rv s="1">
    <fb>263.48</fb>
    <v>8</v>
  </rv>
  <rv s="2">
    <v>36</v>
    <v>6</v>
    <v>126</v>
    <v>7</v>
    <v>0</v>
    <v>Image of Sarishabari Upazila</v>
  </rv>
  <rv s="1">
    <fb>24.741700000000002</fb>
    <v>9</v>
  </rv>
  <rv s="4">
    <v>https://www.bing.com/search?q=sarishabari+upazila+bangladesh&amp;form=skydnc</v>
    <v>Learn more on Bing</v>
  </rv>
  <rv s="1">
    <fb>89.833299999999994</fb>
    <v>9</v>
  </rv>
  <rv s="1">
    <fb>325320</fb>
    <v>8</v>
  </rv>
  <rv s="7">
    <v>#VALUE!</v>
    <v>en-GB</v>
    <v>9b95b2c0-7786-68fc-1963-71c0ae3b49fb</v>
    <v>536870912</v>
    <v>1</v>
    <v>128</v>
    <v>21</v>
    <v>Sarishabari Upazila</v>
    <v>4</v>
    <v>5</v>
    <v>Map</v>
    <v>6</v>
    <v>7</v>
    <v>221</v>
    <v>322</v>
    <v>323</v>
    <v>4</v>
    <v>Sarishabari is an upazila of Jamalpur District in the Division of Mymensingh, Bangladesh.</v>
    <v>324</v>
    <v>325</v>
    <v>326</v>
    <v>327</v>
    <v>Sarishabari Upazila</v>
    <v>328</v>
    <v>Sarishabari Upazila</v>
    <v>mdp/vdpid/7421576961626996737</v>
  </rv>
  <rv s="1">
    <fb>2031.98</fb>
    <v>8</v>
  </rv>
  <rv s="2">
    <v>37</v>
    <v>6</v>
    <v>130</v>
    <v>7</v>
    <v>0</v>
    <v>Image of Jamalpur District</v>
  </rv>
  <rv s="0">
    <v>536870912</v>
    <v>Jamalpur Sadar Upazila</v>
    <v>19049585-7f0c-e10e-bcbe-910269ff0016</v>
    <v>en-GB</v>
    <v>Map</v>
  </rv>
  <rv s="4">
    <v>https://www.bing.com/search?q=jamalpur+district+bangladesh&amp;form=skydnc</v>
    <v>Learn more on Bing</v>
  </rv>
  <rv s="1">
    <fb>2292674</fb>
    <v>8</v>
  </rv>
  <rv s="6">
    <v>#VALUE!</v>
    <v>en-GB</v>
    <v>059478e1-293a-1a66-a42b-150ec592122a</v>
    <v>536870912</v>
    <v>1</v>
    <v>131</v>
    <v>13</v>
    <v>Jamalpur District</v>
    <v>4</v>
    <v>5</v>
    <v>Map</v>
    <v>6</v>
    <v>7</v>
    <v>221</v>
    <v>330</v>
    <v>4</v>
    <v>Jamalpur is a district in Bangladesh, part of the Mymensingh Division. It was established in 1978.</v>
    <v>331</v>
    <v>332</v>
    <v>333</v>
    <v>Jamalpur District</v>
    <v>334</v>
    <v>Jamalpur District</v>
    <v>mdp/vdpid/-7954627139</v>
  </rv>
  <rv s="0">
    <v>536870912</v>
    <v>Lalmohan Upazila</v>
    <v>b018b95c-13c6-2d5a-7ee2-c59a7dc60e12</v>
    <v>en-GB</v>
    <v>Map</v>
  </rv>
  <rv s="1">
    <fb>396.25</fb>
    <v>8</v>
  </rv>
  <rv s="2">
    <v>38</v>
    <v>6</v>
    <v>132</v>
    <v>7</v>
    <v>0</v>
    <v>Image of Lalmohan Upazila</v>
  </rv>
  <rv s="1">
    <fb>22.321100000000001</fb>
    <v>9</v>
  </rv>
  <rv s="4">
    <v>https://www.bing.com/search?q=lalmohan+upazila+bangladesh&amp;form=skydnc</v>
    <v>Learn more on Bing</v>
  </rv>
  <rv s="1">
    <fb>90.747200000000007</fb>
    <v>9</v>
  </rv>
  <rv s="1">
    <fb>283889</fb>
    <v>8</v>
  </rv>
  <rv s="7">
    <v>#VALUE!</v>
    <v>en-GB</v>
    <v>b018b95c-13c6-2d5a-7ee2-c59a7dc60e12</v>
    <v>536870912</v>
    <v>1</v>
    <v>133</v>
    <v>21</v>
    <v>Lalmohan Upazila</v>
    <v>4</v>
    <v>5</v>
    <v>Map</v>
    <v>6</v>
    <v>7</v>
    <v>90</v>
    <v>205</v>
    <v>337</v>
    <v>4</v>
    <v>Lalmohan is an upazila of Bhola District in the Division of Barisal, Bangladesh.</v>
    <v>338</v>
    <v>339</v>
    <v>340</v>
    <v>341</v>
    <v>Lalmohan Upazila</v>
    <v>342</v>
    <v>Lalmohan Upazila</v>
    <v>mdp/vdpid/7854316637908893697</v>
  </rv>
  <rv s="0">
    <v>536870912</v>
    <v>Uttar Pradesh</v>
    <v>f624b656-1585-9836-7a98-128016c67d52</v>
    <v>en-GB</v>
    <v>Map</v>
  </rv>
  <rv s="1">
    <fb>243290</fb>
    <v>8</v>
  </rv>
  <rv s="0">
    <v>536870912</v>
    <v>Lucknow</v>
    <v>dc71be1b-423d-5d51-7301-4846995e4f20</v>
    <v>en-GB</v>
    <v>Map</v>
  </rv>
  <rv s="2">
    <v>39</v>
    <v>6</v>
    <v>134</v>
    <v>7</v>
    <v>0</v>
    <v>Image of Uttar Pradesh</v>
  </rv>
  <rv s="0">
    <v>805306368</v>
    <v>Anandiben Patel (Governor)</v>
    <v>63ee5986-b3a6-cb8d-a58d-a99ac8d0558f</v>
    <v>en-GB</v>
    <v>Generic</v>
  </rv>
  <rv s="0">
    <v>805306368</v>
    <v>Yogi Adityanath (Chief minister)</v>
    <v>1b1e0f9b-71be-1556-e185-80311b755c93</v>
    <v>en-GB</v>
    <v>Generic</v>
  </rv>
  <rv s="0">
    <v>805306368</v>
    <v>Keshav Prasad Maurya (Chief minister)</v>
    <v>1d02db5e-8cf3-3d58-beba-2ed6f07c4418</v>
    <v>en-GB</v>
    <v>Generic</v>
  </rv>
  <rv s="3">
    <v>10</v>
  </rv>
  <rv s="4">
    <v>https://www.bing.com/search?q=uttar+pradesh&amp;form=skydnc</v>
    <v>Learn more on Bing</v>
  </rv>
  <rv s="3">
    <v>11</v>
  </rv>
  <rv s="1">
    <fb>199581477</fb>
    <v>8</v>
  </rv>
  <rv s="15">
    <v>#VALUE!</v>
    <v>en-GB</v>
    <v>f624b656-1585-9836-7a98-128016c67d52</v>
    <v>536870912</v>
    <v>1</v>
    <v>136</v>
    <v>137</v>
    <v>Uttar Pradesh</v>
    <v>4</v>
    <v>5</v>
    <v>Map</v>
    <v>6</v>
    <v>7</v>
    <v>IN-UP</v>
    <v>345</v>
    <v>346</v>
    <v>44</v>
    <v>Uttar Pradesh is a state in northern India. With over 241 million inhabitants, it is the most populated state in India as well as the most populous country subdivision in the world – more populous than all but three other countries outside of ...</v>
    <v>347</v>
    <v>346</v>
    <v>351</v>
    <v>352</v>
    <v>Uttar Pradesh</v>
    <v>353</v>
    <v>354</v>
    <v>Uttar Pradesh</v>
    <v>mdp/vdpid/34648</v>
  </rv>
  <rv s="0">
    <v>536870912</v>
    <v>Lalmonirhat District</v>
    <v>f3b77f02-2f14-b55f-e499-fe09af81d753</v>
    <v>en-GB</v>
    <v>Map</v>
  </rv>
  <rv s="1">
    <fb>1247.3710000000001</fb>
    <v>8</v>
  </rv>
  <rv s="2">
    <v>40</v>
    <v>6</v>
    <v>139</v>
    <v>7</v>
    <v>0</v>
    <v>Image of Lalmonirhat District</v>
  </rv>
  <rv s="0">
    <v>536870912</v>
    <v>Lalmonirhat Sadar Upazila</v>
    <v>ff467202-6c9b-5904-689a-f09116f471be</v>
    <v>en-GB</v>
    <v>Map</v>
  </rv>
  <rv s="4">
    <v>https://www.bing.com/search?q=lalmonirhat+district+bangladesh&amp;form=skydnc</v>
    <v>Learn more on Bing</v>
  </rv>
  <rv s="1">
    <fb>1256099</fb>
    <v>8</v>
  </rv>
  <rv s="6">
    <v>#VALUE!</v>
    <v>en-GB</v>
    <v>f3b77f02-2f14-b55f-e499-fe09af81d753</v>
    <v>536870912</v>
    <v>1</v>
    <v>140</v>
    <v>13</v>
    <v>Lalmonirhat District</v>
    <v>4</v>
    <v>5</v>
    <v>Map</v>
    <v>6</v>
    <v>7</v>
    <v>83</v>
    <v>357</v>
    <v>4</v>
    <v>Lalmonirhat is a district, situated at the northern border of Bangladesh. It is a part of the Rangpur Division. Lalmonirhat mahakuma was established as a district on 1 February 1984. It lies north of Kochbihar and Jalpaiguri of West Bengal, ...</v>
    <v>358</v>
    <v>359</v>
    <v>360</v>
    <v>Lalmonirhat District</v>
    <v>361</v>
    <v>Lalmonirhat District</v>
    <v>mdp/vdpid/-7954627114</v>
  </rv>
  <rv s="0">
    <v>536870912</v>
    <v>Feni District</v>
    <v>14db9ffe-4f02-8596-e275-8e38085dbcef</v>
    <v>en-GB</v>
    <v>Map</v>
  </rv>
  <rv s="1">
    <fb>928.34</fb>
    <v>8</v>
  </rv>
  <rv s="2">
    <v>41</v>
    <v>6</v>
    <v>141</v>
    <v>7</v>
    <v>0</v>
    <v>Image of Feni District</v>
  </rv>
  <rv s="0">
    <v>536870912</v>
    <v>Sonagazi Upazila</v>
    <v>cfb6f51c-92cb-51ea-6ada-69ce42f894b0</v>
    <v>en-GB</v>
    <v>Map</v>
  </rv>
  <rv s="4">
    <v>https://www.bing.com/search?q=feni+district+bangladesh&amp;form=skydnc</v>
    <v>Learn more on Bing</v>
  </rv>
  <rv s="1">
    <fb>1437371</fb>
    <v>8</v>
  </rv>
  <rv s="6">
    <v>#VALUE!</v>
    <v>en-GB</v>
    <v>14db9ffe-4f02-8596-e275-8e38085dbcef</v>
    <v>536870912</v>
    <v>1</v>
    <v>143</v>
    <v>13</v>
    <v>Feni District</v>
    <v>4</v>
    <v>5</v>
    <v>Map</v>
    <v>6</v>
    <v>7</v>
    <v>14</v>
    <v>364</v>
    <v>4</v>
    <v>Feni is a district situated in the southeast of Bangladesh. Historically, it was part of the larger regions of Noakhali, Comilla, Chittagong, and Tripura, and separated from Pakistan's control on December 6, 1971. As of 2022, the estimated ...</v>
    <v>365</v>
    <v>366</v>
    <v>367</v>
    <v>Feni District</v>
    <v>368</v>
    <v>Feni District</v>
    <v>mdp/vdpid/-7954627104</v>
  </rv>
  <rv s="0">
    <v>536870912</v>
    <v>Kalia Upazila</v>
    <v>a28481d9-6cf7-ffe2-a87b-8a979138ef63</v>
    <v>en-GB</v>
    <v>Map</v>
  </rv>
  <rv s="0">
    <v>536870912</v>
    <v>Narail District</v>
    <v>742fdd7b-fb35-5433-615a-69b4003d73cb</v>
    <v>en-GB</v>
    <v>Map</v>
  </rv>
  <rv s="1">
    <fb>301.32</fb>
    <v>8</v>
  </rv>
  <rv s="2">
    <v>42</v>
    <v>6</v>
    <v>144</v>
    <v>7</v>
    <v>0</v>
    <v>Image of Kalia Upazila</v>
  </rv>
  <rv s="1">
    <fb>23.033300000000001</fb>
    <v>9</v>
  </rv>
  <rv s="4">
    <v>https://www.bing.com/search?q=kalia+upazila+bangladesh&amp;form=skydnc</v>
    <v>Learn more on Bing</v>
  </rv>
  <rv s="1">
    <fb>89.616699999999994</fb>
    <v>9</v>
  </rv>
  <rv s="1">
    <fb>220202</fb>
    <v>8</v>
  </rv>
  <rv s="7">
    <v>#VALUE!</v>
    <v>en-GB</v>
    <v>a28481d9-6cf7-ffe2-a87b-8a979138ef63</v>
    <v>536870912</v>
    <v>1</v>
    <v>146</v>
    <v>21</v>
    <v>Kalia Upazila</v>
    <v>4</v>
    <v>5</v>
    <v>Map</v>
    <v>6</v>
    <v>7</v>
    <v>100</v>
    <v>371</v>
    <v>372</v>
    <v>4</v>
    <v>Kalia is an upazila of Narail District in the Division of Khulna, Bangladesh. Kalia Thana was established in 1866 and was converted into an upazila in 1984. It is named after its administrative center, the town of Kalia.</v>
    <v>373</v>
    <v>374</v>
    <v>375</v>
    <v>376</v>
    <v>Kalia Upazila</v>
    <v>377</v>
    <v>Kalia Upazila</v>
    <v>mdp/vdpid/7421901387216191489</v>
  </rv>
  <rv s="1">
    <fb>990.23</fb>
    <v>8</v>
  </rv>
  <rv s="2">
    <v>43</v>
    <v>6</v>
    <v>147</v>
    <v>7</v>
    <v>0</v>
    <v>Image of Narail District</v>
  </rv>
  <rv s="0">
    <v>536870912</v>
    <v>Narail Sadar Upazila</v>
    <v>5de15861-e4a1-a219-51cd-c944e2f9677b</v>
    <v>en-GB</v>
    <v>Map</v>
  </rv>
  <rv s="4">
    <v>https://www.bing.com/search?q=narail+district+bangladesh&amp;form=skydnc</v>
    <v>Learn more on Bing</v>
  </rv>
  <rv s="1">
    <fb>721668</fb>
    <v>8</v>
  </rv>
  <rv s="6">
    <v>#VALUE!</v>
    <v>en-GB</v>
    <v>742fdd7b-fb35-5433-615a-69b4003d73cb</v>
    <v>536870912</v>
    <v>1</v>
    <v>149</v>
    <v>13</v>
    <v>Narail District</v>
    <v>4</v>
    <v>5</v>
    <v>Map</v>
    <v>6</v>
    <v>7</v>
    <v>100</v>
    <v>379</v>
    <v>4</v>
    <v>Narail is a district in south-western Bangladesh. It is a part of Khulna Division.</v>
    <v>380</v>
    <v>381</v>
    <v>382</v>
    <v>Narail District</v>
    <v>383</v>
    <v>Narail District</v>
    <v>mdp/vdpid/-7954627115</v>
  </rv>
  <rv s="0">
    <v>536870912</v>
    <v>Mymensingh</v>
    <v>58c8ab25-fc62-1352-d353-9dc1f5c8c5ca</v>
    <v>en-GB</v>
    <v>Map</v>
  </rv>
  <rv s="0">
    <v>536870912</v>
    <v>Mymensingh District</v>
    <v>590a3470-a886-d415-3ad7-3bccd844cdd9</v>
    <v>en-GB</v>
    <v>Map</v>
  </rv>
  <rv s="1">
    <fb>91.314999999999998</fb>
    <v>8</v>
  </rv>
  <rv s="2">
    <v>44</v>
    <v>6</v>
    <v>150</v>
    <v>7</v>
    <v>0</v>
    <v>Image of Mymensingh</v>
  </rv>
  <rv s="1">
    <fb>24.75</fb>
    <v>9</v>
  </rv>
  <rv s="0">
    <v>805306368</v>
    <v>Ekramul Haque Titu (Mayor)</v>
    <v>31b50de9-0a66-0837-f55f-aff7e1c4b913</v>
    <v>en-GB</v>
    <v>Generic</v>
  </rv>
  <rv s="3">
    <v>12</v>
  </rv>
  <rv s="4">
    <v>https://www.bing.com/search?q=mymensingh+bangladesh&amp;form=skydnc</v>
    <v>Learn more on Bing</v>
  </rv>
  <rv s="1">
    <fb>90.4166666666667</fb>
    <v>9</v>
  </rv>
  <rv s="1">
    <fb>258040</fb>
    <v>8</v>
  </rv>
  <rv s="5">
    <v>#VALUE!</v>
    <v>en-GB</v>
    <v>58c8ab25-fc62-1352-d353-9dc1f5c8c5ca</v>
    <v>536870912</v>
    <v>1</v>
    <v>151</v>
    <v>2</v>
    <v>Mymensingh</v>
    <v>4</v>
    <v>5</v>
    <v>Map</v>
    <v>6</v>
    <v>7</v>
    <v>221</v>
    <v>386</v>
    <v>387</v>
    <v>4</v>
    <v>Mymensingh is a metropolitan city and capital of Mymensingh Division, Bangladesh. Located on the bank of Brahmaputra River, about 120 km north of the national capital Dhaka, it is a major financial center and educational hub of north-central ...</v>
    <v>388</v>
    <v>389</v>
    <v>391</v>
    <v>392</v>
    <v>393</v>
    <v>Mymensingh</v>
    <v>394</v>
    <v>Mymensingh</v>
    <v>mdp/vdpid/7805894871771774977</v>
  </rv>
  <rv s="0">
    <v>536870912</v>
    <v>Mirzapur, Ishwarganj, Mymensingh</v>
    <v>a2efdfaf-5275-c759-5b4e-89d263298cf0</v>
    <v>en-GB</v>
    <v>Map</v>
  </rv>
  <rv s="1">
    <fb>2.21</fb>
    <v>8</v>
  </rv>
  <rv s="2">
    <v>45</v>
    <v>6</v>
    <v>152</v>
    <v>7</v>
    <v>0</v>
    <v>Image of Mirzapur, Ishwarganj, Mymensingh</v>
  </rv>
  <rv s="1">
    <fb>24.66000833</fb>
    <v>9</v>
  </rv>
  <rv s="4">
    <v>https://www.bing.com/search?q=mirzapur%2c+ishwarganj%2c+mymensingh&amp;form=skydnc</v>
    <v>Learn more on Bing</v>
  </rv>
  <rv s="1">
    <fb>90.521941670000004</fb>
    <v>9</v>
  </rv>
  <rv s="1">
    <fb>1387</fb>
    <v>8</v>
  </rv>
  <rv s="16">
    <v>#VALUE!</v>
    <v>en-GB</v>
    <v>a2efdfaf-5275-c759-5b4e-89d263298cf0</v>
    <v>536870912</v>
    <v>1</v>
    <v>153</v>
    <v>154</v>
    <v>Mirzapur, Ishwarganj, Mymensingh</v>
    <v>4</v>
    <v>5</v>
    <v>Map</v>
    <v>6</v>
    <v>155</v>
    <v>221</v>
    <v>386</v>
    <v>397</v>
    <v>4</v>
    <v>Mirzapur is a village in Ishwarganj Upazila of Mymensingh District in the Division of Mymensingh, Bangladesh. Agriculture constitutes 87.52% of Mirzapur's economy. The rest is divided into "non-agriculture", 3.38%; business, 2.22%; services, ...</v>
    <v>398</v>
    <v>399</v>
    <v>400</v>
    <v>401</v>
    <v>Mirzapur, Ishwarganj, Mymensingh</v>
    <v>402</v>
    <v>120</v>
    <v>Mirzapur, Ishwarganj, Mymensingh</v>
    <v>mdp/vdpid/7805918272867532801</v>
  </rv>
  <rv s="0">
    <v>536870912</v>
    <v>Ramganj Upazila</v>
    <v>695c63c6-d118-e87b-8b7e-553d7c13eaae</v>
    <v>en-GB</v>
    <v>Map</v>
  </rv>
  <rv s="0">
    <v>536870912</v>
    <v>Lakshmipur District</v>
    <v>23f7ece1-6452-7ca1-9396-549ccee6ba18</v>
    <v>en-GB</v>
    <v>Map</v>
  </rv>
  <rv s="1">
    <fb>169.31</fb>
    <v>8</v>
  </rv>
  <rv s="2">
    <v>46</v>
    <v>6</v>
    <v>156</v>
    <v>7</v>
    <v>0</v>
    <v>Image of Ramganj Upazila</v>
  </rv>
  <rv s="1">
    <fb>23.105</fb>
    <v>9</v>
  </rv>
  <rv s="4">
    <v>https://www.bing.com/search?q=ramganj+upazila+bangladesh&amp;form=skydnc</v>
    <v>Learn more on Bing</v>
  </rv>
  <rv s="1">
    <fb>90.875</fb>
    <v>9</v>
  </rv>
  <rv s="1">
    <fb>342027</fb>
    <v>8</v>
  </rv>
  <rv s="7">
    <v>#VALUE!</v>
    <v>en-GB</v>
    <v>695c63c6-d118-e87b-8b7e-553d7c13eaae</v>
    <v>536870912</v>
    <v>1</v>
    <v>158</v>
    <v>21</v>
    <v>Ramganj Upazila</v>
    <v>4</v>
    <v>5</v>
    <v>Map</v>
    <v>6</v>
    <v>7</v>
    <v>14</v>
    <v>405</v>
    <v>406</v>
    <v>4</v>
    <v>Ramganj is an upazila of Lakshmipur District in the Division of Chittagong, Bangladesh. The seat lies at Ramganj town, which is 121 kilometres by road southeast of Dhaka.</v>
    <v>407</v>
    <v>408</v>
    <v>409</v>
    <v>410</v>
    <v>Ramganj Upazila</v>
    <v>411</v>
    <v>Ramganj Upazila</v>
    <v>mdp/vdpid/7806253828528930817</v>
  </rv>
  <rv s="0">
    <v>536870912</v>
    <v>Panchagarh District</v>
    <v>de1857b8-9c24-a273-c6b2-1db5408e4fc0</v>
    <v>en-GB</v>
    <v>Map</v>
  </rv>
  <rv s="1">
    <fb>1404.62</fb>
    <v>8</v>
  </rv>
  <rv s="2">
    <v>47</v>
    <v>6</v>
    <v>159</v>
    <v>7</v>
    <v>0</v>
    <v>Image of Panchagarh District</v>
  </rv>
  <rv s="0">
    <v>536870912</v>
    <v>Panchagarh Sadar Upazila</v>
    <v>ecdacbd2-e7a8-bd81-224f-8c5c20087e40</v>
    <v>en-GB</v>
    <v>Map</v>
  </rv>
  <rv s="4">
    <v>https://www.bing.com/search?q=panchagarh+district+bangladesh&amp;form=skydnc</v>
    <v>Learn more on Bing</v>
  </rv>
  <rv s="1">
    <fb>987644</fb>
    <v>8</v>
  </rv>
  <rv s="6">
    <v>#VALUE!</v>
    <v>en-GB</v>
    <v>de1857b8-9c24-a273-c6b2-1db5408e4fc0</v>
    <v>536870912</v>
    <v>1</v>
    <v>161</v>
    <v>13</v>
    <v>Panchagarh District</v>
    <v>4</v>
    <v>5</v>
    <v>Map</v>
    <v>6</v>
    <v>7</v>
    <v>83</v>
    <v>414</v>
    <v>4</v>
    <v>Panchagarh is a district of the Rangpur division in Northern Bangladesh. Panchagarh is the northernmost district of Bangladesh. It lies between 26º00' and 26º38' north latitudes and between 88º19' and 88º49' east longitudes. It was established ...</v>
    <v>415</v>
    <v>416</v>
    <v>417</v>
    <v>Panchagarh District</v>
    <v>418</v>
    <v>Panchagarh District</v>
    <v>mdp/vdpid/-7954627140</v>
  </rv>
  <rv s="0">
    <v>536870912</v>
    <v>Parbatipur Upazila</v>
    <v>11adf0da-5561-ac86-e0bd-702aab2e3ab7</v>
    <v>en-GB</v>
    <v>Map</v>
  </rv>
  <rv s="0">
    <v>536870912</v>
    <v>Dinajpur District</v>
    <v>1634f99a-2f1b-2eea-506c-334257b98e59</v>
    <v>en-GB</v>
    <v>Map</v>
  </rv>
  <rv s="1">
    <fb>395.1</fb>
    <v>8</v>
  </rv>
  <rv s="2">
    <v>48</v>
    <v>6</v>
    <v>162</v>
    <v>7</v>
    <v>0</v>
    <v>Image of Parbatipur Upazila</v>
  </rv>
  <rv s="1">
    <fb>25.653300000000002</fb>
    <v>9</v>
  </rv>
  <rv s="4">
    <v>https://www.bing.com/search?q=parbatipur+upazila&amp;form=skydnc</v>
    <v>Learn more on Bing</v>
  </rv>
  <rv s="1">
    <fb>88.915499999999994</fb>
    <v>9</v>
  </rv>
  <rv s="1">
    <fb>270904</fb>
    <v>8</v>
  </rv>
  <rv s="7">
    <v>#VALUE!</v>
    <v>en-GB</v>
    <v>11adf0da-5561-ac86-e0bd-702aab2e3ab7</v>
    <v>536870912</v>
    <v>1</v>
    <v>164</v>
    <v>21</v>
    <v>Parbatipur Upazila</v>
    <v>4</v>
    <v>5</v>
    <v>Map</v>
    <v>6</v>
    <v>22</v>
    <v>83</v>
    <v>421</v>
    <v>422</v>
    <v>4</v>
    <v>Parbatipur is an upazila of the Dinajpur District in northern Bangladesh, part of the Rangpur Division. It is home to the only mine in Bangladesh, the Barapukuria Coal Mine.</v>
    <v>423</v>
    <v>424</v>
    <v>425</v>
    <v>426</v>
    <v>Parbatipur Upazila</v>
    <v>427</v>
    <v>Parbatipur Upazila</v>
    <v>mdp/vdpid/7420756416882802689</v>
  </rv>
  <rv s="0">
    <v>536870912</v>
    <v>Habiganj District</v>
    <v>cc82c0ab-facd-0d86-4108-a7b925230072</v>
    <v>en-GB</v>
    <v>Map</v>
  </rv>
  <rv s="0">
    <v>536870912</v>
    <v>Sylhet Division</v>
    <v>4a31f1b4-b678-5cbd-607c-39d79576b18d</v>
    <v>en-GB</v>
    <v>Map</v>
  </rv>
  <rv s="1">
    <fb>2636.59171388097</fb>
    <v>8</v>
  </rv>
  <rv s="2">
    <v>49</v>
    <v>6</v>
    <v>165</v>
    <v>7</v>
    <v>0</v>
    <v>Image of Habiganj District</v>
  </rv>
  <rv s="0">
    <v>536870912</v>
    <v>Madhabpur Upazila</v>
    <v>e9ec416b-5e62-52b5-5564-91227a3c363d</v>
    <v>en-GB</v>
    <v>Map</v>
  </rv>
  <rv s="4">
    <v>https://www.bing.com/search?q=habiganj+district&amp;form=skydnc</v>
    <v>Learn more on Bing</v>
  </rv>
  <rv s="1">
    <fb>2089001</fb>
    <v>8</v>
  </rv>
  <rv s="6">
    <v>#VALUE!</v>
    <v>en-GB</v>
    <v>cc82c0ab-facd-0d86-4108-a7b925230072</v>
    <v>536870912</v>
    <v>1</v>
    <v>166</v>
    <v>13</v>
    <v>Habiganj District</v>
    <v>4</v>
    <v>5</v>
    <v>Map</v>
    <v>6</v>
    <v>7</v>
    <v>430</v>
    <v>431</v>
    <v>4</v>
    <v>Habiganj, formerly known as Habibganj, is a district in north-eastern Bangladesh, located in the Sylhet Division. It was established as a district in 1984 as a successor to its subdivision status since 1867. It is named after its headquarters, ...</v>
    <v>432</v>
    <v>433</v>
    <v>434</v>
    <v>Habiganj District</v>
    <v>435</v>
    <v>Habiganj District</v>
    <v>mdp/vdpid/-7954627146</v>
  </rv>
  <rv s="0">
    <v>536870912</v>
    <v>Bhairab Upazila</v>
    <v>bd43f9e1-9f40-cd95-3e7c-fe255e0016ba</v>
    <v>en-GB</v>
    <v>Map</v>
  </rv>
  <rv s="1">
    <fb>139.32</fb>
    <v>8</v>
  </rv>
  <rv s="2">
    <v>50</v>
    <v>6</v>
    <v>167</v>
    <v>7</v>
    <v>0</v>
    <v>Image of Bhairab Upazila</v>
  </rv>
  <rv s="1">
    <fb>24.05</fb>
    <v>9</v>
  </rv>
  <rv s="0">
    <v>805306368</v>
    <v>Iftekhar Hossain Beno (Mayor)</v>
    <v>04a52102-8877-e692-fcdc-0eb9803f9b80</v>
    <v>en-GB</v>
    <v>Generic</v>
  </rv>
  <rv s="3">
    <v>13</v>
  </rv>
  <rv s="4">
    <v>https://www.bing.com/search?q=bhairab+upazila+bangladesh&amp;form=skydnc</v>
    <v>Learn more on Bing</v>
  </rv>
  <rv s="1">
    <fb>90.983333329999994</fb>
    <v>9</v>
  </rv>
  <rv s="1">
    <fb>298309</fb>
    <v>8</v>
  </rv>
  <rv s="5">
    <v>#VALUE!</v>
    <v>en-GB</v>
    <v>bd43f9e1-9f40-cd95-3e7c-fe255e0016ba</v>
    <v>536870912</v>
    <v>1</v>
    <v>169</v>
    <v>2</v>
    <v>Bhairab Upazila</v>
    <v>4</v>
    <v>5</v>
    <v>Map</v>
    <v>6</v>
    <v>7</v>
    <v>22</v>
    <v>251</v>
    <v>438</v>
    <v>4</v>
    <v>Bhairab is a upazila of Kishoreganj District in the Division of Dhaka, Bangladesh. Olukanda was another name of Bhairab. The city centre of this upazila is Bhairab Bazaar. About 118,992 people live in Bhairab municipality which makes this city ...</v>
    <v>439</v>
    <v>440</v>
    <v>442</v>
    <v>443</v>
    <v>444</v>
    <v>Bhairab Upazila</v>
    <v>445</v>
    <v>Bhairab Upazila</v>
    <v>mdp/vdpid/7805994642201116673</v>
  </rv>
  <rv s="0">
    <v>536870912</v>
    <v>Barahanuddin</v>
    <v>d4b468e6-41cc-aee7-44eb-8204c23e9bf3</v>
    <v>en-GB</v>
    <v>Map</v>
  </rv>
  <rv s="2">
    <v>51</v>
    <v>6</v>
    <v>170</v>
    <v>7</v>
    <v>0</v>
    <v>Image of Barahanuddin</v>
  </rv>
  <rv s="1">
    <fb>22.5</fb>
    <v>9</v>
  </rv>
  <rv s="4">
    <v>https://www.bing.com/search?q=barahanuddin+bangladesh&amp;form=skydnc</v>
    <v>Learn more on Bing</v>
  </rv>
  <rv s="1">
    <fb>90.716666666666995</fb>
    <v>9</v>
  </rv>
  <rv s="17">
    <v>#VALUE!</v>
    <v>en-GB</v>
    <v>d4b468e6-41cc-aee7-44eb-8204c23e9bf3</v>
    <v>536870912</v>
    <v>1</v>
    <v>171</v>
    <v>172</v>
    <v>Barahanuddin</v>
    <v>4</v>
    <v>5</v>
    <v>Map</v>
    <v>6</v>
    <v>90</v>
    <v>205</v>
    <v>4</v>
    <v>Barahanuddin is a village in Bhola District in the Barisal Division of southern-central Bangladesh.</v>
    <v>448</v>
    <v>449</v>
    <v>450</v>
    <v>451</v>
    <v>Barahanuddin</v>
    <v>Barahanuddin</v>
    <v>mdp/vdpid/7806274547736379393</v>
  </rv>
  <rv s="0">
    <v>536870912</v>
    <v>Gafargaon Upazila</v>
    <v>5feed791-ba18-a34b-980d-4918cbae9d73</v>
    <v>en-GB</v>
    <v>Map</v>
  </rv>
  <rv s="1">
    <fb>401.16</fb>
    <v>8</v>
  </rv>
  <rv s="2">
    <v>52</v>
    <v>6</v>
    <v>173</v>
    <v>7</v>
    <v>0</v>
    <v>Image of Gafargaon Upazila</v>
  </rv>
  <rv s="1">
    <fb>24.416699999999999</fb>
    <v>9</v>
  </rv>
  <rv s="4">
    <v>https://www.bing.com/search?q=gaffargaon+upazila+bangladesh&amp;form=skydnc</v>
    <v>Learn more on Bing</v>
  </rv>
  <rv s="1">
    <fb>90.55</fb>
    <v>9</v>
  </rv>
  <rv s="1">
    <fb>430746</fb>
    <v>8</v>
  </rv>
  <rv s="7">
    <v>#VALUE!</v>
    <v>en-GB</v>
    <v>5feed791-ba18-a34b-980d-4918cbae9d73</v>
    <v>536870912</v>
    <v>1</v>
    <v>175</v>
    <v>21</v>
    <v>Gafargaon Upazila</v>
    <v>4</v>
    <v>5</v>
    <v>Map</v>
    <v>6</v>
    <v>7</v>
    <v>221</v>
    <v>386</v>
    <v>454</v>
    <v>4</v>
    <v>Gafargaon is an upazila of Mymensingh District in the Division of Mymensingh, Bangladesh.</v>
    <v>455</v>
    <v>456</v>
    <v>457</v>
    <v>458</v>
    <v>Gafargaon Upazila</v>
    <v>459</v>
    <v>Gafargaon Upazila</v>
    <v>mdp/vdpid/7805949870304395265</v>
  </rv>
  <rv s="0">
    <v>536870912</v>
    <v>Sylhet</v>
    <v>04cb80ef-df1a-d8ec-8e8f-f551d3a61705</v>
    <v>en-GB</v>
    <v>Map</v>
  </rv>
  <rv s="0">
    <v>536870912</v>
    <v>Sylhet District</v>
    <v>f1c5ba22-da01-eec8-bd26-2cc585a799e1</v>
    <v>en-GB</v>
    <v>Map</v>
  </rv>
  <rv s="1">
    <fb>26.5</fb>
    <v>8</v>
  </rv>
  <rv s="2">
    <v>53</v>
    <v>6</v>
    <v>176</v>
    <v>7</v>
    <v>0</v>
    <v>Image of Sylhet</v>
  </rv>
  <rv s="1">
    <fb>24.9</fb>
    <v>9</v>
  </rv>
  <rv s="0">
    <v>805306368</v>
    <v>Anwaruzzaman Chowdhury (Mayor)</v>
    <v>a065947c-c063-7c55-7081-49e64c1fb256</v>
    <v>en-GB</v>
    <v>Generic</v>
  </rv>
  <rv s="3">
    <v>14</v>
  </rv>
  <rv s="4">
    <v>https://www.bing.com/search?q=sylhet&amp;form=skydnc</v>
    <v>Learn more on Bing</v>
  </rv>
  <rv s="1">
    <fb>91.866666666667001</fb>
    <v>9</v>
  </rv>
  <rv s="1">
    <fb>479837</fb>
    <v>8</v>
  </rv>
  <rv s="5">
    <v>#VALUE!</v>
    <v>en-GB</v>
    <v>04cb80ef-df1a-d8ec-8e8f-f551d3a61705</v>
    <v>536870912</v>
    <v>1</v>
    <v>177</v>
    <v>2</v>
    <v>Sylhet</v>
    <v>4</v>
    <v>5</v>
    <v>Map</v>
    <v>6</v>
    <v>7</v>
    <v>430</v>
    <v>462</v>
    <v>463</v>
    <v>4</v>
    <v>Sylhet, IPA: is a metropolitan city located in the northeastern region of Bangladesh. It is the administrative center of Sylhet Division. It is situated on the banks of the Surma River. The city has a population of approximately 700,000 people, ...</v>
    <v>464</v>
    <v>465</v>
    <v>467</v>
    <v>468</v>
    <v>469</v>
    <v>Sylhet</v>
    <v>470</v>
    <v>Sylhet</v>
    <v>mdp/vdpid/7806031404034162689</v>
  </rv>
  <rv s="0">
    <v>536870912</v>
    <v>Manikchhari Upazila</v>
    <v>e51e39ca-c331-371f-518c-255231851e3c</v>
    <v>en-GB</v>
    <v>Map</v>
  </rv>
  <rv s="0">
    <v>536870912</v>
    <v>Khagrachari District</v>
    <v>df50ab78-eb78-3bcf-148b-da5ba188fbbe</v>
    <v>en-GB</v>
    <v>Map</v>
  </rv>
  <rv s="1">
    <fb>168.35</fb>
    <v>8</v>
  </rv>
  <rv s="2">
    <v>54</v>
    <v>6</v>
    <v>178</v>
    <v>7</v>
    <v>0</v>
    <v>Image of Manikchhari Upazila</v>
  </rv>
  <rv s="1">
    <fb>22.834700000000002</fb>
    <v>9</v>
  </rv>
  <rv s="4">
    <v>https://www.bing.com/search?q=manikchhari+upazila&amp;form=skydnc</v>
    <v>Learn more on Bing</v>
  </rv>
  <rv s="1">
    <fb>91.836100000000002</fb>
    <v>9</v>
  </rv>
  <rv s="1">
    <fb>38479</fb>
    <v>8</v>
  </rv>
  <rv s="7">
    <v>#VALUE!</v>
    <v>en-GB</v>
    <v>e51e39ca-c331-371f-518c-255231851e3c</v>
    <v>536870912</v>
    <v>1</v>
    <v>180</v>
    <v>21</v>
    <v>Manikchhari Upazila</v>
    <v>4</v>
    <v>5</v>
    <v>Map</v>
    <v>6</v>
    <v>22</v>
    <v>14</v>
    <v>473</v>
    <v>474</v>
    <v>4</v>
    <v>Manikchari is an upazila of Khagrachari District in the Division of Chittagong, Bangladesh.</v>
    <v>475</v>
    <v>476</v>
    <v>477</v>
    <v>478</v>
    <v>Manikchhari Upazila</v>
    <v>479</v>
    <v>Manikchhari Upazila</v>
    <v>mdp/vdpid/7806371989404254209</v>
  </rv>
  <rv s="0">
    <v>536870912</v>
    <v>Kesabpur, India</v>
    <v>0220c376-24f7-d845-be4b-7e927c57f342</v>
    <v>en-GB</v>
    <v>Map</v>
  </rv>
  <rv s="0">
    <v>536870912</v>
    <v>Howrah Sadar subdivision</v>
    <v>f3a64a82-cead-9bf3-595a-d9fe7d216c6e</v>
    <v>en-GB</v>
    <v>Map</v>
  </rv>
  <rv s="0">
    <v>536870912</v>
    <v>Domjur community development block</v>
    <v>bc586784-7ebe-585f-82dc-1595c2c49ed2</v>
    <v>en-GB</v>
    <v>Map</v>
  </rv>
  <rv s="1">
    <fb>3</fb>
    <v>8</v>
  </rv>
  <rv s="2">
    <v>55</v>
    <v>6</v>
    <v>181</v>
    <v>7</v>
    <v>0</v>
    <v>Image of Kesabpur, India</v>
  </rv>
  <rv s="1">
    <fb>22.97</fb>
    <v>9</v>
  </rv>
  <rv s="4">
    <v>https://www.bing.com/search?q=kesabpur%2c+india+howrah+district+india&amp;form=skydnc</v>
    <v>Learn more on Bing</v>
  </rv>
  <rv s="1">
    <fb>88.26</fb>
    <v>9</v>
  </rv>
  <rv s="1">
    <fb>12073</fb>
    <v>8</v>
  </rv>
  <rv s="7">
    <v>#VALUE!</v>
    <v>en-GB</v>
    <v>0220c376-24f7-d845-be4b-7e927c57f342</v>
    <v>536870912</v>
    <v>1</v>
    <v>182</v>
    <v>21</v>
    <v>Kesabpur, India</v>
    <v>4</v>
    <v>5</v>
    <v>Map</v>
    <v>6</v>
    <v>7</v>
    <v>482</v>
    <v>483</v>
    <v>484</v>
    <v>44</v>
    <v>Kesabpur is a census town in Domjur CD Block of Howrah Sadar subdivision in Howrah district in the Indian state of West Bengal. It is a part of Kolkata Urban Agglomeration.</v>
    <v>485</v>
    <v>486</v>
    <v>487</v>
    <v>488</v>
    <v>Kesabpur, India</v>
    <v>489</v>
    <v>Kesabpur, India</v>
    <v>mdp/vdpid/7421769858859139073</v>
  </rv>
  <rv s="0">
    <v>536870912</v>
    <v>Faridpur District</v>
    <v>c2d0fcc0-92f1-7887-986e-0de3303cc402</v>
    <v>en-GB</v>
    <v>Map</v>
  </rv>
  <rv s="1">
    <fb>2072.7199999999998</fb>
    <v>8</v>
  </rv>
  <rv s="2">
    <v>56</v>
    <v>6</v>
    <v>184</v>
    <v>7</v>
    <v>0</v>
    <v>Image of Faridpur District</v>
  </rv>
  <rv s="0">
    <v>536870912</v>
    <v>Nagarkanda Upazila</v>
    <v>6bca958a-1440-8294-40b2-729f84c5dd6b</v>
    <v>en-GB</v>
    <v>Map</v>
  </rv>
  <rv s="4">
    <v>https://www.bing.com/search?q=faridpur+district+bangladesh&amp;form=skydnc</v>
    <v>Learn more on Bing</v>
  </rv>
  <rv s="1">
    <fb>1912969</fb>
    <v>8</v>
  </rv>
  <rv s="6">
    <v>#VALUE!</v>
    <v>en-GB</v>
    <v>c2d0fcc0-92f1-7887-986e-0de3303cc402</v>
    <v>536870912</v>
    <v>1</v>
    <v>185</v>
    <v>13</v>
    <v>Faridpur District</v>
    <v>4</v>
    <v>5</v>
    <v>Map</v>
    <v>6</v>
    <v>7</v>
    <v>22</v>
    <v>492</v>
    <v>4</v>
    <v>Faridpur District is a district in south-central Bangladesh. It is a part of the Dhaka Division. It is bounded by the Padma River to its northeast. The district was named after Farīd-ud-Dīn Masʿūd, a 13th-century Sufi saint. A separate district ...</v>
    <v>493</v>
    <v>494</v>
    <v>495</v>
    <v>Faridpur District</v>
    <v>496</v>
    <v>Faridpur District</v>
    <v>mdp/vdpid/-7954627106</v>
  </rv>
  <rv s="0">
    <v>536870912</v>
    <v>Sherpur District</v>
    <v>30952a95-37ab-b586-028f-45ae6b3dfd7d</v>
    <v>en-GB</v>
    <v>Map</v>
  </rv>
  <rv s="1">
    <fb>1364.67</fb>
    <v>8</v>
  </rv>
  <rv s="2">
    <v>57</v>
    <v>6</v>
    <v>187</v>
    <v>7</v>
    <v>0</v>
    <v>Image of Sherpur District</v>
  </rv>
  <rv s="0">
    <v>536870912</v>
    <v>Sherpur Sadar Upazila</v>
    <v>29e1a0c2-b73d-7fdc-9988-2685f80b4b89</v>
    <v>en-GB</v>
    <v>Map</v>
  </rv>
  <rv s="4">
    <v>https://www.bing.com/search?q=sherpur+district+bangladesh&amp;form=skydnc</v>
    <v>Learn more on Bing</v>
  </rv>
  <rv s="1">
    <fb>1358325</fb>
    <v>8</v>
  </rv>
  <rv s="6">
    <v>#VALUE!</v>
    <v>en-GB</v>
    <v>30952a95-37ab-b586-028f-45ae6b3dfd7d</v>
    <v>536870912</v>
    <v>1</v>
    <v>188</v>
    <v>13</v>
    <v>Sherpur District</v>
    <v>4</v>
    <v>5</v>
    <v>Map</v>
    <v>6</v>
    <v>7</v>
    <v>221</v>
    <v>499</v>
    <v>4</v>
    <v>Sherpur district is a district in Northern Bangladesh. It is a part of Mymensingh Division. Sherpur district was a sub-division of Jamalpur District before 1984. It was upgraded to a district on February 22, 1984. Sherpur City is located about ...</v>
    <v>500</v>
    <v>501</v>
    <v>502</v>
    <v>Sherpur District</v>
    <v>503</v>
    <v>Sherpur District</v>
    <v>mdp/vdpid/-7954627098</v>
  </rv>
  <rv s="0">
    <v>536870912</v>
    <v>Madaripur District</v>
    <v>265445d5-ba00-fb5c-8ae6-f66e720948d5</v>
    <v>en-GB</v>
    <v>Map</v>
  </rv>
  <rv s="1">
    <fb>1144.96</fb>
    <v>8</v>
  </rv>
  <rv s="2">
    <v>58</v>
    <v>6</v>
    <v>190</v>
    <v>7</v>
    <v>0</v>
    <v>Image of Madaripur District</v>
  </rv>
  <rv s="0">
    <v>536870912</v>
    <v>Madaripur Sadar Upazila</v>
    <v>f517ca40-bd83-ed89-177d-e9c238b229b5</v>
    <v>en-GB</v>
    <v>Map</v>
  </rv>
  <rv s="4">
    <v>https://www.bing.com/search?q=madaripur+district+bangladesh&amp;form=skydnc</v>
    <v>Learn more on Bing</v>
  </rv>
  <rv s="1">
    <fb>1165952</fb>
    <v>8</v>
  </rv>
  <rv s="6">
    <v>#VALUE!</v>
    <v>en-GB</v>
    <v>265445d5-ba00-fb5c-8ae6-f66e720948d5</v>
    <v>536870912</v>
    <v>1</v>
    <v>191</v>
    <v>13</v>
    <v>Madaripur District</v>
    <v>4</v>
    <v>5</v>
    <v>Map</v>
    <v>6</v>
    <v>7</v>
    <v>22</v>
    <v>506</v>
    <v>4</v>
    <v>Madaripur, being a part of the Dhaka Division, is a district in central Bangladesh.</v>
    <v>507</v>
    <v>508</v>
    <v>509</v>
    <v>Madaripur District</v>
    <v>510</v>
    <v>Madaripur District</v>
    <v>mdp/vdpid/-7954627145</v>
  </rv>
  <rv s="0">
    <v>536870912</v>
    <v>Fatikchhari Upazila</v>
    <v>a4de724d-c939-f072-432a-efd530ce2358</v>
    <v>en-GB</v>
    <v>Map</v>
  </rv>
  <rv s="1">
    <fb>607.30999999999995</fb>
    <v>8</v>
  </rv>
  <rv s="1">
    <fb>22.683950611111001</fb>
    <v>9</v>
  </rv>
  <rv s="4">
    <v>https://www.bing.com/search?q=fatikchhari+upazila&amp;form=skydnc</v>
    <v>Learn more on Bing</v>
  </rv>
  <rv s="1">
    <fb>91.789284194443994</fb>
    <v>9</v>
  </rv>
  <rv s="1">
    <fb>441863</fb>
    <v>8</v>
  </rv>
  <rv s="18">
    <v>#VALUE!</v>
    <v>en-GB</v>
    <v>a4de724d-c939-f072-432a-efd530ce2358</v>
    <v>536870912</v>
    <v>1</v>
    <v>194</v>
    <v>195</v>
    <v>Fatikchhari Upazila</v>
    <v>4</v>
    <v>196</v>
    <v>Map</v>
    <v>6</v>
    <v>7</v>
    <v>14</v>
    <v>169</v>
    <v>513</v>
    <v>4</v>
    <v>Fatikchari is an upazila of Chittagong District in Chittagong Division, Bangladesh.</v>
    <v>514</v>
    <v>515</v>
    <v>516</v>
    <v>Fatikchhari Upazila</v>
    <v>517</v>
    <v>Fatikchhari Upazila</v>
    <v>mdp/vdpid/7806389654218866689</v>
  </rv>
  <rv s="0">
    <v>536870912</v>
    <v>Barisal</v>
    <v>d9f80455-7c6b-9722-ffcc-125c1dd75f83</v>
    <v>en-GB</v>
    <v>Map</v>
  </rv>
  <rv s="1">
    <fb>16.37</fb>
    <v>8</v>
  </rv>
  <rv s="2">
    <v>59</v>
    <v>6</v>
    <v>198</v>
    <v>7</v>
    <v>0</v>
    <v>Image of Barisal</v>
  </rv>
  <rv s="1">
    <fb>22.7</fb>
    <v>9</v>
  </rv>
  <rv s="0">
    <v>805306368</v>
    <v>Abul Khair Abdullah (Mayor)</v>
    <v>5a753033-2349-4298-3d05-da5b893f06a1</v>
    <v>en-GB</v>
    <v>Generic</v>
  </rv>
  <rv s="3">
    <v>15</v>
  </rv>
  <rv s="4">
    <v>https://www.bing.com/search?q=barisal+bangladesh&amp;form=skydnc</v>
    <v>Learn more on Bing</v>
  </rv>
  <rv s="1">
    <fb>90.366666666667001</fb>
    <v>9</v>
  </rv>
  <rv s="1">
    <fb>328278</fb>
    <v>8</v>
  </rv>
  <rv s="11">
    <v>#VALUE!</v>
    <v>en-GB</v>
    <v>d9f80455-7c6b-9722-ffcc-125c1dd75f83</v>
    <v>536870912</v>
    <v>1</v>
    <v>199</v>
    <v>47</v>
    <v>Barisal</v>
    <v>4</v>
    <v>5</v>
    <v>Map</v>
    <v>6</v>
    <v>7</v>
    <v>90</v>
    <v>186</v>
    <v>520</v>
    <v>4</v>
    <v>Barisal, officially known as Barishal, is a major city that lies on the banks of the Kirtankhola river in south-central Bangladesh. It is the largest city and the administrative headquarter of both Barisal District and Barisal Division. It is ...</v>
    <v>521</v>
    <v>522</v>
    <v>524</v>
    <v>525</v>
    <v>526</v>
    <v>Barisal</v>
    <v>527</v>
    <v>120</v>
    <v>Barisal</v>
    <v>mdp/vdpid/7806240832763199489</v>
  </rv>
  <rv s="0">
    <v>536870912</v>
    <v>Baniachong Upazila</v>
    <v>eec236b6-b995-e184-49dc-ebbab9784bf8</v>
    <v>en-GB</v>
    <v>Map</v>
  </rv>
  <rv s="1">
    <fb>482.25</fb>
    <v>8</v>
  </rv>
  <rv s="2">
    <v>60</v>
    <v>6</v>
    <v>200</v>
    <v>7</v>
    <v>0</v>
    <v>Image of Baniachong Upazila</v>
  </rv>
  <rv s="1">
    <fb>24.541699999999999</fb>
    <v>9</v>
  </rv>
  <rv s="4">
    <v>https://www.bing.com/search?q=baniachong+upazila&amp;form=skydnc</v>
    <v>Learn more on Bing</v>
  </rv>
  <rv s="1">
    <fb>91.333299999999994</fb>
    <v>9</v>
  </rv>
  <rv s="1">
    <fb>332530</fb>
    <v>8</v>
  </rv>
  <rv s="7">
    <v>#VALUE!</v>
    <v>en-GB</v>
    <v>eec236b6-b995-e184-49dc-ebbab9784bf8</v>
    <v>536870912</v>
    <v>1</v>
    <v>201</v>
    <v>21</v>
    <v>Baniachong Upazila</v>
    <v>4</v>
    <v>5</v>
    <v>Map</v>
    <v>6</v>
    <v>7</v>
    <v>430</v>
    <v>429</v>
    <v>530</v>
    <v>4</v>
    <v>Baniachong is an upazila of Habiganj District in the Division of Sylhet, Bangladesh. Baniyachong is the biggest and most populous village in Asia.</v>
    <v>531</v>
    <v>532</v>
    <v>533</v>
    <v>534</v>
    <v>Baniachong Upazila</v>
    <v>535</v>
    <v>Baniachong Upazila</v>
    <v>mdp/vdpid/7805981522921521153</v>
  </rv>
  <rv s="0">
    <v>536870912</v>
    <v>Dhaka</v>
    <v>1052f933-5988-4433-c3d9-2f3435647afa</v>
    <v>en-GB</v>
    <v>Map</v>
  </rv>
  <rv s="1">
    <fb>368</fb>
    <v>8</v>
  </rv>
  <rv s="0">
    <v>536870912</v>
    <v>Dominion of Pakistan</v>
    <v>1e29b5dc-ab34-82bb-438f-f1fa97a89aa5</v>
    <v>en-GB</v>
    <v>Map</v>
  </rv>
  <rv s="2">
    <v>61</v>
    <v>6</v>
    <v>202</v>
    <v>7</v>
    <v>0</v>
    <v>Image of Dhaka</v>
  </rv>
  <rv s="1">
    <fb>23.7288888888889</fb>
    <v>9</v>
  </rv>
  <rv s="0">
    <v>805306368</v>
    <v>Sheikh Fazle Noor Taposh (Mayor)</v>
    <v>bdada678-44d2-1202-2e35-c1359a30ea58</v>
    <v>en-GB</v>
    <v>Generic</v>
  </rv>
  <rv s="3">
    <v>16</v>
  </rv>
  <rv s="4">
    <v>https://www.bing.com/search?q=dhaka&amp;form=skydnc</v>
    <v>Learn more on Bing</v>
  </rv>
  <rv s="1">
    <fb>90.394444444444403</fb>
    <v>9</v>
  </rv>
  <rv s="1">
    <fb>16800000</fb>
    <v>8</v>
  </rv>
  <rv s="5">
    <v>#VALUE!</v>
    <v>en-GB</v>
    <v>1052f933-5988-4433-c3d9-2f3435647afa</v>
    <v>536870912</v>
    <v>1</v>
    <v>203</v>
    <v>2</v>
    <v>Dhaka</v>
    <v>4</v>
    <v>5</v>
    <v>Map</v>
    <v>6</v>
    <v>110</v>
    <v>22</v>
    <v>22</v>
    <v>538</v>
    <v>539</v>
    <v>Dhaka, formerly known as Dacca, is the capital and largest city of Bangladesh. It is the ninth-largest and seventh-most densely populated city in the world. Dhaka is a megacity, and has a population of 10.2 million residents as of 2022, and a ...</v>
    <v>540</v>
    <v>541</v>
    <v>543</v>
    <v>544</v>
    <v>545</v>
    <v>Dhaka</v>
    <v>546</v>
    <v>Dhaka</v>
    <v>mdp/vdpid/7806159576780242945</v>
  </rv>
  <rv s="0">
    <v>536870912</v>
    <v>Joypurhat District</v>
    <v>6fdf8749-6ad3-275d-9844-671bd92f0e57</v>
    <v>en-GB</v>
    <v>Map</v>
  </rv>
  <rv s="1">
    <fb>965.4</fb>
    <v>8</v>
  </rv>
  <rv s="2">
    <v>62</v>
    <v>6</v>
    <v>205</v>
    <v>7</v>
    <v>0</v>
    <v>Image of Joypurhat District</v>
  </rv>
  <rv s="0">
    <v>536870912</v>
    <v>Joypurhat Sadar Upazila</v>
    <v>b6828fa1-dd8b-1994-a0d8-c964a36fddb2</v>
    <v>en-GB</v>
    <v>Map</v>
  </rv>
  <rv s="4">
    <v>https://www.bing.com/search?q=joypurhat+district+bangladesh&amp;form=skydnc</v>
    <v>Learn more on Bing</v>
  </rv>
  <rv s="1">
    <fb>913768</fb>
    <v>8</v>
  </rv>
  <rv s="6">
    <v>#VALUE!</v>
    <v>en-GB</v>
    <v>6fdf8749-6ad3-275d-9844-671bd92f0e57</v>
    <v>536870912</v>
    <v>1</v>
    <v>206</v>
    <v>13</v>
    <v>Joypurhat District</v>
    <v>4</v>
    <v>5</v>
    <v>Map</v>
    <v>6</v>
    <v>7</v>
    <v>130</v>
    <v>549</v>
    <v>4</v>
    <v>Joypurhat is a district in the northern part of Bangladesh, part of the Rajshahi Division.</v>
    <v>550</v>
    <v>551</v>
    <v>552</v>
    <v>Joypurhat District</v>
    <v>553</v>
    <v>Joypurhat District</v>
    <v>mdp/vdpid/-7954627127</v>
  </rv>
  <rv s="0">
    <v>536870912</v>
    <v>Nowlamary</v>
    <v>19874c9f-06b7-7880-da8a-6f70d37cbe87</v>
    <v>en-GB</v>
    <v>Map</v>
  </rv>
  <rv s="1">
    <fb>23.673500000000001</fb>
    <v>9</v>
  </rv>
  <rv s="4">
    <v>https://www.bing.com/search?q=nowlamary&amp;form=skydnc</v>
    <v>Learn more on Bing</v>
  </rv>
  <rv s="1">
    <fb>88.988900000000001</fb>
    <v>9</v>
  </rv>
  <rv s="19">
    <v>#VALUE!</v>
    <v>en-GB</v>
    <v>19874c9f-06b7-7880-da8a-6f70d37cbe87</v>
    <v>536870912</v>
    <v>1</v>
    <v>208</v>
    <v>209</v>
    <v>Nowlamary</v>
    <v>4</v>
    <v>196</v>
    <v>Map</v>
    <v>6</v>
    <v>4</v>
    <v>Naolamari is a village in Khaskarara Union, Alamdanga Upazila, Chuadanga District, Bangladesh. The village has a population of 1,432 people.</v>
    <v>556</v>
    <v>557</v>
    <v>558</v>
    <v>Nowlamary</v>
    <v>Nowlamary</v>
    <v>mdp/vdpid/7421804978437619713</v>
  </rv>
  <rv s="0">
    <v>536870912</v>
    <v>Badarganj Upazila</v>
    <v>c528705e-3185-4b0b-47b6-600b101c735b</v>
    <v>en-GB</v>
    <v>Map</v>
  </rv>
  <rv s="0">
    <v>536870912</v>
    <v>Rangpur District</v>
    <v>4638bb22-e3c1-75ab-82c3-bad738d009cf</v>
    <v>en-GB</v>
    <v>Map</v>
  </rv>
  <rv s="1">
    <fb>301.29000000000002</fb>
    <v>8</v>
  </rv>
  <rv s="2">
    <v>63</v>
    <v>6</v>
    <v>210</v>
    <v>7</v>
    <v>0</v>
    <v>Image of Badarganj Upazila</v>
  </rv>
  <rv s="1">
    <fb>25.666666670000001</fb>
    <v>9</v>
  </rv>
  <rv s="4">
    <v>https://www.bing.com/search?q=badarganj+upazila+bangladesh&amp;form=skydnc</v>
    <v>Learn more on Bing</v>
  </rv>
  <rv s="1">
    <fb>89.05</fb>
    <v>9</v>
  </rv>
  <rv s="1">
    <fb>287699</fb>
    <v>8</v>
  </rv>
  <rv s="7">
    <v>#VALUE!</v>
    <v>en-GB</v>
    <v>c528705e-3185-4b0b-47b6-600b101c735b</v>
    <v>536870912</v>
    <v>1</v>
    <v>212</v>
    <v>21</v>
    <v>Badarganj Upazila</v>
    <v>4</v>
    <v>5</v>
    <v>Map</v>
    <v>6</v>
    <v>7</v>
    <v>83</v>
    <v>561</v>
    <v>562</v>
    <v>4</v>
    <v>Badarganj is an Upazila of Rangpur District in the Division of Rangpur, Bangladesh.</v>
    <v>563</v>
    <v>564</v>
    <v>565</v>
    <v>566</v>
    <v>Badarganj Upazila</v>
    <v>567</v>
    <v>Badarganj Upazila</v>
    <v>mdp/vdpid/7420762874567458817</v>
  </rv>
  <rv s="1">
    <fb>2307.7800000000002</fb>
    <v>8</v>
  </rv>
  <rv s="2">
    <v>64</v>
    <v>6</v>
    <v>214</v>
    <v>7</v>
    <v>0</v>
    <v>Image of Rangpur District</v>
  </rv>
  <rv s="4">
    <v>https://www.bing.com/search?q=rangpur+district+bangladesh&amp;form=skydnc</v>
    <v>Learn more on Bing</v>
  </rv>
  <rv s="1">
    <fb>2881086</fb>
    <v>8</v>
  </rv>
  <rv s="10">
    <v>#VALUE!</v>
    <v>en-GB</v>
    <v>4638bb22-e3c1-75ab-82c3-bad738d009cf</v>
    <v>536870912</v>
    <v>1</v>
    <v>215</v>
    <v>39</v>
    <v>Rangpur District</v>
    <v>4</v>
    <v>5</v>
    <v>Map</v>
    <v>6</v>
    <v>7</v>
    <v>83</v>
    <v>569</v>
    <v>4</v>
    <v>Rangpur is a district in Northern Bangladesh. It is a part of the Rangpur Division.</v>
    <v>570</v>
    <v>571</v>
    <v>Rangpur District</v>
    <v>572</v>
    <v>Rangpur District</v>
    <v>mdp/vdpid/-7954627112</v>
  </rv>
  <rv s="0">
    <v>536870912</v>
    <v>Chhagalnaiya Upazila</v>
    <v>729c835d-fb3a-5206-1aab-4981345b70a2</v>
    <v>en-GB</v>
    <v>Map</v>
  </rv>
  <rv s="1">
    <fb>133.49</fb>
    <v>8</v>
  </rv>
  <rv s="2">
    <v>65</v>
    <v>6</v>
    <v>216</v>
    <v>7</v>
    <v>0</v>
    <v>Image of Chhagalnaiya Upazila</v>
  </rv>
  <rv s="1">
    <fb>23.036100000000001</fb>
    <v>9</v>
  </rv>
  <rv s="4">
    <v>https://www.bing.com/search?q=chhagalnaiya+upazila+bangladesh&amp;form=skydnc</v>
    <v>Learn more on Bing</v>
  </rv>
  <rv s="1">
    <fb>91.519400000000005</fb>
    <v>9</v>
  </rv>
  <rv s="1">
    <fb>154116</fb>
    <v>8</v>
  </rv>
  <rv s="7">
    <v>#VALUE!</v>
    <v>en-GB</v>
    <v>729c835d-fb3a-5206-1aab-4981345b70a2</v>
    <v>536870912</v>
    <v>1</v>
    <v>218</v>
    <v>21</v>
    <v>Chhagalnaiya Upazila</v>
    <v>4</v>
    <v>5</v>
    <v>Map</v>
    <v>6</v>
    <v>22</v>
    <v>14</v>
    <v>363</v>
    <v>575</v>
    <v>4</v>
    <v>Chhagalnaiya is an upazila of Feni District in the Division of Chittagong, Bangladesh. Chhagalnaiya lies in the southern part of the district, bordering Tripura and Mirsharai Upazila of Chittagong. It is rich in history and culture. The great ...</v>
    <v>576</v>
    <v>577</v>
    <v>578</v>
    <v>579</v>
    <v>Chhagalnaiya Upazila</v>
    <v>580</v>
    <v>Chhagalnaiya Upazila</v>
    <v>mdp/vdpid/7806358682840596481</v>
  </rv>
  <rv s="0">
    <v>536870912</v>
    <v>Teknaf Upazila</v>
    <v>74da2f90-899c-72d8-8d59-7bc1f233247f</v>
    <v>en-GB</v>
    <v>Map</v>
  </rv>
  <rv s="1">
    <fb>388.68</fb>
    <v>8</v>
  </rv>
  <rv s="2">
    <v>66</v>
    <v>6</v>
    <v>219</v>
    <v>7</v>
    <v>0</v>
    <v>Image of Teknaf Upazila</v>
  </rv>
  <rv s="1">
    <fb>20.866700000000002</fb>
    <v>9</v>
  </rv>
  <rv s="4">
    <v>https://www.bing.com/search?q=teknaf+upazila&amp;form=skydnc</v>
    <v>Learn more on Bing</v>
  </rv>
  <rv s="1">
    <fb>92.3</fb>
    <v>9</v>
  </rv>
  <rv s="1">
    <fb>152557</fb>
    <v>8</v>
  </rv>
  <rv s="7">
    <v>#VALUE!</v>
    <v>en-GB</v>
    <v>74da2f90-899c-72d8-8d59-7bc1f233247f</v>
    <v>536870912</v>
    <v>1</v>
    <v>221</v>
    <v>21</v>
    <v>Teknaf Upazila</v>
    <v>4</v>
    <v>5</v>
    <v>Map</v>
    <v>6</v>
    <v>22</v>
    <v>14</v>
    <v>1</v>
    <v>583</v>
    <v>4</v>
    <v>Teknaf is an upazila of Cox's Bazar District in the Division of Chittagong, Bangladesh. It forms the southernmost point in mainland Bangladesh. The name of the region comes from the Naf River which forms the Eastern boundary of the upazila. It ...</v>
    <v>584</v>
    <v>585</v>
    <v>586</v>
    <v>587</v>
    <v>Teknaf Upazila</v>
    <v>588</v>
    <v>Teknaf Upazila</v>
    <v>mdp/vdpid/7854756536092983297</v>
  </rv>
  <rv s="0">
    <v>536870912</v>
    <v>Nagarpur Union</v>
    <v>abf4a5f3-816c-f1f9-80f0-010341b58319</v>
    <v>en-GB</v>
    <v>Map</v>
  </rv>
  <rv s="0">
    <v>536870912</v>
    <v>Nagarpur Upazila</v>
    <v>53cdbba1-8bc0-5023-1c97-e618a4ff24bf</v>
    <v>en-GB</v>
    <v>Map</v>
  </rv>
  <rv s="1">
    <fb>17.75</fb>
    <v>8</v>
  </rv>
  <rv s="2">
    <v>67</v>
    <v>6</v>
    <v>222</v>
    <v>7</v>
    <v>0</v>
    <v>Image of Nagarpur Union</v>
  </rv>
  <rv s="1">
    <fb>24.058126829999999</fb>
    <v>9</v>
  </rv>
  <rv s="4">
    <v>https://www.bing.com/search?q=nagarpur+union&amp;form=skydnc</v>
    <v>Learn more on Bing</v>
  </rv>
  <rv s="1">
    <fb>89.877487000000002</fb>
    <v>9</v>
  </rv>
  <rv s="1">
    <fb>38422</fb>
    <v>8</v>
  </rv>
  <rv s="13">
    <v>#VALUE!</v>
    <v>en-GB</v>
    <v>abf4a5f3-816c-f1f9-80f0-010341b58319</v>
    <v>536870912</v>
    <v>1</v>
    <v>224</v>
    <v>60</v>
    <v>Nagarpur Union</v>
    <v>61</v>
    <v>5</v>
    <v>Map</v>
    <v>6</v>
    <v>225</v>
    <v>73</v>
    <v>591</v>
    <v>592</v>
    <v>4</v>
    <v>Nagarpur Union is a town governed by a union council, located in Nagarpur Upazila, Tangail District, Bangladesh. It is situated 24 km south of Tangail city.</v>
    <v>593</v>
    <v>594</v>
    <v>595</v>
    <v>596</v>
    <v>Nagarpur Union</v>
    <v>597</v>
    <v>Nagarpur Union</v>
  </rv>
  <rv s="0">
    <v>536870912</v>
    <v>Chailahi</v>
    <v>e0e256ad-a8d8-461a-cfae-2f94a6e303f5</v>
    <v>en-GB</v>
    <v>Map</v>
  </rv>
  <rv s="0">
    <v>536870912</v>
    <v>Rapti Zone</v>
    <v>8dd8b364-f942-4f40-6c34-012bda5340ed</v>
    <v>en-GB</v>
    <v>Map</v>
  </rv>
  <rv s="0">
    <v>536870912</v>
    <v>Dang District</v>
    <v>21459e65-a491-d024-96ff-17f646658536</v>
    <v>en-GB</v>
    <v>Map</v>
  </rv>
  <rv s="0">
    <v>536870912</v>
    <v>Nepal</v>
    <v>bd25e121-3806-b6fe-1af9-3f5745ae2708</v>
    <v>en-GB</v>
    <v>Map</v>
  </rv>
  <rv s="2">
    <v>68</v>
    <v>6</v>
    <v>226</v>
    <v>7</v>
    <v>0</v>
    <v>Image of Chailahi</v>
  </rv>
  <rv s="1">
    <fb>27.87</fb>
    <v>9</v>
  </rv>
  <rv s="4">
    <v>https://www.bing.com/search?q=chaulahi+dang+district+nepal&amp;form=skydnc</v>
    <v>Learn more on Bing</v>
  </rv>
  <rv s="1">
    <fb>82.53</fb>
    <v>9</v>
  </rv>
  <rv s="1">
    <fb>10800</fb>
    <v>8</v>
  </rv>
  <rv s="20">
    <v>#VALUE!</v>
    <v>en-GB</v>
    <v>e0e256ad-a8d8-461a-cfae-2f94a6e303f5</v>
    <v>536870912</v>
    <v>1</v>
    <v>228</v>
    <v>229</v>
    <v>Chailahi</v>
    <v>4</v>
    <v>5</v>
    <v>Map</v>
    <v>6</v>
    <v>230</v>
    <v>600</v>
    <v>601</v>
    <v>602</v>
    <v>Chailahi is a town and Village Development Committee in Dang Deokhuri District in Lumbini Province of south-western Nepal. At the time of the 1991 Nepal census it had a population of 10,800 persons living in 1485 individual households. It lies ...</v>
    <v>603</v>
    <v>604</v>
    <v>605</v>
    <v>606</v>
    <v>Chailahi</v>
    <v>607</v>
    <v>Chailahi</v>
    <v>mdp/vdpid/7418035097804210177</v>
  </rv>
  <rv s="0">
    <v>536870912</v>
    <v>Thakurgaon District</v>
    <v>f3a2134e-c0a5-2381-403e-918ffe4f3835</v>
    <v>en-GB</v>
    <v>Map</v>
  </rv>
  <rv s="1">
    <fb>1781.74</fb>
    <v>8</v>
  </rv>
  <rv s="2">
    <v>69</v>
    <v>6</v>
    <v>232</v>
    <v>7</v>
    <v>0</v>
    <v>Image of Thakurgaon District</v>
  </rv>
  <rv s="0">
    <v>536870912</v>
    <v>Thakurgaon Sadar Upazila</v>
    <v>246f61f7-a9a3-b576-d6cc-f096e912641f</v>
    <v>en-GB</v>
    <v>Map</v>
  </rv>
  <rv s="4">
    <v>https://www.bing.com/search?q=thakurgaon+district+bangladesh&amp;form=skydnc</v>
    <v>Learn more on Bing</v>
  </rv>
  <rv s="1">
    <fb>1390042</fb>
    <v>8</v>
  </rv>
  <rv s="6">
    <v>#VALUE!</v>
    <v>en-GB</v>
    <v>f3a2134e-c0a5-2381-403e-918ffe4f3835</v>
    <v>536870912</v>
    <v>1</v>
    <v>233</v>
    <v>13</v>
    <v>Thakurgaon District</v>
    <v>4</v>
    <v>5</v>
    <v>Map</v>
    <v>6</v>
    <v>7</v>
    <v>83</v>
    <v>610</v>
    <v>4</v>
    <v>Thakurgaon is a district in the north-western side of Bangladesh. It is a part of the Rangpur Division and borders India to the west. It was established as a mahakuma in 1860 consisting of 6 thanas named Thakurgaon sadar, Baliadangi, Pirganj, ...</v>
    <v>611</v>
    <v>612</v>
    <v>613</v>
    <v>Thakurgaon District</v>
    <v>614</v>
    <v>Thakurgaon District</v>
    <v>mdp/vdpid/-7954627123</v>
  </rv>
  <rv s="0">
    <v>536870912</v>
    <v>Ishwardi Upazila</v>
    <v>21455f90-fb75-2230-9771-97ac29b7a61d</v>
    <v>en-GB</v>
    <v>Map</v>
  </rv>
  <rv s="1">
    <fb>246.9</fb>
    <v>8</v>
  </rv>
  <rv s="2">
    <v>70</v>
    <v>6</v>
    <v>234</v>
    <v>7</v>
    <v>0</v>
    <v>Image of Ishwardi Upazila</v>
  </rv>
  <rv s="1">
    <fb>24.15</fb>
    <v>9</v>
  </rv>
  <rv s="4">
    <v>https://www.bing.com/search?q=ishwardi+upazila+bangladesh&amp;form=skydnc</v>
    <v>Learn more on Bing</v>
  </rv>
  <rv s="1">
    <fb>89.066699999999997</fb>
    <v>9</v>
  </rv>
  <rv s="1">
    <fb>236825</fb>
    <v>8</v>
  </rv>
  <rv s="13">
    <v>#VALUE!</v>
    <v>en-GB</v>
    <v>21455f90-fb75-2230-9771-97ac29b7a61d</v>
    <v>536870912</v>
    <v>1</v>
    <v>236</v>
    <v>60</v>
    <v>Ishwardi Upazila</v>
    <v>61</v>
    <v>5</v>
    <v>Map</v>
    <v>6</v>
    <v>22</v>
    <v>130</v>
    <v>145</v>
    <v>617</v>
    <v>4</v>
    <v>Ishwardi is an upazila of Pabna District in Rajshahi Division. It is the westernmost upazila of Pabna district. This upazila is a dynamic administrative region with a rich cultural heritage and significant economic importance. Situated in the ...</v>
    <v>618</v>
    <v>619</v>
    <v>620</v>
    <v>621</v>
    <v>Ishwardi Upazila</v>
    <v>622</v>
    <v>Ishwardi Upazila</v>
  </rv>
  <rv s="0">
    <v>536870912</v>
    <v>Chittagong</v>
    <v>17edc304-c182-0cd6-a4ca-9dba2c3049c2</v>
    <v>en-GB</v>
    <v>Map</v>
  </rv>
  <rv s="1">
    <fb>157</fb>
    <v>8</v>
  </rv>
  <rv s="0">
    <v>536870912</v>
    <v>Portuguese Empire</v>
    <v>1a95d07c-0c64-1499-7127-ce82bc784e04</v>
    <v>en-GB</v>
    <v>Map</v>
  </rv>
  <rv s="2">
    <v>71</v>
    <v>6</v>
    <v>237</v>
    <v>7</v>
    <v>0</v>
    <v>Image of Chittagong</v>
  </rv>
  <rv s="1">
    <fb>22.335000000000001</fb>
    <v>9</v>
  </rv>
  <rv s="0">
    <v>805306368</v>
    <v>Rezaul Karim Chowdhury (Mayor)</v>
    <v>4af4e2c7-8d5e-e08b-19fb-2aabc0d2d6a6</v>
    <v>en-GB</v>
    <v>Generic</v>
  </rv>
  <rv s="3">
    <v>17</v>
  </rv>
  <rv s="4">
    <v>https://www.bing.com/search?q=chittagong&amp;form=skydnc</v>
    <v>Learn more on Bing</v>
  </rv>
  <rv s="1">
    <fb>91.832499999999996</fb>
    <v>9</v>
  </rv>
  <rv s="1">
    <fb>2581643</fb>
    <v>8</v>
  </rv>
  <rv s="5">
    <v>#VALUE!</v>
    <v>en-GB</v>
    <v>17edc304-c182-0cd6-a4ca-9dba2c3049c2</v>
    <v>536870912</v>
    <v>1</v>
    <v>238</v>
    <v>2</v>
    <v>Chittagong</v>
    <v>4</v>
    <v>5</v>
    <v>Map</v>
    <v>6</v>
    <v>7</v>
    <v>14</v>
    <v>169</v>
    <v>625</v>
    <v>626</v>
    <v>Chittagong, officially Chattogram, is the second-largest city in Bangladesh after Dhaka and third largest city in Bengal region. It is the administrative seat of the eponymous division and district. It hosts the busiest seaport on the Bay of ...</v>
    <v>627</v>
    <v>628</v>
    <v>630</v>
    <v>631</v>
    <v>632</v>
    <v>Chittagong</v>
    <v>633</v>
    <v>Chittagong</v>
    <v>mdp/vdpid/7854432844490211329</v>
  </rv>
  <rv s="0">
    <v>536870912</v>
    <v>Bajitpur Upazila</v>
    <v>02867896-e9bb-f407-ad22-fb79de5f836b</v>
    <v>en-GB</v>
    <v>Map</v>
  </rv>
  <rv s="1">
    <fb>193.76</fb>
    <v>8</v>
  </rv>
  <rv s="2">
    <v>72</v>
    <v>6</v>
    <v>239</v>
    <v>7</v>
    <v>0</v>
    <v>Image of Bajitpur Upazila</v>
  </rv>
  <rv s="1">
    <fb>24.216699999999999</fb>
    <v>9</v>
  </rv>
  <rv s="4">
    <v>https://www.bing.com/search?q=bajitpur+upazila+bangladesh&amp;form=skydnc</v>
    <v>Learn more on Bing</v>
  </rv>
  <rv s="1">
    <fb>90.958299999999994</fb>
    <v>9</v>
  </rv>
  <rv s="1">
    <fb>197081</fb>
    <v>8</v>
  </rv>
  <rv s="7">
    <v>#VALUE!</v>
    <v>en-GB</v>
    <v>02867896-e9bb-f407-ad22-fb79de5f836b</v>
    <v>536870912</v>
    <v>1</v>
    <v>241</v>
    <v>21</v>
    <v>Bajitpur Upazila</v>
    <v>4</v>
    <v>5</v>
    <v>Map</v>
    <v>6</v>
    <v>22</v>
    <v>22</v>
    <v>251</v>
    <v>636</v>
    <v>4</v>
    <v>Bajitpur is an upazila of Kishoreganj District in Bangladesh. Bajitpur was created by Baizid Kha. Formerly Bhairab and Kuliarchar were included in this town. This place is full of canals and rivers. Dilalpur river port here was famous in the ...</v>
    <v>637</v>
    <v>638</v>
    <v>639</v>
    <v>640</v>
    <v>Bajitpur Upazila</v>
    <v>641</v>
    <v>Bajitpur Upazila</v>
    <v>mdp/vdpid/7805989728624312321</v>
  </rv>
  <rv s="0">
    <v>536870912</v>
    <v>Moulvibazar District</v>
    <v>b704d88a-5f28-da03-9a5b-66897322e128</v>
    <v>en-GB</v>
    <v>Map</v>
  </rv>
  <rv s="1">
    <fb>2799.38</fb>
    <v>8</v>
  </rv>
  <rv s="2">
    <v>73</v>
    <v>6</v>
    <v>242</v>
    <v>7</v>
    <v>0</v>
    <v>Image of Moulvibazar District</v>
  </rv>
  <rv s="1">
    <fb>24.5</fb>
    <v>9</v>
  </rv>
  <rv s="4">
    <v>https://www.bing.com/search?q=moulvibazar+bangladesh&amp;form=skydnc</v>
    <v>Learn more on Bing</v>
  </rv>
  <rv s="1">
    <fb>91.833333330000002</fb>
    <v>9</v>
  </rv>
  <rv s="1">
    <fb>1919062</fb>
    <v>8</v>
  </rv>
  <rv s="21">
    <v>#VALUE!</v>
    <v>en-GB</v>
    <v>b704d88a-5f28-da03-9a5b-66897322e128</v>
    <v>536870912</v>
    <v>1</v>
    <v>243</v>
    <v>244</v>
    <v>Moulvibazar District</v>
    <v>61</v>
    <v>5</v>
    <v>Map</v>
    <v>6</v>
    <v>7</v>
    <v>430</v>
    <v>644</v>
    <v>4</v>
    <v>Moulvibazar also spelled Maulvibazar, Moulavibazar, and Maulavibazar, is the southeastern district of Sylhet Division in northeastern Bangladesh, named after the town of Moulvibazar. It is bordered by the Indian states of Tripura and Assam to ...</v>
    <v>645</v>
    <v>646</v>
    <v>647</v>
    <v>648</v>
    <v>Moulvibazar District</v>
    <v>649</v>
    <v>Moulvibazar District</v>
  </rv>
  <rv s="0">
    <v>536870912</v>
    <v>Nageshwari Upazila</v>
    <v>725c93fc-f0c4-b8e6-c9f4-bba292b3a60a</v>
    <v>en-GB</v>
    <v>Map</v>
  </rv>
  <rv s="0">
    <v>536870912</v>
    <v>Kurigram District</v>
    <v>a3b94970-9777-1749-61de-8766e5496aea</v>
    <v>en-GB</v>
    <v>Map</v>
  </rv>
  <rv s="1">
    <fb>415.8</fb>
    <v>8</v>
  </rv>
  <rv s="2">
    <v>74</v>
    <v>6</v>
    <v>245</v>
    <v>7</v>
    <v>0</v>
    <v>Image of Nageshwari Upazila</v>
  </rv>
  <rv s="1">
    <fb>25.979199999999999</fb>
    <v>9</v>
  </rv>
  <rv s="4">
    <v>https://www.bing.com/search?q=nageshwari+upazila+bangladesh&amp;form=skydnc</v>
    <v>Learn more on Bing</v>
  </rv>
  <rv s="1">
    <fb>89.708299999999994</fb>
    <v>9</v>
  </rv>
  <rv s="1">
    <fb>279775</fb>
    <v>8</v>
  </rv>
  <rv s="7">
    <v>#VALUE!</v>
    <v>en-GB</v>
    <v>725c93fc-f0c4-b8e6-c9f4-bba292b3a60a</v>
    <v>536870912</v>
    <v>1</v>
    <v>247</v>
    <v>21</v>
    <v>Nageshwari Upazila</v>
    <v>4</v>
    <v>5</v>
    <v>Map</v>
    <v>6</v>
    <v>22</v>
    <v>83</v>
    <v>652</v>
    <v>653</v>
    <v>4</v>
    <v>Nageshwari is an upazila of Kurigram District in the Division of Rangpur, Bangladesh located at 25°58′45″N 89°42′30″E / 25.9792°N 89.7083°E. As of the 1991 Bangladesh census, Nageshwari has a population of 279,775. Males constitute are 50.72% of ...</v>
    <v>654</v>
    <v>655</v>
    <v>656</v>
    <v>657</v>
    <v>Nageshwari Upazila</v>
    <v>658</v>
    <v>Nageshwari Upazila</v>
    <v>mdp/vdpid/7420783571830308865</v>
  </rv>
  <rv s="0">
    <v>536870912</v>
    <v>Patiya Upazila</v>
    <v>fdfe90c0-7aab-00f5-f180-5b8388c2bb0b</v>
    <v>en-GB</v>
    <v>Map</v>
  </rv>
  <rv s="1">
    <fb>316.47000000000003</fb>
    <v>8</v>
  </rv>
  <rv s="2">
    <v>75</v>
    <v>6</v>
    <v>248</v>
    <v>7</v>
    <v>0</v>
    <v>Image of Patiya Upazila</v>
  </rv>
  <rv s="1">
    <fb>22.3</fb>
    <v>9</v>
  </rv>
  <rv s="4">
    <v>https://www.bing.com/search?q=patiya+upazila&amp;form=skydnc</v>
    <v>Learn more on Bing</v>
  </rv>
  <rv s="1">
    <fb>91.9833</fb>
    <v>9</v>
  </rv>
  <rv s="1">
    <fb>398836</fb>
    <v>8</v>
  </rv>
  <rv s="7">
    <v>#VALUE!</v>
    <v>en-GB</v>
    <v>fdfe90c0-7aab-00f5-f180-5b8388c2bb0b</v>
    <v>536870912</v>
    <v>1</v>
    <v>250</v>
    <v>21</v>
    <v>Patiya Upazila</v>
    <v>4</v>
    <v>5</v>
    <v>Map</v>
    <v>6</v>
    <v>22</v>
    <v>14</v>
    <v>169</v>
    <v>661</v>
    <v>4</v>
    <v>Patiya is an upazila of Chattogram District in Chattogram Division, Bangladesh.</v>
    <v>662</v>
    <v>663</v>
    <v>664</v>
    <v>665</v>
    <v>Patiya Upazila</v>
    <v>666</v>
    <v>Patiya Upazila</v>
    <v>mdp/vdpid/7854434118971424769</v>
  </rv>
  <rv s="0">
    <v>536870912</v>
    <v>Påläng</v>
    <v>cda7578f-8087-554e-35f0-520588b8e453</v>
    <v>en-GB</v>
    <v>Map</v>
  </rv>
  <rv s="0">
    <v>536870912</v>
    <v>Norrbotten County</v>
    <v>c860fcb0-9345-ca80-5100-5bafcdbf2263</v>
    <v>en-GB</v>
    <v>Map</v>
  </rv>
  <rv s="0">
    <v>536870912</v>
    <v>Kalix Municipality</v>
    <v>b11ef19e-9647-f89b-2961-8c2c3931887a</v>
    <v>en-GB</v>
    <v>Map</v>
  </rv>
  <rv s="1">
    <fb>0.89</fb>
    <v>8</v>
  </rv>
  <rv s="0">
    <v>536870912</v>
    <v>Sweden</v>
    <v>a5928099-53c3-11a8-91e6-6fe59b8c4f9a</v>
    <v>en-GB</v>
    <v>Map</v>
  </rv>
  <rv s="2">
    <v>76</v>
    <v>6</v>
    <v>252</v>
    <v>7</v>
    <v>0</v>
    <v>Image of Påläng</v>
  </rv>
  <rv s="1">
    <fb>65.815316193366002</fb>
    <v>9</v>
  </rv>
  <rv s="4">
    <v>https://www.bing.com/search?q=p%c3%a5l%c3%a4ng+norrbotten&amp;form=skydnc</v>
    <v>Learn more on Bing</v>
  </rv>
  <rv s="1">
    <fb>22.891529688481</fb>
    <v>9</v>
  </rv>
  <rv s="1">
    <fb>223</fb>
    <v>8</v>
  </rv>
  <rv s="7">
    <v>#VALUE!</v>
    <v>en-GB</v>
    <v>cda7578f-8087-554e-35f0-520588b8e453</v>
    <v>536870912</v>
    <v>1</v>
    <v>253</v>
    <v>21</v>
    <v>Påläng</v>
    <v>4</v>
    <v>5</v>
    <v>Map</v>
    <v>6</v>
    <v>254</v>
    <v>669</v>
    <v>670</v>
    <v>671</v>
    <v>672</v>
    <v>Pålänge is a locality situated in Kalix Municipality, Norrbotten County, Sweden with 278 inhabitants in 2010.</v>
    <v>673</v>
    <v>674</v>
    <v>675</v>
    <v>676</v>
    <v>Påläng</v>
    <v>677</v>
    <v>Påläng</v>
    <v>mdp/vdpid/7025911241113600001</v>
  </rv>
  <rv s="0">
    <v>536870912</v>
    <v>Tangail</v>
    <v>975a6699-366e-4926-8ead-8ee6c09a2c8b</v>
    <v>en-GB</v>
    <v>Map</v>
  </rv>
  <rv s="0">
    <v>536870912</v>
    <v>Tangail Sadar Upazila</v>
    <v>14b3d6b7-7b3a-0c25-57b8-84da8d4edf35</v>
    <v>en-GB</v>
    <v>Map</v>
  </rv>
  <rv s="1">
    <fb>29.04</fb>
    <v>8</v>
  </rv>
  <rv s="2">
    <v>77</v>
    <v>6</v>
    <v>255</v>
    <v>7</v>
    <v>0</v>
    <v>Image of Tangail</v>
  </rv>
  <rv s="1">
    <fb>24.4</fb>
    <v>9</v>
  </rv>
  <rv s="0">
    <v>805306368</v>
    <v>Sirajul Haque Alamgir (Mayor)</v>
    <v>bb4969f2-6f38-5f50-fbe9-46321e6f9df9</v>
    <v>en-GB</v>
    <v>Generic</v>
  </rv>
  <rv s="3">
    <v>18</v>
  </rv>
  <rv s="4">
    <v>https://www.bing.com/search?q=tangail+bangladesh&amp;form=skydnc</v>
    <v>Learn more on Bing</v>
  </rv>
  <rv s="1">
    <fb>90</fb>
    <v>9</v>
  </rv>
  <rv s="1">
    <fb>392300</fb>
    <v>8</v>
  </rv>
  <rv s="5">
    <v>#VALUE!</v>
    <v>en-GB</v>
    <v>975a6699-366e-4926-8ead-8ee6c09a2c8b</v>
    <v>536870912</v>
    <v>1</v>
    <v>257</v>
    <v>2</v>
    <v>Tangail</v>
    <v>4</v>
    <v>5</v>
    <v>Map</v>
    <v>6</v>
    <v>90</v>
    <v>73</v>
    <v>680</v>
    <v>681</v>
    <v>4</v>
    <v>Tangail is a city of Tangail District in central Bangladesh. Tangail is a significant city in Bangladesh. It lies on the bank of the Louhajang River, 83 kilometres northwest of Dhaka, the nation's capital. It is the 25th most populous city in ...</v>
    <v>682</v>
    <v>683</v>
    <v>685</v>
    <v>686</v>
    <v>687</v>
    <v>Tangail</v>
    <v>688</v>
    <v>Tangail</v>
    <v>mdp/vdpid/7421644309700542465</v>
  </rv>
  <rv s="0">
    <v>536870912</v>
    <v>Muktagacha Upazila</v>
    <v>9c1d0b59-1364-0764-ef96-4b5832d2b1f3</v>
    <v>en-GB</v>
    <v>Map</v>
  </rv>
  <rv s="1">
    <fb>314.70999999999998</fb>
    <v>8</v>
  </rv>
  <rv s="2">
    <v>78</v>
    <v>6</v>
    <v>258</v>
    <v>7</v>
    <v>0</v>
    <v>Image of Muktagacha Upazila</v>
  </rv>
  <rv s="1">
    <fb>24.758299999999998</fb>
    <v>9</v>
  </rv>
  <rv s="4">
    <v>https://www.bing.com/search?q=muktagachha+upazila+bangladesh&amp;form=skydnc</v>
    <v>Learn more on Bing</v>
  </rv>
  <rv s="1">
    <fb>90.2667</fb>
    <v>9</v>
  </rv>
  <rv s="1">
    <fb>415473</fb>
    <v>8</v>
  </rv>
  <rv s="7">
    <v>#VALUE!</v>
    <v>en-GB</v>
    <v>9c1d0b59-1364-0764-ef96-4b5832d2b1f3</v>
    <v>536870912</v>
    <v>1</v>
    <v>260</v>
    <v>21</v>
    <v>Muktagacha Upazila</v>
    <v>4</v>
    <v>5</v>
    <v>Map</v>
    <v>6</v>
    <v>7</v>
    <v>221</v>
    <v>386</v>
    <v>691</v>
    <v>4</v>
    <v>Muktagacha is an upazila of Mymensingh District in the Division of Mymensingh, Bangladesh. It is known for sweets which are made here, called "Monda". It is also known for the Rajbari of Brahmin family which is currently used as an educational ...</v>
    <v>692</v>
    <v>693</v>
    <v>694</v>
    <v>695</v>
    <v>Muktagacha Upazila</v>
    <v>696</v>
    <v>Muktagacha Upazila</v>
    <v>mdp/vdpid/7805888515874488321</v>
  </rv>
  <rv s="0">
    <v>536870912</v>
    <v>Nabinagar Upazila</v>
    <v>33812147-789f-00b5-f23b-c94ed0e0d94c</v>
    <v>en-GB</v>
    <v>Map</v>
  </rv>
  <rv s="0">
    <v>536870912</v>
    <v>Brahmanbaria District</v>
    <v>f55b98d0-6184-7a92-6084-08af8a1cb9d3</v>
    <v>en-GB</v>
    <v>Map</v>
  </rv>
  <rv s="1">
    <fb>350.33</fb>
    <v>8</v>
  </rv>
  <rv s="2">
    <v>79</v>
    <v>6</v>
    <v>264</v>
    <v>7</v>
    <v>0</v>
    <v>Image of Nabinagar Upazila</v>
  </rv>
  <rv s="1">
    <fb>23.883299999999998</fb>
    <v>9</v>
  </rv>
  <rv s="4">
    <v>https://www.bing.com/search?q=nabinagar+upazila+bangladesh&amp;form=skydnc</v>
    <v>Learn more on Bing</v>
  </rv>
  <rv s="1">
    <fb>90.9833</fb>
    <v>9</v>
  </rv>
  <rv s="1">
    <fb>493518</fb>
    <v>8</v>
  </rv>
  <rv s="7">
    <v>#VALUE!</v>
    <v>en-GB</v>
    <v>33812147-789f-00b5-f23b-c94ed0e0d94c</v>
    <v>536870912</v>
    <v>1</v>
    <v>263</v>
    <v>21</v>
    <v>Nabinagar Upazila</v>
    <v>4</v>
    <v>5</v>
    <v>Map</v>
    <v>6</v>
    <v>7</v>
    <v>14</v>
    <v>699</v>
    <v>700</v>
    <v>4</v>
    <v>Nabinagar is an upazila of Brahmanbaria District in the Division of Chattogram, Bangladesh. Nabinagar Thana was turned into an upazila in 1983.</v>
    <v>701</v>
    <v>702</v>
    <v>703</v>
    <v>704</v>
    <v>Nabinagar Upazila</v>
    <v>705</v>
    <v>Nabinagar Upazila</v>
    <v>mdp/vdpid/7806189953590755329</v>
  </rv>
  <rv s="0">
    <v>536870912</v>
    <v>Mehendiganj Upazila</v>
    <v>4bb7e57b-61c7-fab3-ff86-504753656d9b</v>
    <v>en-GB</v>
    <v>Map</v>
  </rv>
  <rv s="1">
    <fb>418.97</fb>
    <v>8</v>
  </rv>
  <rv s="2">
    <v>80</v>
    <v>6</v>
    <v>265</v>
    <v>7</v>
    <v>0</v>
    <v>Image of Mehendiganj Upazila</v>
  </rv>
  <rv s="1">
    <fb>22.831900000000001</fb>
    <v>9</v>
  </rv>
  <rv s="4">
    <v>https://www.bing.com/search?q=mehendiganj+upazila+bangladesh&amp;form=skydnc</v>
    <v>Learn more on Bing</v>
  </rv>
  <rv s="1">
    <fb>90.533299999999997</fb>
    <v>9</v>
  </rv>
  <rv s="1">
    <fb>301046</fb>
    <v>8</v>
  </rv>
  <rv s="16">
    <v>#VALUE!</v>
    <v>en-GB</v>
    <v>4bb7e57b-61c7-fab3-ff86-504753656d9b</v>
    <v>536870912</v>
    <v>1</v>
    <v>266</v>
    <v>154</v>
    <v>Mehendiganj Upazila</v>
    <v>4</v>
    <v>5</v>
    <v>Map</v>
    <v>6</v>
    <v>7</v>
    <v>90</v>
    <v>186</v>
    <v>708</v>
    <v>4</v>
    <v>Mehendigonj is an Upazila of Barisal District in the Division of Barisal, Bangladesh. Mehendigonj is popularly known as Patarhat by the local people.</v>
    <v>709</v>
    <v>710</v>
    <v>711</v>
    <v>712</v>
    <v>Mehendiganj Upazila</v>
    <v>713</v>
    <v>120</v>
    <v>Mehendiganj Upazila</v>
    <v>mdp/vdpid/7806256956657631233</v>
  </rv>
  <rv s="0">
    <v>536870912</v>
    <v>Bandarban District</v>
    <v>44601548-7307-df2a-4115-e319114a4e5a</v>
    <v>en-GB</v>
    <v>Map</v>
  </rv>
  <rv s="1">
    <fb>4479.0200000000004</fb>
    <v>8</v>
  </rv>
  <rv s="2">
    <v>81</v>
    <v>6</v>
    <v>267</v>
    <v>7</v>
    <v>0</v>
    <v>Image of Bandarban District</v>
  </rv>
  <rv s="4">
    <v>https://www.bing.com/search?q=bandarban+district+bangladesh&amp;form=skydnc</v>
    <v>Learn more on Bing</v>
  </rv>
  <rv s="1">
    <fb>481106</fb>
    <v>8</v>
  </rv>
  <rv s="3">
    <v>19</v>
  </rv>
  <rv s="22">
    <v>#VALUE!</v>
    <v>en-GB</v>
    <v>44601548-7307-df2a-4115-e319114a4e5a</v>
    <v>536870912</v>
    <v>1</v>
    <v>268</v>
    <v>269</v>
    <v>Bandarban District</v>
    <v>270</v>
    <v>5</v>
    <v>Map</v>
    <v>6</v>
    <v>271</v>
    <v>14</v>
    <v>716</v>
    <v>4</v>
    <v>Bandarban District, officially Bandarban Hill District, is a district in South-Eastern Bangladesh, and a part of the Chittagong Division. It is one of the three hill districts of Bangladesh and a part of the Chittagong Hill Tracts, the others ...</v>
    <v>717</v>
    <v>718</v>
    <v>Bandarban District</v>
    <v>719</v>
    <v>720</v>
    <v>Bandarban District</v>
    <v>mdp/vdpid/-7954627105</v>
  </rv>
</rvData>
</file>

<file path=xl/richData/rdrichvaluestructure.xml><?xml version="1.0" encoding="utf-8"?>
<rvStructures xmlns="http://schemas.microsoft.com/office/spreadsheetml/2017/richdata" count="2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Admin Division 2 (County/district/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18">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UniqueName</v>
      <v t="s">_DisplayString</v>
      <v t="s">LearnMoreOnLink</v>
      <v t="s">Image</v>
      <v t="s">Description</v>
    </a>
    <a count="23">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Admin Division 1 (State/province/other)</v>
      <v t="s">Country/region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Description</v>
    </a>
    <a count="19">
      <v t="s">%EntityServiceId</v>
      <v t="s">%IsRefreshable</v>
      <v t="s">%EntityCulture</v>
      <v t="s">%EntityId</v>
      <v t="s">_Icon</v>
      <v t="s">_Provider</v>
      <v t="s">_Attribution</v>
      <v t="s">_Display</v>
      <v t="s">Name</v>
      <v t="s">_Format</v>
      <v t="s">Country/region</v>
      <v t="s">Latitude</v>
      <v t="s">Longitude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spbArrays>
  <spbData count="272">
    <spb s="0">
      <v xml:space="preserve">Wikipedia	</v>
      <v xml:space="preserve">CC BY-SA 3.0	</v>
      <v xml:space="preserve">https://en.wikipedia.org/wiki/Cox%27s_Bazar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8">
      <v>4</v>
    </spb>
    <spb s="0">
      <v xml:space="preserve">Wikipedia	</v>
      <v xml:space="preserve">CC-BY-SA	</v>
      <v xml:space="preserve">http://en.wikipedia.org/wiki/Khagrachhari_District	</v>
      <v xml:space="preserve">http://creativecommons.org/licenses/by-sa/3.0/	</v>
    </spb>
    <spb s="0">
      <v xml:space="preserve">Wikipedia	</v>
      <v xml:space="preserve">CC BY-SA 3.0	</v>
      <v xml:space="preserve">https://en.wikipedia.org/wiki/Khagrachhari_District	</v>
      <v xml:space="preserve">https://creativecommons.org/licenses/by-sa/3.0	</v>
    </spb>
    <spb s="9">
      <v>10</v>
      <v>11</v>
      <v>10</v>
      <v>11</v>
      <v>11</v>
      <v>11</v>
      <v>11</v>
    </spb>
    <spb s="2">
      <v>1</v>
      <v>Name</v>
      <v>LearnMoreOnLink</v>
    </spb>
    <spb s="0">
      <v xml:space="preserve">Wikipedia	</v>
      <v xml:space="preserve">CC BY-SA 3.0	</v>
      <v xml:space="preserve">https://en.wikipedia.org/wiki/Narayanganj	</v>
      <v xml:space="preserve">https://creativecommons.org/licenses/by-sa/3.0	</v>
    </spb>
    <spb s="0">
      <v xml:space="preserve">Wikipedia	</v>
      <v xml:space="preserve">CC-BY-SA	</v>
      <v xml:space="preserve">http://en.wikipedia.org/wiki/Narayanganj	</v>
      <v xml:space="preserve">http://creativecommons.org/licenses/by-sa/3.0/	</v>
    </spb>
    <spb s="1">
      <v>14</v>
      <v>14</v>
      <v>14</v>
      <v>14</v>
      <v>15</v>
      <v>14</v>
      <v>14</v>
      <v>14</v>
      <v>14</v>
      <v>14</v>
    </spb>
    <spb s="7">
      <v>square km</v>
      <v>2012</v>
    </spb>
    <spb s="0">
      <v xml:space="preserve">Wikipedia	</v>
      <v xml:space="preserve">CC BY-SA 3.0	</v>
      <v xml:space="preserve">https://en.wikipedia.org/wiki/Tungipara_Upazila	</v>
      <v xml:space="preserve">https://creativecommons.org/licenses/by-sa/3.0	</v>
    </spb>
    <spb s="0">
      <v xml:space="preserve">Wikipedia	</v>
      <v xml:space="preserve">CC-BY-SA	</v>
      <v xml:space="preserve">http://en.wikipedia.org/wiki/Tungipara_Upazila	</v>
      <v xml:space="preserve">http://creativecommons.org/licenses/by-sa/3.0/	</v>
    </spb>
    <spb s="1">
      <v>18</v>
      <v>18</v>
      <v>18</v>
      <v>18</v>
      <v>19</v>
      <v>18</v>
      <v>18</v>
      <v>18</v>
      <v>18</v>
      <v>18</v>
    </spb>
    <spb s="2">
      <v>2</v>
      <v>Name</v>
      <v>LearnMoreOnLink</v>
    </spb>
    <spb s="7">
      <v>square km</v>
      <v>1991</v>
    </spb>
    <spb s="0">
      <v xml:space="preserve">Wikipedia	</v>
      <v xml:space="preserve">CC-BY-SA	</v>
      <v xml:space="preserve">http://en.wikipedia.org/wiki/Raipur	</v>
      <v xml:space="preserve">http://creativecommons.org/licenses/by-sa/3.0/	</v>
    </spb>
    <spb s="0">
      <v xml:space="preserve">Wikipedia	</v>
      <v xml:space="preserve">CC BY-SA 3.0	</v>
      <v xml:space="preserve">https://en.wikipedia.org/wiki/Raipur	</v>
      <v xml:space="preserve">https://creativecommons.org/licenses/by-sa/3.0	</v>
    </spb>
    <spb s="10">
      <v>23</v>
      <v>24</v>
      <v>24</v>
      <v>24</v>
      <v>23</v>
      <v>24</v>
      <v>24</v>
      <v>24</v>
    </spb>
    <spb s="2">
      <v>3</v>
      <v>Name</v>
      <v>LearnMoreOnLink</v>
    </spb>
    <spb s="0">
      <v xml:space="preserve">Wikipedia	</v>
      <v xml:space="preserve">CC BY-SA 3.0	</v>
      <v xml:space="preserve">https://en.wikipedia.org/wiki/Comilla	</v>
      <v xml:space="preserve">https://creativecommons.org/licenses/by-sa/3.0	</v>
    </spb>
    <spb s="1">
      <v>27</v>
      <v>27</v>
      <v>27</v>
      <v>27</v>
      <v>27</v>
      <v>27</v>
      <v>27</v>
      <v>27</v>
      <v>27</v>
      <v>27</v>
    </spb>
    <spb s="0">
      <v xml:space="preserve">Wikipedia	</v>
      <v xml:space="preserve">CC BY-SA 3.0	</v>
      <v xml:space="preserve">https://en.wikipedia.org/wiki/Laksam_Upazila	</v>
      <v xml:space="preserve">https://creativecommons.org/licenses/by-sa/3.0	</v>
    </spb>
    <spb s="0">
      <v xml:space="preserve">Wikipedia	</v>
      <v xml:space="preserve">CC-BY-SA	</v>
      <v xml:space="preserve">http://en.wikipedia.org/wiki/Laksam_Upazila	</v>
      <v xml:space="preserve">http://creativecommons.org/licenses/by-sa/3.0/	</v>
    </spb>
    <spb s="1">
      <v>29</v>
      <v>29</v>
      <v>29</v>
      <v>29</v>
      <v>30</v>
      <v>29</v>
      <v>29</v>
      <v>29</v>
      <v>29</v>
      <v>29</v>
    </spb>
    <spb s="0">
      <v xml:space="preserve">Wikipedia	</v>
      <v xml:space="preserve">CC BY-SA 3.0	</v>
      <v xml:space="preserve">https://en.wikipedia.org/wiki/Sakhipur	</v>
      <v xml:space="preserve">https://creativecommons.org/licenses/by-sa/3.0	</v>
    </spb>
    <spb s="11">
      <v>32</v>
      <v>32</v>
      <v>32</v>
      <v>32</v>
      <v>32</v>
      <v>32</v>
      <v>32</v>
      <v>32</v>
      <v>32</v>
    </spb>
    <spb s="2">
      <v>4</v>
      <v>Name</v>
      <v>LearnMoreOnLink</v>
    </spb>
    <spb s="12">
      <v>square km</v>
    </spb>
    <spb s="0">
      <v xml:space="preserve">Wikipedia	</v>
      <v xml:space="preserve">CC-BY-SA	</v>
      <v xml:space="preserve">http://en.wikipedia.org/wiki/Dinajpur_District,_Bangladesh	</v>
      <v xml:space="preserve">http://creativecommons.org/licenses/by-sa/3.0/	</v>
    </spb>
    <spb s="0">
      <v xml:space="preserve">Wikipedia	</v>
      <v xml:space="preserve">CC BY-SA 3.0	</v>
      <v xml:space="preserve">https://en.wikipedia.org/wiki/Dinajpur_District,_Bangladesh	</v>
      <v xml:space="preserve">https://creativecommons.org/licenses/by-sa/3.0	</v>
    </spb>
    <spb s="9">
      <v>36</v>
      <v>37</v>
      <v>36</v>
      <v>37</v>
      <v>37</v>
      <v>37</v>
      <v>37</v>
    </spb>
    <spb s="2">
      <v>5</v>
      <v>Name</v>
      <v>LearnMoreOnLink</v>
    </spb>
    <spb s="0">
      <v xml:space="preserve">Wikipedia	</v>
      <v xml:space="preserve">CC BY-SA 3.0	</v>
      <v xml:space="preserve">https://en.wikipedia.org/wiki/Nalchity_Upazila	</v>
      <v xml:space="preserve">https://creativecommons.org/licenses/by-sa/3.0	</v>
    </spb>
    <spb s="1">
      <v>40</v>
      <v>40</v>
      <v>40</v>
      <v>40</v>
      <v>40</v>
      <v>40</v>
      <v>40</v>
      <v>40</v>
      <v>40</v>
      <v>40</v>
    </spb>
    <spb s="0">
      <v xml:space="preserve">Wikipedia	</v>
      <v xml:space="preserve">CC BY-SA 3.0	</v>
      <v xml:space="preserve">https://en.wikipedia.org/wiki/Sarankhola_Upazila	</v>
      <v xml:space="preserve">https://creativecommons.org/licenses/by-sa/3.0	</v>
    </spb>
    <spb s="0">
      <v xml:space="preserve">Wikipedia	</v>
      <v xml:space="preserve">CC-BY-SA	</v>
      <v xml:space="preserve">http://en.wikipedia.org/wiki/Sarankhola_Upazila	</v>
      <v xml:space="preserve">http://creativecommons.org/licenses/by-sa/3.0/	</v>
    </spb>
    <spb s="1">
      <v>42</v>
      <v>42</v>
      <v>42</v>
      <v>42</v>
      <v>43</v>
      <v>42</v>
      <v>42</v>
      <v>42</v>
      <v>42</v>
      <v>42</v>
    </spb>
    <spb s="0">
      <v xml:space="preserve">Wikipedia	</v>
      <v xml:space="preserve">CC BY-SA 3.0	</v>
      <v xml:space="preserve">https://en.wikipedia.org/wiki/Jessore	</v>
      <v xml:space="preserve">https://creativecommons.org/licenses/by-sa/3.0	</v>
    </spb>
    <spb s="1">
      <v>45</v>
      <v>45</v>
      <v>45</v>
      <v>45</v>
      <v>45</v>
      <v>45</v>
      <v>45</v>
      <v>45</v>
      <v>45</v>
      <v>45</v>
    </spb>
    <spb s="2">
      <v>6</v>
      <v>Name</v>
      <v>LearnMoreOnLink</v>
    </spb>
    <spb s="0">
      <v xml:space="preserve">Wikipedia	</v>
      <v xml:space="preserve">CC BY-SA 3.0	</v>
      <v xml:space="preserve">https://en.wikipedia.org/wiki/Tungi,_Bihar	</v>
      <v xml:space="preserve">https://creativecommons.org/licenses/by-sa/3.0	</v>
    </spb>
    <spb s="13">
      <v>48</v>
      <v>48</v>
      <v>48</v>
      <v>48</v>
      <v>48</v>
      <v>48</v>
      <v>48</v>
    </spb>
    <spb s="2">
      <v>7</v>
      <v>Name</v>
      <v>LearnMoreOnLink</v>
    </spb>
    <spb s="0">
      <v xml:space="preserve">Wikipedia	</v>
      <v xml:space="preserve">CC BY-SA 3.0	</v>
      <v xml:space="preserve">https://en.wikipedia.org/wiki/Shibganj_Upazila,_Chapai_Nawabganj	</v>
      <v xml:space="preserve">https://creativecommons.org/licenses/by-sa/3.0	</v>
    </spb>
    <spb s="0">
      <v xml:space="preserve">Wikipedia	</v>
      <v xml:space="preserve">CC-BY-SA	</v>
      <v xml:space="preserve">http://en.wikipedia.org/wiki/Shibganj_Upazila,_Chapai_Nawabganj	</v>
      <v xml:space="preserve">http://creativecommons.org/licenses/by-sa/3.0/	</v>
    </spb>
    <spb s="1">
      <v>51</v>
      <v>51</v>
      <v>51</v>
      <v>51</v>
      <v>52</v>
      <v>51</v>
      <v>51</v>
      <v>51</v>
      <v>51</v>
      <v>51</v>
    </spb>
    <spb s="0">
      <v xml:space="preserve">Wikipedia	</v>
      <v xml:space="preserve">CC-BY-SA	</v>
      <v xml:space="preserve">http://en.wikipedia.org/wiki/Chapai_Nawabganj_District	</v>
      <v xml:space="preserve">http://creativecommons.org/licenses/by-sa/3.0/	</v>
    </spb>
    <spb s="0">
      <v xml:space="preserve">Wikipedia	</v>
      <v xml:space="preserve">CC BY-SA 3.0	</v>
      <v xml:space="preserve">https://en.wikipedia.org/wiki/Chapai_Nawabganj_District	</v>
      <v xml:space="preserve">https://creativecommons.org/licenses/by-sa/3.0	</v>
    </spb>
    <spb s="14">
      <v>54</v>
      <v>55</v>
      <v>54</v>
      <v>55</v>
      <v>55</v>
      <v>55</v>
      <v>55</v>
      <v>55</v>
    </spb>
    <spb s="0">
      <v xml:space="preserve">Wikipedia	</v>
      <v xml:space="preserve">CC BY-SA 3.0	</v>
      <v xml:space="preserve">https://en.wikipedia.org/wiki/Bera_Upazila	</v>
      <v xml:space="preserve">https://creativecommons.org/licenses/by-sa/3.0	</v>
    </spb>
    <spb s="0">
      <v xml:space="preserve">Wikipedia	</v>
      <v xml:space="preserve">CC-BY-SA	</v>
      <v xml:space="preserve">http://en.wikipedia.org/wiki/Bera_Upazila	</v>
      <v xml:space="preserve">http://creativecommons.org/licenses/by-sa/3.0/	</v>
    </spb>
    <spb s="1">
      <v>57</v>
      <v>57</v>
      <v>57</v>
      <v>57</v>
      <v>58</v>
      <v>57</v>
      <v>57</v>
      <v>57</v>
      <v>57</v>
      <v>57</v>
    </spb>
    <spb s="2">
      <v>8</v>
      <v>Name</v>
      <v>LearnMoreOnLink</v>
    </spb>
    <spb s="15">
      <v>3</v>
      <v>3</v>
    </spb>
    <spb s="0">
      <v xml:space="preserve">Wikipedia	</v>
      <v xml:space="preserve">CC-BY-SA	</v>
      <v xml:space="preserve">http://en.wikipedia.org/wiki/Pabna_District	</v>
      <v xml:space="preserve">http://creativecommons.org/licenses/by-sa/3.0/	</v>
    </spb>
    <spb s="0">
      <v xml:space="preserve">Wikipedia	</v>
      <v xml:space="preserve">CC BY-SA 3.0	</v>
      <v xml:space="preserve">https://en.wikipedia.org/wiki/Pabna_District	</v>
      <v xml:space="preserve">https://creativecommons.org/licenses/by-sa/3.0	</v>
    </spb>
    <spb s="1">
      <v>62</v>
      <v>63</v>
      <v>63</v>
      <v>63</v>
      <v>62</v>
      <v>63</v>
      <v>63</v>
      <v>63</v>
      <v>63</v>
      <v>63</v>
    </spb>
    <spb s="0">
      <v xml:space="preserve">Wikipedia	</v>
      <v xml:space="preserve">CC BY-SA 3.0	</v>
      <v xml:space="preserve">https://en.wikipedia.org/wiki/Morrelganj_Upazila	</v>
      <v xml:space="preserve">https://creativecommons.org/licenses/by-sa/3.0	</v>
    </spb>
    <spb s="0">
      <v xml:space="preserve">Wikipedia	</v>
      <v xml:space="preserve">CC-BY-SA	</v>
      <v xml:space="preserve">http://en.wikipedia.org/wiki/Morrelganj_Upazila	</v>
      <v xml:space="preserve">http://creativecommons.org/licenses/by-sa/3.0/	</v>
    </spb>
    <spb s="1">
      <v>65</v>
      <v>65</v>
      <v>65</v>
      <v>65</v>
      <v>66</v>
      <v>65</v>
      <v>65</v>
      <v>65</v>
      <v>65</v>
      <v>65</v>
    </spb>
    <spb s="0">
      <v xml:space="preserve">Wikipedia	</v>
      <v xml:space="preserve">CC BY-SA 3.0	</v>
      <v xml:space="preserve">https://en.wikipedia.org/wiki/Satkania_Upazila	</v>
      <v xml:space="preserve">https://creativecommons.org/licenses/by-sa/3.0	</v>
    </spb>
    <spb s="0">
      <v xml:space="preserve">Wikipedia	</v>
      <v xml:space="preserve">CC-BY-SA	</v>
      <v xml:space="preserve">http://en.wikipedia.org/wiki/Satkania_Upazila	</v>
      <v xml:space="preserve">http://creativecommons.org/licenses/by-sa/3.0/	</v>
    </spb>
    <spb s="1">
      <v>68</v>
      <v>68</v>
      <v>68</v>
      <v>68</v>
      <v>69</v>
      <v>68</v>
      <v>68</v>
      <v>68</v>
      <v>68</v>
      <v>68</v>
    </spb>
    <spb s="0">
      <v xml:space="preserve">Wikipedia	</v>
      <v xml:space="preserve">CC-BY-SA	</v>
      <v xml:space="preserve">http://sv.wikipedia.org/wiki/Saidpur	</v>
      <v xml:space="preserve">http://creativecommons.org/licenses/by-sa/3.0/	</v>
    </spb>
    <spb s="0">
      <v xml:space="preserve">Wikipedia	</v>
      <v xml:space="preserve">CC-BY-SA	</v>
      <v xml:space="preserve">http://en.wikipedia.org/wiki/Saidpur,_Bangladesh	</v>
      <v xml:space="preserve">http://creativecommons.org/licenses/by-sa/3.0/	</v>
    </spb>
    <spb s="0">
      <v xml:space="preserve">Wikipedia	Wikipedia	</v>
      <v xml:space="preserve">CC-BY-SA	CC-BY-SA	</v>
      <v xml:space="preserve">http://en.wikipedia.org/wiki/Saidpur,_Bangladesh	http://sv.wikipedia.org/wiki/Saidpur	</v>
      <v xml:space="preserve">http://creativecommons.org/licenses/by-sa/3.0/	http://creativecommons.org/licenses/by-sa/3.0/	</v>
    </spb>
    <spb s="16">
      <v>71</v>
      <v>72</v>
      <v>72</v>
      <v>72</v>
      <v>72</v>
      <v>73</v>
    </spb>
    <spb s="2">
      <v>9</v>
      <v>Name</v>
      <v>LearnMoreOnLink</v>
    </spb>
    <spb s="17">
      <v>0</v>
      <v>0</v>
    </spb>
    <spb s="18">
      <v>3</v>
      <v>3</v>
      <v>76</v>
      <v>3</v>
    </spb>
    <spb s="19">
      <v>1</v>
      <v>5</v>
    </spb>
    <spb s="0">
      <v xml:space="preserve">Wikipedia	</v>
      <v xml:space="preserve">CC BY-SA 3.0	</v>
      <v xml:space="preserve">https://en.wikipedia.org/wiki/Gournadi_Upazila	</v>
      <v xml:space="preserve">https://creativecommons.org/licenses/by-sa/3.0	</v>
    </spb>
    <spb s="1">
      <v>79</v>
      <v>79</v>
      <v>79</v>
      <v>79</v>
      <v>79</v>
      <v>79</v>
      <v>79</v>
      <v>79</v>
      <v>79</v>
      <v>79</v>
    </spb>
    <spb s="0">
      <v xml:space="preserve">Wikipedia	</v>
      <v xml:space="preserve">CC-BY-SA	</v>
      <v xml:space="preserve">http://en.wikipedia.org/wiki/Sirajganj	</v>
      <v xml:space="preserve">http://creativecommons.org/licenses/by-sa/3.0/	</v>
    </spb>
    <spb s="0">
      <v xml:space="preserve">Wikipedia	</v>
      <v xml:space="preserve">CC BY-SA 3.0	</v>
      <v xml:space="preserve">https://en.wikipedia.org/wiki/Sirajganj	</v>
      <v xml:space="preserve">https://creativecommons.org/licenses/by-sa/3.0	</v>
    </spb>
    <spb s="1">
      <v>81</v>
      <v>82</v>
      <v>82</v>
      <v>82</v>
      <v>82</v>
      <v>82</v>
      <v>82</v>
      <v>82</v>
      <v>82</v>
      <v>82</v>
    </spb>
    <spb s="7">
      <v>square km</v>
      <v>2001</v>
    </spb>
    <spb s="0">
      <v xml:space="preserve">Wikipedia	</v>
      <v xml:space="preserve">CC BY-SA 3.0	</v>
      <v xml:space="preserve">https://en.wikipedia.org/wiki/Bhola_District	</v>
      <v xml:space="preserve">https://creativecommons.org/licenses/by-sa/3.0	</v>
    </spb>
    <spb s="14">
      <v>85</v>
      <v>85</v>
      <v>85</v>
      <v>85</v>
      <v>85</v>
      <v>85</v>
      <v>85</v>
      <v>85</v>
    </spb>
    <spb s="0">
      <v xml:space="preserve">Wikipedia	</v>
      <v xml:space="preserve">CC BY-SA 3.0	</v>
      <v xml:space="preserve">https://en.wikipedia.org/wiki/Sandwip_Upazila	</v>
      <v xml:space="preserve">https://creativecommons.org/licenses/by-sa/3.0	</v>
    </spb>
    <spb s="0">
      <v xml:space="preserve">Wikipedia	</v>
      <v xml:space="preserve">CC-BY-SA	</v>
      <v xml:space="preserve">http://en.wikipedia.org/wiki/Sandwip_Upazila	</v>
      <v xml:space="preserve">http://creativecommons.org/licenses/by-sa/3.0/	</v>
    </spb>
    <spb s="1">
      <v>87</v>
      <v>87</v>
      <v>87</v>
      <v>87</v>
      <v>88</v>
      <v>87</v>
      <v>87</v>
      <v>87</v>
      <v>87</v>
      <v>87</v>
    </spb>
    <spb s="7">
      <v>square km</v>
      <v>2016</v>
    </spb>
    <spb s="0">
      <v xml:space="preserve">Wikipedia	</v>
      <v xml:space="preserve">CC-BY-SA	</v>
      <v xml:space="preserve">http://en.wikipedia.org/wiki/Netrokona_District	</v>
      <v xml:space="preserve">http://creativecommons.org/licenses/by-sa/3.0/	</v>
    </spb>
    <spb s="0">
      <v xml:space="preserve">Wikipedia	</v>
      <v xml:space="preserve">CC BY-SA 3.0	</v>
      <v xml:space="preserve">https://en.wikipedia.org/wiki/Netrokona_District	</v>
      <v xml:space="preserve">https://creativecommons.org/licenses/by-sa/3.0	</v>
    </spb>
    <spb s="9">
      <v>91</v>
      <v>92</v>
      <v>91</v>
      <v>92</v>
      <v>92</v>
      <v>92</v>
      <v>92</v>
    </spb>
    <spb s="0">
      <v xml:space="preserve">Wikipedia	</v>
      <v xml:space="preserve">CC BY-SA 3.0	</v>
      <v xml:space="preserve">https://en.wikipedia.org/wiki/Raozan_Upazila	</v>
      <v xml:space="preserve">https://creativecommons.org/licenses/by-sa/3.0	</v>
    </spb>
    <spb s="0">
      <v xml:space="preserve">Wikipedia	</v>
      <v xml:space="preserve">CC-BY-SA	</v>
      <v xml:space="preserve">http://en.wikipedia.org/wiki/Raozan_Upazila	</v>
      <v xml:space="preserve">http://creativecommons.org/licenses/by-sa/3.0/	</v>
    </spb>
    <spb s="1">
      <v>94</v>
      <v>94</v>
      <v>94</v>
      <v>94</v>
      <v>95</v>
      <v>94</v>
      <v>94</v>
      <v>94</v>
      <v>94</v>
      <v>94</v>
    </spb>
    <spb s="0">
      <v xml:space="preserve">Wikipedia	</v>
      <v xml:space="preserve">CC BY-SA 3.0	</v>
      <v xml:space="preserve">https://en.wikipedia.org/wiki/Phultala_Upazila	</v>
      <v xml:space="preserve">https://creativecommons.org/licenses/by-sa/3.0	</v>
    </spb>
    <spb s="0">
      <v xml:space="preserve">Wikipedia	</v>
      <v xml:space="preserve">CC-BY-SA	</v>
      <v xml:space="preserve">http://en.wikipedia.org/wiki/Phultala_Upazila	</v>
      <v xml:space="preserve">http://creativecommons.org/licenses/by-sa/3.0/	</v>
    </spb>
    <spb s="1">
      <v>97</v>
      <v>97</v>
      <v>97</v>
      <v>97</v>
      <v>98</v>
      <v>97</v>
      <v>97</v>
      <v>97</v>
      <v>97</v>
      <v>97</v>
    </spb>
    <spb s="0">
      <v xml:space="preserve">Wikipedia	</v>
      <v xml:space="preserve">CC-BY-SA	</v>
      <v xml:space="preserve">http://en.wikipedia.org/wiki/Khulna_District	</v>
      <v xml:space="preserve">http://creativecommons.org/licenses/by-sa/3.0/	</v>
    </spb>
    <spb s="0">
      <v xml:space="preserve">Wikipedia	</v>
      <v xml:space="preserve">CC BY-SA 3.0	</v>
      <v xml:space="preserve">https://en.wikipedia.org/wiki/Khulna_District	</v>
      <v xml:space="preserve">https://creativecommons.org/licenses/by-sa/3.0	</v>
    </spb>
    <spb s="9">
      <v>100</v>
      <v>101</v>
      <v>100</v>
      <v>101</v>
      <v>101</v>
      <v>101</v>
      <v>101</v>
    </spb>
    <spb s="0">
      <v xml:space="preserve">Wikipedia	</v>
      <v xml:space="preserve">CC BY-SA 3.0	</v>
      <v xml:space="preserve">https://en.wikipedia.org/wiki/Kishoreganj_District	</v>
      <v xml:space="preserve">https://creativecommons.org/licenses/by-sa/3.0	</v>
    </spb>
    <spb s="14">
      <v>103</v>
      <v>103</v>
      <v>103</v>
      <v>103</v>
      <v>103</v>
      <v>103</v>
      <v>103</v>
      <v>103</v>
    </spb>
    <spb s="0">
      <v xml:space="preserve">Wikipedia	</v>
      <v xml:space="preserve">CC BY-SA 3.0	</v>
      <v xml:space="preserve">https://en.wikipedia.org/wiki/Dohar_Upazila	</v>
      <v xml:space="preserve">https://creativecommons.org/licenses/by-sa/3.0	</v>
    </spb>
    <spb s="0">
      <v xml:space="preserve">Wikipedia	</v>
      <v xml:space="preserve">CC-BY-SA	</v>
      <v xml:space="preserve">http://en.wikipedia.org/wiki/Dohar_Upazila	</v>
      <v xml:space="preserve">http://creativecommons.org/licenses/by-sa/3.0/	</v>
    </spb>
    <spb s="1">
      <v>105</v>
      <v>105</v>
      <v>105</v>
      <v>105</v>
      <v>106</v>
      <v>105</v>
      <v>105</v>
      <v>105</v>
      <v>105</v>
      <v>105</v>
    </spb>
    <spb s="0">
      <v xml:space="preserve">Wikipedia	</v>
      <v xml:space="preserve">CC BY-SA 3.0	</v>
      <v xml:space="preserve">https://en.wikipedia.org/wiki/Bogra	</v>
      <v xml:space="preserve">https://creativecommons.org/licenses/by-sa/3.0	</v>
    </spb>
    <spb s="1">
      <v>108</v>
      <v>108</v>
      <v>108</v>
      <v>108</v>
      <v>108</v>
      <v>108</v>
      <v>108</v>
      <v>108</v>
      <v>108</v>
      <v>108</v>
    </spb>
    <spb s="7">
      <v>square km</v>
      <v>2017</v>
    </spb>
    <spb s="0">
      <v xml:space="preserve">Wikipedia	</v>
      <v xml:space="preserve">CC BY-SA 3.0	</v>
      <v xml:space="preserve">https://en.wikipedia.org/wiki/Satkhira_District	</v>
      <v xml:space="preserve">https://creativecommons.org/licenses/by-sa/3.0	</v>
    </spb>
    <spb s="9">
      <v>111</v>
      <v>111</v>
      <v>111</v>
      <v>111</v>
      <v>111</v>
      <v>111</v>
      <v>111</v>
    </spb>
    <spb s="0">
      <v xml:space="preserve">Wikipedia	</v>
      <v xml:space="preserve">CC BY-SA 3.0	</v>
      <v xml:space="preserve">https://en.wikipedia.org/wiki/Bheramara_Upazila	</v>
      <v xml:space="preserve">https://creativecommons.org/licenses/by-sa/3.0	</v>
    </spb>
    <spb s="0">
      <v xml:space="preserve">Wikipedia	</v>
      <v xml:space="preserve">CC-BY-SA	</v>
      <v xml:space="preserve">http://en.wikipedia.org/wiki/Bheramara_Upazila	</v>
      <v xml:space="preserve">http://creativecommons.org/licenses/by-sa/3.0/	</v>
    </spb>
    <spb s="1">
      <v>113</v>
      <v>113</v>
      <v>113</v>
      <v>113</v>
      <v>114</v>
      <v>113</v>
      <v>113</v>
      <v>113</v>
      <v>113</v>
      <v>113</v>
    </spb>
    <spb s="0">
      <v xml:space="preserve">Wikipedia	</v>
      <v xml:space="preserve">CC-BY-SA	</v>
      <v xml:space="preserve">http://en.wikipedia.org/wiki/Kushtia_District	</v>
      <v xml:space="preserve">http://creativecommons.org/licenses/by-sa/3.0/	</v>
    </spb>
    <spb s="0">
      <v xml:space="preserve">Wikipedia	</v>
      <v xml:space="preserve">CC BY-SA 3.0	</v>
      <v xml:space="preserve">https://en.wikipedia.org/wiki/Kushtia_District	</v>
      <v xml:space="preserve">https://creativecommons.org/licenses/by-sa/3.0	</v>
    </spb>
    <spb s="9">
      <v>116</v>
      <v>117</v>
      <v>116</v>
      <v>117</v>
      <v>117</v>
      <v>117</v>
      <v>117</v>
    </spb>
    <spb s="0">
      <v xml:space="preserve">Wikipedia	</v>
      <v xml:space="preserve">CC BY-SA 3.0	</v>
      <v xml:space="preserve">https://en.wikipedia.org/wiki/Bhandaria_Upazila	</v>
      <v xml:space="preserve">https://creativecommons.org/licenses/by-sa/3.0	</v>
    </spb>
    <spb s="1">
      <v>119</v>
      <v>119</v>
      <v>119</v>
      <v>119</v>
      <v>119</v>
      <v>119</v>
      <v>119</v>
      <v>119</v>
      <v>119</v>
      <v>119</v>
    </spb>
    <spb s="0">
      <v xml:space="preserve">Wikipedia	</v>
      <v xml:space="preserve">CC BY-SA 3.0	</v>
      <v xml:space="preserve">https://en.wikipedia.org/wiki/Pirojpur_District	</v>
      <v xml:space="preserve">https://creativecommons.org/licenses/by-sa/3.0	</v>
    </spb>
    <spb s="14">
      <v>121</v>
      <v>121</v>
      <v>121</v>
      <v>121</v>
      <v>121</v>
      <v>121</v>
      <v>121</v>
      <v>121</v>
    </spb>
    <spb s="0">
      <v xml:space="preserve">Wikipedia	</v>
      <v xml:space="preserve">CC-BY-SA	</v>
      <v xml:space="preserve">http://en.wikipedia.org/wiki/Narsingdi_District	</v>
      <v xml:space="preserve">http://creativecommons.org/licenses/by-sa/3.0/	</v>
    </spb>
    <spb s="0">
      <v xml:space="preserve">Wikipedia	</v>
      <v xml:space="preserve">CC BY-SA 3.0	</v>
      <v xml:space="preserve">https://en.wikipedia.org/wiki/Narsingdi_District	</v>
      <v xml:space="preserve">https://creativecommons.org/licenses/by-sa/3.0	</v>
    </spb>
    <spb s="9">
      <v>123</v>
      <v>124</v>
      <v>123</v>
      <v>124</v>
      <v>124</v>
      <v>124</v>
      <v>124</v>
    </spb>
    <spb s="0">
      <v xml:space="preserve">Wikipedia	</v>
      <v xml:space="preserve">CC BY-SA 3.0	</v>
      <v xml:space="preserve">https://en.wikipedia.org/wiki/Sarishabari_Upazila	</v>
      <v xml:space="preserve">https://creativecommons.org/licenses/by-sa/3.0	</v>
    </spb>
    <spb s="0">
      <v xml:space="preserve">Wikipedia	</v>
      <v xml:space="preserve">CC-BY-SA	</v>
      <v xml:space="preserve">http://en.wikipedia.org/wiki/Sarishabari_Upazila	</v>
      <v xml:space="preserve">http://creativecommons.org/licenses/by-sa/3.0/	</v>
    </spb>
    <spb s="1">
      <v>126</v>
      <v>126</v>
      <v>126</v>
      <v>126</v>
      <v>127</v>
      <v>126</v>
      <v>126</v>
      <v>126</v>
      <v>126</v>
      <v>126</v>
    </spb>
    <spb s="0">
      <v xml:space="preserve">Wikipedia	</v>
      <v xml:space="preserve">CC-BY-SA	</v>
      <v xml:space="preserve">http://en.wikipedia.org/wiki/Jamalpur_District	</v>
      <v xml:space="preserve">http://creativecommons.org/licenses/by-sa/3.0/	</v>
    </spb>
    <spb s="0">
      <v xml:space="preserve">Wikipedia	</v>
      <v xml:space="preserve">CC BY-SA 3.0	</v>
      <v xml:space="preserve">https://en.wikipedia.org/wiki/Jamalpur_District	</v>
      <v xml:space="preserve">https://creativecommons.org/licenses/by-sa/3.0	</v>
    </spb>
    <spb s="9">
      <v>129</v>
      <v>130</v>
      <v>129</v>
      <v>130</v>
      <v>130</v>
      <v>130</v>
      <v>130</v>
    </spb>
    <spb s="0">
      <v xml:space="preserve">Wikipedia	</v>
      <v xml:space="preserve">CC BY-SA 3.0	</v>
      <v xml:space="preserve">https://en.wikipedia.org/wiki/Lalmohan_Upazila	</v>
      <v xml:space="preserve">https://creativecommons.org/licenses/by-sa/3.0	</v>
    </spb>
    <spb s="1">
      <v>132</v>
      <v>132</v>
      <v>132</v>
      <v>132</v>
      <v>132</v>
      <v>132</v>
      <v>132</v>
      <v>132</v>
      <v>132</v>
      <v>132</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20">
      <v>134</v>
      <v>134</v>
      <v>134</v>
      <v>134</v>
      <v>134</v>
      <v>135</v>
      <v>134</v>
      <v>134</v>
      <v>134</v>
    </spb>
    <spb s="2">
      <v>10</v>
      <v>Name</v>
      <v>LearnMoreOnLink</v>
    </spb>
    <spb s="0">
      <v xml:space="preserve">Wikipedia	</v>
      <v xml:space="preserve">CC-BY-SA	</v>
      <v xml:space="preserve">http://en.wikipedia.org/wiki/Lalmonirhat_District	</v>
      <v xml:space="preserve">http://creativecommons.org/licenses/by-sa/3.0/	</v>
    </spb>
    <spb s="0">
      <v xml:space="preserve">Wikipedia	</v>
      <v xml:space="preserve">CC BY-SA 3.0	</v>
      <v xml:space="preserve">https://en.wikipedia.org/wiki/Lalmonirhat_District	</v>
      <v xml:space="preserve">https://creativecommons.org/licenses/by-sa/3.0	</v>
    </spb>
    <spb s="9">
      <v>138</v>
      <v>139</v>
      <v>138</v>
      <v>139</v>
      <v>139</v>
      <v>139</v>
      <v>139</v>
    </spb>
    <spb s="0">
      <v xml:space="preserve">Wikipedia	</v>
      <v xml:space="preserve">CC BY-SA 3.0	</v>
      <v xml:space="preserve">https://en.wikipedia.org/wiki/Feni_District	</v>
      <v xml:space="preserve">https://creativecommons.org/licenses/by-sa/3.0	</v>
    </spb>
    <spb s="0">
      <v xml:space="preserve">Wikipedia	</v>
      <v xml:space="preserve">CC-BY-SA	</v>
      <v xml:space="preserve">http://en.wikipedia.org/wiki/Feni_District	</v>
      <v xml:space="preserve">http://creativecommons.org/licenses/by-sa/3.0/	</v>
    </spb>
    <spb s="9">
      <v>141</v>
      <v>141</v>
      <v>142</v>
      <v>141</v>
      <v>141</v>
      <v>141</v>
      <v>141</v>
    </spb>
    <spb s="0">
      <v xml:space="preserve">Wikipedia	</v>
      <v xml:space="preserve">CC BY-SA 3.0	</v>
      <v xml:space="preserve">https://en.wikipedia.org/wiki/Kalia_Upazila	</v>
      <v xml:space="preserve">https://creativecommons.org/licenses/by-sa/3.0	</v>
    </spb>
    <spb s="0">
      <v xml:space="preserve">Wikipedia	</v>
      <v xml:space="preserve">CC-BY-SA	</v>
      <v xml:space="preserve">http://en.wikipedia.org/wiki/Kalia_Upazila	</v>
      <v xml:space="preserve">http://creativecommons.org/licenses/by-sa/3.0/	</v>
    </spb>
    <spb s="1">
      <v>144</v>
      <v>144</v>
      <v>144</v>
      <v>144</v>
      <v>145</v>
      <v>144</v>
      <v>144</v>
      <v>144</v>
      <v>144</v>
      <v>144</v>
    </spb>
    <spb s="0">
      <v xml:space="preserve">Wikipedia	</v>
      <v xml:space="preserve">CC BY-SA 3.0	</v>
      <v xml:space="preserve">https://en.wikipedia.org/wiki/Narail_District	</v>
      <v xml:space="preserve">https://creativecommons.org/licenses/by-sa/3.0	</v>
    </spb>
    <spb s="0">
      <v xml:space="preserve">Wikipedia	</v>
      <v xml:space="preserve">CC-BY-SA	</v>
      <v xml:space="preserve">http://en.wikipedia.org/wiki/Narail_District	</v>
      <v xml:space="preserve">http://creativecommons.org/licenses/by-sa/3.0/	</v>
    </spb>
    <spb s="9">
      <v>147</v>
      <v>147</v>
      <v>148</v>
      <v>147</v>
      <v>147</v>
      <v>147</v>
      <v>147</v>
    </spb>
    <spb s="0">
      <v xml:space="preserve">Wikipedia	</v>
      <v xml:space="preserve">CC BY-SA 3.0	</v>
      <v xml:space="preserve">https://en.wikipedia.org/wiki/Mymensingh	</v>
      <v xml:space="preserve">https://creativecommons.org/licenses/by-sa/3.0	</v>
    </spb>
    <spb s="1">
      <v>150</v>
      <v>150</v>
      <v>150</v>
      <v>150</v>
      <v>150</v>
      <v>150</v>
      <v>150</v>
      <v>150</v>
      <v>150</v>
      <v>150</v>
    </spb>
    <spb s="0">
      <v xml:space="preserve">Wikipedia	</v>
      <v xml:space="preserve">CC BY-SA 3.0	</v>
      <v xml:space="preserve">https://en.wikipedia.org/wiki/Mirzapur,_Ishwarganj,_Mymensingh	</v>
      <v xml:space="preserve">https://creativecommons.org/licenses/by-sa/3.0	</v>
    </spb>
    <spb s="1">
      <v>152</v>
      <v>152</v>
      <v>152</v>
      <v>152</v>
      <v>152</v>
      <v>152</v>
      <v>152</v>
      <v>152</v>
      <v>152</v>
      <v>152</v>
    </spb>
    <spb s="2">
      <v>11</v>
      <v>Name</v>
      <v>LearnMoreOnLink</v>
    </spb>
    <spb s="7">
      <v>square km</v>
      <v>2018</v>
    </spb>
    <spb s="0">
      <v xml:space="preserve">Wikipedia	</v>
      <v xml:space="preserve">CC BY-SA 3.0	</v>
      <v xml:space="preserve">https://en.wikipedia.org/wiki/Ramganj_Upazila	</v>
      <v xml:space="preserve">https://creativecommons.org/licenses/by-sa/3.0	</v>
    </spb>
    <spb s="0">
      <v xml:space="preserve">Wikipedia	</v>
      <v xml:space="preserve">CC-BY-SA	</v>
      <v xml:space="preserve">http://en.wikipedia.org/wiki/Ramganj_Upazila	</v>
      <v xml:space="preserve">http://creativecommons.org/licenses/by-sa/3.0/	</v>
    </spb>
    <spb s="1">
      <v>156</v>
      <v>156</v>
      <v>156</v>
      <v>156</v>
      <v>157</v>
      <v>156</v>
      <v>156</v>
      <v>156</v>
      <v>156</v>
      <v>156</v>
    </spb>
    <spb s="0">
      <v xml:space="preserve">Wikipedia	</v>
      <v xml:space="preserve">CC BY-SA 3.0	</v>
      <v xml:space="preserve">https://en.wikipedia.org/wiki/Panchagarh_District	</v>
      <v xml:space="preserve">https://creativecommons.org/licenses/by-sa/3.0	</v>
    </spb>
    <spb s="0">
      <v xml:space="preserve">Wikipedia	</v>
      <v xml:space="preserve">CC-BY-SA	</v>
      <v xml:space="preserve">http://en.wikipedia.org/wiki/Panchagarh_District	</v>
      <v xml:space="preserve">http://creativecommons.org/licenses/by-sa/3.0/	</v>
    </spb>
    <spb s="9">
      <v>159</v>
      <v>159</v>
      <v>160</v>
      <v>159</v>
      <v>159</v>
      <v>159</v>
      <v>159</v>
    </spb>
    <spb s="0">
      <v xml:space="preserve">Wikipedia	</v>
      <v xml:space="preserve">CC BY-SA 3.0	</v>
      <v xml:space="preserve">https://en.wikipedia.org/wiki/Parbatipur_Upazila	</v>
      <v xml:space="preserve">https://creativecommons.org/licenses/by-sa/3.0	</v>
    </spb>
    <spb s="0">
      <v xml:space="preserve">Wikipedia	</v>
      <v xml:space="preserve">CC-BY-SA	</v>
      <v xml:space="preserve">http://en.wikipedia.org/wiki/Parbatipur_Upazila	</v>
      <v xml:space="preserve">http://creativecommons.org/licenses/by-sa/3.0/	</v>
    </spb>
    <spb s="1">
      <v>162</v>
      <v>162</v>
      <v>162</v>
      <v>162</v>
      <v>163</v>
      <v>162</v>
      <v>162</v>
      <v>162</v>
      <v>162</v>
      <v>162</v>
    </spb>
    <spb s="0">
      <v xml:space="preserve">Wikipedia	</v>
      <v xml:space="preserve">CC BY-SA 3.0	</v>
      <v xml:space="preserve">https://en.wikipedia.org/wiki/Habiganj_District	</v>
      <v xml:space="preserve">https://creativecommons.org/licenses/by-sa/3.0	</v>
    </spb>
    <spb s="9">
      <v>165</v>
      <v>165</v>
      <v>165</v>
      <v>165</v>
      <v>165</v>
      <v>165</v>
      <v>165</v>
    </spb>
    <spb s="0">
      <v xml:space="preserve">Wikipedia	</v>
      <v xml:space="preserve">CC BY-SA 3.0	</v>
      <v xml:space="preserve">https://en.wikipedia.org/wiki/Bhairab_Upazila	</v>
      <v xml:space="preserve">https://creativecommons.org/licenses/by-sa/3.0	</v>
    </spb>
    <spb s="0">
      <v xml:space="preserve">Wikipedia	</v>
      <v xml:space="preserve">CC-BY-SA	</v>
      <v xml:space="preserve">http://en.wikipedia.org/wiki/Bhairab_Upazila	</v>
      <v xml:space="preserve">http://creativecommons.org/licenses/by-sa/3.0/	</v>
    </spb>
    <spb s="1">
      <v>167</v>
      <v>167</v>
      <v>167</v>
      <v>167</v>
      <v>168</v>
      <v>167</v>
      <v>167</v>
      <v>167</v>
      <v>167</v>
      <v>167</v>
    </spb>
    <spb s="0">
      <v xml:space="preserve">Wikipedia	</v>
      <v xml:space="preserve">CC BY-SA 3.0	</v>
      <v xml:space="preserve">https://en.wikipedia.org/wiki/Barahanuddin	</v>
      <v xml:space="preserve">https://creativecommons.org/licenses/by-sa/3.0	</v>
    </spb>
    <spb s="21">
      <v>170</v>
      <v>170</v>
      <v>170</v>
      <v>170</v>
      <v>170</v>
      <v>170</v>
      <v>170</v>
      <v>170</v>
    </spb>
    <spb s="2">
      <v>12</v>
      <v>Name</v>
      <v>LearnMoreOnLink</v>
    </spb>
    <spb s="0">
      <v xml:space="preserve">Wikipedia	</v>
      <v xml:space="preserve">CC BY-SA 3.0	</v>
      <v xml:space="preserve">https://en.wikipedia.org/wiki/Gafargaon_Upazila	</v>
      <v xml:space="preserve">https://creativecommons.org/licenses/by-sa/3.0	</v>
    </spb>
    <spb s="0">
      <v xml:space="preserve">Wikipedia	</v>
      <v xml:space="preserve">CC-BY-SA	</v>
      <v xml:space="preserve">http://en.wikipedia.org/wiki/Gafargaon_Upazila	</v>
      <v xml:space="preserve">http://creativecommons.org/licenses/by-sa/3.0/	</v>
    </spb>
    <spb s="1">
      <v>173</v>
      <v>173</v>
      <v>173</v>
      <v>173</v>
      <v>174</v>
      <v>173</v>
      <v>173</v>
      <v>173</v>
      <v>173</v>
      <v>173</v>
    </spb>
    <spb s="0">
      <v xml:space="preserve">Wikipedia	</v>
      <v xml:space="preserve">CC BY-SA 3.0	</v>
      <v xml:space="preserve">https://en.wikipedia.org/wiki/Sylhet	</v>
      <v xml:space="preserve">https://creativecommons.org/licenses/by-sa/3.0	</v>
    </spb>
    <spb s="1">
      <v>176</v>
      <v>176</v>
      <v>176</v>
      <v>176</v>
      <v>176</v>
      <v>176</v>
      <v>176</v>
      <v>176</v>
      <v>176</v>
      <v>176</v>
    </spb>
    <spb s="0">
      <v xml:space="preserve">Wikipedia	</v>
      <v xml:space="preserve">CC BY-SA 3.0	</v>
      <v xml:space="preserve">https://en.wikipedia.org/wiki/Manikchhari_Upazila	</v>
      <v xml:space="preserve">https://creativecommons.org/licenses/by-sa/3.0	</v>
    </spb>
    <spb s="0">
      <v xml:space="preserve">Wikipedia	</v>
      <v xml:space="preserve">CC-BY-SA	</v>
      <v xml:space="preserve">http://en.wikipedia.org/wiki/Manikchhari_Upazila	</v>
      <v xml:space="preserve">http://creativecommons.org/licenses/by-sa/3.0/	</v>
    </spb>
    <spb s="1">
      <v>178</v>
      <v>178</v>
      <v>178</v>
      <v>178</v>
      <v>179</v>
      <v>178</v>
      <v>178</v>
      <v>178</v>
      <v>178</v>
      <v>178</v>
    </spb>
    <spb s="0">
      <v xml:space="preserve">Wikipedia	</v>
      <v xml:space="preserve">CC BY-SA 3.0	</v>
      <v xml:space="preserve">https://en.wikipedia.org/wiki/Kesabpur,_India	</v>
      <v xml:space="preserve">https://creativecommons.org/licenses/by-sa/3.0	</v>
    </spb>
    <spb s="1">
      <v>181</v>
      <v>181</v>
      <v>181</v>
      <v>181</v>
      <v>181</v>
      <v>181</v>
      <v>181</v>
      <v>181</v>
      <v>181</v>
      <v>181</v>
    </spb>
    <spb s="0">
      <v xml:space="preserve">Wikipedia	</v>
      <v xml:space="preserve">CC-BY-SA	</v>
      <v xml:space="preserve">http://en.wikipedia.org/wiki/Faridpur_District	</v>
      <v xml:space="preserve">http://creativecommons.org/licenses/by-sa/3.0/	</v>
    </spb>
    <spb s="0">
      <v xml:space="preserve">Wikipedia	</v>
      <v xml:space="preserve">CC BY-SA 3.0	</v>
      <v xml:space="preserve">https://en.wikipedia.org/wiki/Faridpur_District	</v>
      <v xml:space="preserve">https://creativecommons.org/licenses/by-sa/3.0	</v>
    </spb>
    <spb s="9">
      <v>183</v>
      <v>184</v>
      <v>183</v>
      <v>184</v>
      <v>184</v>
      <v>184</v>
      <v>184</v>
    </spb>
    <spb s="0">
      <v xml:space="preserve">Wikipedia	</v>
      <v xml:space="preserve">CC-BY-SA	</v>
      <v xml:space="preserve">http://en.wikipedia.org/wiki/Sherpur_District	</v>
      <v xml:space="preserve">http://creativecommons.org/licenses/by-sa/3.0/	</v>
    </spb>
    <spb s="0">
      <v xml:space="preserve">Wikipedia	</v>
      <v xml:space="preserve">CC BY-SA 3.0	</v>
      <v xml:space="preserve">https://en.wikipedia.org/wiki/Sherpur_District	</v>
      <v xml:space="preserve">https://creativecommons.org/licenses/by-sa/3.0	</v>
    </spb>
    <spb s="9">
      <v>186</v>
      <v>187</v>
      <v>186</v>
      <v>187</v>
      <v>187</v>
      <v>187</v>
      <v>187</v>
    </spb>
    <spb s="0">
      <v xml:space="preserve">Wikipedia	</v>
      <v xml:space="preserve">CC-BY-SA	</v>
      <v xml:space="preserve">http://en.wikipedia.org/wiki/Madaripur_District	</v>
      <v xml:space="preserve">http://creativecommons.org/licenses/by-sa/3.0/	</v>
    </spb>
    <spb s="0">
      <v xml:space="preserve">Wikipedia	</v>
      <v xml:space="preserve">CC BY-SA 3.0	</v>
      <v xml:space="preserve">https://en.wikipedia.org/wiki/Madaripur_District	</v>
      <v xml:space="preserve">https://creativecommons.org/licenses/by-sa/3.0	</v>
    </spb>
    <spb s="9">
      <v>189</v>
      <v>190</v>
      <v>189</v>
      <v>190</v>
      <v>190</v>
      <v>190</v>
      <v>190</v>
    </spb>
    <spb s="0">
      <v xml:space="preserve">Wikipedia	</v>
      <v xml:space="preserve">CC BY-SA 3.0	</v>
      <v xml:space="preserve">https://en.wikipedia.org/wiki/Fatikchhari_Upazila	</v>
      <v xml:space="preserve">https://creativecommons.org/licenses/by-sa/3.0	</v>
    </spb>
    <spb s="0">
      <v xml:space="preserve">Wikipedia	</v>
      <v xml:space="preserve">CC-BY-SA	</v>
      <v xml:space="preserve">http://en.wikipedia.org/wiki/Fatikchhari_Upazila	</v>
      <v xml:space="preserve">http://creativecommons.org/licenses/by-sa/3.0/	</v>
    </spb>
    <spb s="1">
      <v>192</v>
      <v>192</v>
      <v>192</v>
      <v>192</v>
      <v>193</v>
      <v>192</v>
      <v>192</v>
      <v>192</v>
      <v>192</v>
      <v>192</v>
    </spb>
    <spb s="2">
      <v>13</v>
      <v>Name</v>
      <v>LearnMoreOnLink</v>
    </spb>
    <spb s="22">
      <v>1</v>
    </spb>
    <spb s="0">
      <v xml:space="preserve">Wikipedia	</v>
      <v xml:space="preserve">CC-BY-SA	</v>
      <v xml:space="preserve">http://en.wikipedia.org/wiki/Barisal	</v>
      <v xml:space="preserve">http://creativecommons.org/licenses/by-sa/3.0/	</v>
    </spb>
    <spb s="0">
      <v xml:space="preserve">Wikipedia	</v>
      <v xml:space="preserve">CC BY-SA 3.0	</v>
      <v xml:space="preserve">https://en.wikipedia.org/wiki/Barisal	</v>
      <v xml:space="preserve">https://creativecommons.org/licenses/by-sa/3.0	</v>
    </spb>
    <spb s="1">
      <v>197</v>
      <v>198</v>
      <v>198</v>
      <v>198</v>
      <v>198</v>
      <v>198</v>
      <v>198</v>
      <v>198</v>
      <v>198</v>
      <v>198</v>
    </spb>
    <spb s="0">
      <v xml:space="preserve">Wikipedia	</v>
      <v xml:space="preserve">CC BY-SA 3.0	</v>
      <v xml:space="preserve">https://en.wikipedia.org/wiki/Baniachong_Upazila	</v>
      <v xml:space="preserve">https://creativecommons.org/licenses/by-sa/3.0	</v>
    </spb>
    <spb s="1">
      <v>200</v>
      <v>200</v>
      <v>200</v>
      <v>200</v>
      <v>200</v>
      <v>200</v>
      <v>200</v>
      <v>200</v>
      <v>200</v>
      <v>200</v>
    </spb>
    <spb s="0">
      <v xml:space="preserve">Wikipedia	</v>
      <v xml:space="preserve">CC BY-SA 3.0	</v>
      <v xml:space="preserve">https://en.wikipedia.org/wiki/Dhaka	</v>
      <v xml:space="preserve">https://creativecommons.org/licenses/by-sa/3.0	</v>
    </spb>
    <spb s="1">
      <v>202</v>
      <v>202</v>
      <v>202</v>
      <v>202</v>
      <v>202</v>
      <v>202</v>
      <v>202</v>
      <v>202</v>
      <v>202</v>
      <v>202</v>
    </spb>
    <spb s="0">
      <v xml:space="preserve">Wikipedia	</v>
      <v xml:space="preserve">CC-BY-SA	</v>
      <v xml:space="preserve">http://en.wikipedia.org/wiki/Joypurhat_District	</v>
      <v xml:space="preserve">http://creativecommons.org/licenses/by-sa/3.0/	</v>
    </spb>
    <spb s="0">
      <v xml:space="preserve">Wikipedia	</v>
      <v xml:space="preserve">CC BY-SA 3.0	</v>
      <v xml:space="preserve">https://en.wikipedia.org/wiki/Joypurhat_District	</v>
      <v xml:space="preserve">https://creativecommons.org/licenses/by-sa/3.0	</v>
    </spb>
    <spb s="9">
      <v>204</v>
      <v>205</v>
      <v>204</v>
      <v>205</v>
      <v>205</v>
      <v>205</v>
      <v>205</v>
    </spb>
    <spb s="0">
      <v xml:space="preserve">Wikipedia	</v>
      <v xml:space="preserve">CC BY-SA 3.0	</v>
      <v xml:space="preserve">https://en.wikipedia.org/wiki/Nowlamary	</v>
      <v xml:space="preserve">https://creativecommons.org/licenses/by-sa/3.0	</v>
    </spb>
    <spb s="23">
      <v>207</v>
      <v>207</v>
      <v>207</v>
      <v>207</v>
      <v>207</v>
      <v>207</v>
    </spb>
    <spb s="2">
      <v>14</v>
      <v>Name</v>
      <v>LearnMoreOnLink</v>
    </spb>
    <spb s="0">
      <v xml:space="preserve">Wikipedia	</v>
      <v xml:space="preserve">CC BY-SA 3.0	</v>
      <v xml:space="preserve">https://en.wikipedia.org/wiki/Badarganj_Upazila	</v>
      <v xml:space="preserve">https://creativecommons.org/licenses/by-sa/3.0	</v>
    </spb>
    <spb s="0">
      <v xml:space="preserve">Wikipedia	</v>
      <v xml:space="preserve">CC-BY-SA	</v>
      <v xml:space="preserve">http://en.wikipedia.org/wiki/Badarganj_Upazila	</v>
      <v xml:space="preserve">http://creativecommons.org/licenses/by-sa/3.0/	</v>
    </spb>
    <spb s="1">
      <v>210</v>
      <v>210</v>
      <v>210</v>
      <v>210</v>
      <v>211</v>
      <v>210</v>
      <v>210</v>
      <v>210</v>
      <v>210</v>
      <v>210</v>
    </spb>
    <spb s="0">
      <v xml:space="preserve">Wikipedia	</v>
      <v xml:space="preserve">CC-BY-SA	</v>
      <v xml:space="preserve">http://en.wikipedia.org/wiki/Rangpur_District	</v>
      <v xml:space="preserve">http://creativecommons.org/licenses/by-sa/3.0/	</v>
    </spb>
    <spb s="0">
      <v xml:space="preserve">Wikipedia	</v>
      <v xml:space="preserve">CC BY-SA 3.0	</v>
      <v xml:space="preserve">https://en.wikipedia.org/wiki/Rangpur_District	</v>
      <v xml:space="preserve">https://creativecommons.org/licenses/by-sa/3.0	</v>
    </spb>
    <spb s="9">
      <v>213</v>
      <v>214</v>
      <v>213</v>
      <v>214</v>
      <v>214</v>
      <v>214</v>
      <v>214</v>
    </spb>
    <spb s="0">
      <v xml:space="preserve">Wikipedia	</v>
      <v xml:space="preserve">CC BY-SA 3.0	</v>
      <v xml:space="preserve">https://en.wikipedia.org/wiki/Chhagalnaiya_Upazila	</v>
      <v xml:space="preserve">https://creativecommons.org/licenses/by-sa/3.0	</v>
    </spb>
    <spb s="0">
      <v xml:space="preserve">Wikipedia	</v>
      <v xml:space="preserve">CC-BY-SA	</v>
      <v xml:space="preserve">http://en.wikipedia.org/wiki/Chhagalnaiya_Upazila	</v>
      <v xml:space="preserve">http://creativecommons.org/licenses/by-sa/3.0/	</v>
    </spb>
    <spb s="1">
      <v>216</v>
      <v>216</v>
      <v>216</v>
      <v>216</v>
      <v>217</v>
      <v>216</v>
      <v>216</v>
      <v>216</v>
      <v>216</v>
      <v>216</v>
    </spb>
    <spb s="0">
      <v xml:space="preserve">Wikipedia	</v>
      <v xml:space="preserve">CC BY-SA 3.0	</v>
      <v xml:space="preserve">https://en.wikipedia.org/wiki/Teknaf_Upazila	</v>
      <v xml:space="preserve">https://creativecommons.org/licenses/by-sa/3.0	</v>
    </spb>
    <spb s="0">
      <v xml:space="preserve">Wikipedia	</v>
      <v xml:space="preserve">CC-BY-SA	</v>
      <v xml:space="preserve">http://en.wikipedia.org/wiki/Teknaf_Upazila	</v>
      <v xml:space="preserve">http://creativecommons.org/licenses/by-sa/3.0/	</v>
    </spb>
    <spb s="1">
      <v>219</v>
      <v>219</v>
      <v>219</v>
      <v>219</v>
      <v>220</v>
      <v>219</v>
      <v>219</v>
      <v>219</v>
      <v>219</v>
      <v>219</v>
    </spb>
    <spb s="0">
      <v xml:space="preserve">Wikipedia	</v>
      <v xml:space="preserve">CC BY-SA 3.0	</v>
      <v xml:space="preserve">https://en.wikipedia.org/wiki/Nagarpur_Union	</v>
      <v xml:space="preserve">https://creativecommons.org/licenses/by-sa/3.0	</v>
    </spb>
    <spb s="0">
      <v xml:space="preserve">Wikipedia	</v>
      <v xml:space="preserve">CC-BY-SA	</v>
      <v xml:space="preserve">http://en.wikipedia.org/wiki/Nagarpur_Union	</v>
      <v xml:space="preserve">http://creativecommons.org/licenses/by-sa/3.0/	</v>
    </spb>
    <spb s="1">
      <v>222</v>
      <v>222</v>
      <v>222</v>
      <v>222</v>
      <v>223</v>
      <v>222</v>
      <v>222</v>
      <v>222</v>
      <v>222</v>
      <v>222</v>
    </spb>
    <spb s="7">
      <v>square km</v>
      <v>2015</v>
    </spb>
    <spb s="0">
      <v xml:space="preserve">Wikipedia	</v>
      <v xml:space="preserve">CC BY-SA 3.0	</v>
      <v xml:space="preserve">https://en.wikipedia.org/wiki/Chailahi	</v>
      <v xml:space="preserve">https://creativecommons.org/licenses/by-sa/3.0	</v>
    </spb>
    <spb s="0">
      <v xml:space="preserve">Wikipedia	</v>
      <v xml:space="preserve">CC-BY-SA	</v>
      <v xml:space="preserve">http://en.wikipedia.org/wiki/Chailahi	</v>
      <v xml:space="preserve">http://creativecommons.org/licenses/by-sa/3.0/	</v>
    </spb>
    <spb s="24">
      <v>226</v>
      <v>226</v>
      <v>226</v>
      <v>227</v>
      <v>226</v>
      <v>226</v>
      <v>226</v>
      <v>226</v>
      <v>226</v>
    </spb>
    <spb s="2">
      <v>15</v>
      <v>Name</v>
      <v>LearnMoreOnLink</v>
    </spb>
    <spb s="25">
      <v>1991</v>
    </spb>
    <spb s="0">
      <v xml:space="preserve">Wikipedia	</v>
      <v xml:space="preserve">CC-BY-SA	</v>
      <v xml:space="preserve">http://en.wikipedia.org/wiki/Thakurgaon_District	</v>
      <v xml:space="preserve">http://creativecommons.org/licenses/by-sa/3.0/	</v>
    </spb>
    <spb s="0">
      <v xml:space="preserve">Wikipedia	</v>
      <v xml:space="preserve">CC BY-SA 3.0	</v>
      <v xml:space="preserve">https://en.wikipedia.org/wiki/Thakurgaon_District	</v>
      <v xml:space="preserve">https://creativecommons.org/licenses/by-sa/3.0	</v>
    </spb>
    <spb s="9">
      <v>231</v>
      <v>232</v>
      <v>231</v>
      <v>232</v>
      <v>232</v>
      <v>232</v>
      <v>232</v>
    </spb>
    <spb s="0">
      <v xml:space="preserve">Wikipedia	</v>
      <v xml:space="preserve">CC BY-SA 3.0	</v>
      <v xml:space="preserve">https://en.wikipedia.org/wiki/Ishwardi_Upazila	</v>
      <v xml:space="preserve">https://creativecommons.org/licenses/by-sa/3.0	</v>
    </spb>
    <spb s="0">
      <v xml:space="preserve">Wikipedia	</v>
      <v xml:space="preserve">CC-BY-SA	</v>
      <v xml:space="preserve">http://en.wikipedia.org/wiki/Ishwardi_Upazila	</v>
      <v xml:space="preserve">http://creativecommons.org/licenses/by-sa/3.0/	</v>
    </spb>
    <spb s="1">
      <v>234</v>
      <v>234</v>
      <v>234</v>
      <v>234</v>
      <v>235</v>
      <v>234</v>
      <v>234</v>
      <v>234</v>
      <v>234</v>
      <v>234</v>
    </spb>
    <spb s="0">
      <v xml:space="preserve">Wikipedia	</v>
      <v xml:space="preserve">CC BY-SA 3.0	</v>
      <v xml:space="preserve">https://en.wikipedia.org/wiki/Chittagong	</v>
      <v xml:space="preserve">https://creativecommons.org/licenses/by-sa/3.0	</v>
    </spb>
    <spb s="1">
      <v>237</v>
      <v>237</v>
      <v>237</v>
      <v>237</v>
      <v>237</v>
      <v>237</v>
      <v>237</v>
      <v>237</v>
      <v>237</v>
      <v>237</v>
    </spb>
    <spb s="0">
      <v xml:space="preserve">Wikipedia	</v>
      <v xml:space="preserve">CC BY-SA 3.0	</v>
      <v xml:space="preserve">https://en.wikipedia.org/wiki/Bajitpur_Upazila	</v>
      <v xml:space="preserve">https://creativecommons.org/licenses/by-sa/3.0	</v>
    </spb>
    <spb s="0">
      <v xml:space="preserve">Wikipedia	</v>
      <v xml:space="preserve">CC-BY-SA	</v>
      <v xml:space="preserve">http://en.wikipedia.org/wiki/Bajitpur_Upazila	</v>
      <v xml:space="preserve">http://creativecommons.org/licenses/by-sa/3.0/	</v>
    </spb>
    <spb s="1">
      <v>239</v>
      <v>239</v>
      <v>239</v>
      <v>239</v>
      <v>240</v>
      <v>239</v>
      <v>239</v>
      <v>239</v>
      <v>239</v>
      <v>239</v>
    </spb>
    <spb s="0">
      <v xml:space="preserve">Wikipedia	</v>
      <v xml:space="preserve">CC BY-SA 3.0	</v>
      <v xml:space="preserve">https://en.wikipedia.org/wiki/Moulvibazar_District	</v>
      <v xml:space="preserve">https://creativecommons.org/licenses/by-sa/3.0	</v>
    </spb>
    <spb s="26">
      <v>242</v>
      <v>242</v>
      <v>242</v>
      <v>242</v>
      <v>242</v>
      <v>242</v>
      <v>242</v>
      <v>242</v>
      <v>242</v>
    </spb>
    <spb s="2">
      <v>16</v>
      <v>Name</v>
      <v>LearnMoreOnLink</v>
    </spb>
    <spb s="0">
      <v xml:space="preserve">Wikipedia	</v>
      <v xml:space="preserve">CC BY-SA 3.0	</v>
      <v xml:space="preserve">https://en.wikipedia.org/wiki/Nageshwari_Upazila	</v>
      <v xml:space="preserve">https://creativecommons.org/licenses/by-sa/3.0	</v>
    </spb>
    <spb s="0">
      <v xml:space="preserve">Wikipedia	</v>
      <v xml:space="preserve">CC-BY-SA	</v>
      <v xml:space="preserve">http://en.wikipedia.org/wiki/Nageshwari_Upazila	</v>
      <v xml:space="preserve">http://creativecommons.org/licenses/by-sa/3.0/	</v>
    </spb>
    <spb s="1">
      <v>245</v>
      <v>245</v>
      <v>245</v>
      <v>245</v>
      <v>246</v>
      <v>245</v>
      <v>245</v>
      <v>245</v>
      <v>245</v>
      <v>245</v>
    </spb>
    <spb s="0">
      <v xml:space="preserve">Wikipedia	</v>
      <v xml:space="preserve">CC BY-SA 3.0	</v>
      <v xml:space="preserve">https://en.wikipedia.org/wiki/Patiya_Upazila	</v>
      <v xml:space="preserve">https://creativecommons.org/licenses/by-sa/3.0	</v>
    </spb>
    <spb s="0">
      <v xml:space="preserve">Wikipedia	</v>
      <v xml:space="preserve">CC-BY-SA	</v>
      <v xml:space="preserve">http://en.wikipedia.org/wiki/Patiya_Upazila	</v>
      <v xml:space="preserve">http://creativecommons.org/licenses/by-sa/3.0/	</v>
    </spb>
    <spb s="1">
      <v>248</v>
      <v>248</v>
      <v>248</v>
      <v>248</v>
      <v>249</v>
      <v>248</v>
      <v>248</v>
      <v>248</v>
      <v>248</v>
      <v>248</v>
    </spb>
    <spb s="0">
      <v xml:space="preserve">Wikipedia	Wikipedia	</v>
      <v xml:space="preserve">CC-BY-SA	CC-BY-SA	</v>
      <v xml:space="preserve">http://en.wikipedia.org/wiki/Påläng	http://sv.wikipedia.org/wiki/index.html?curid=84654	</v>
      <v xml:space="preserve">http://creativecommons.org/licenses/by-sa/3.0/	http://creativecommons.org/licenses/by-sa/3.0/	</v>
    </spb>
    <spb s="0">
      <v xml:space="preserve">Wikipedia	</v>
      <v xml:space="preserve">CC BY-SA 3.0	</v>
      <v xml:space="preserve">https://en.wikipedia.org/wiki/P%C3%A5l%C3%A4ng	</v>
      <v xml:space="preserve">https://creativecommons.org/licenses/by-sa/3.0	</v>
    </spb>
    <spb s="1">
      <v>251</v>
      <v>252</v>
      <v>252</v>
      <v>252</v>
      <v>252</v>
      <v>252</v>
      <v>252</v>
      <v>252</v>
      <v>252</v>
      <v>252</v>
    </spb>
    <spb s="7">
      <v>square km</v>
      <v>2020</v>
    </spb>
    <spb s="0">
      <v xml:space="preserve">Wikipedia	</v>
      <v xml:space="preserve">CC BY-SA 3.0	</v>
      <v xml:space="preserve">https://en.wikipedia.org/wiki/Tangail	</v>
      <v xml:space="preserve">https://creativecommons.org/licenses/by-sa/3.0	</v>
    </spb>
    <spb s="0">
      <v xml:space="preserve">Wikipedia	</v>
      <v xml:space="preserve">CC-BY-SA	</v>
      <v xml:space="preserve">http://en.wikipedia.org/wiki/Tangail	</v>
      <v xml:space="preserve">http://creativecommons.org/licenses/by-sa/3.0/	</v>
    </spb>
    <spb s="1">
      <v>255</v>
      <v>255</v>
      <v>255</v>
      <v>255</v>
      <v>256</v>
      <v>255</v>
      <v>255</v>
      <v>255</v>
      <v>255</v>
      <v>255</v>
    </spb>
    <spb s="0">
      <v xml:space="preserve">Wikipedia	</v>
      <v xml:space="preserve">CC BY-SA 3.0	</v>
      <v xml:space="preserve">https://en.wikipedia.org/wiki/Muktagacha_Upazila	</v>
      <v xml:space="preserve">https://creativecommons.org/licenses/by-sa/3.0	</v>
    </spb>
    <spb s="0">
      <v xml:space="preserve">Wikipedia	</v>
      <v xml:space="preserve">CC-BY-SA	</v>
      <v xml:space="preserve">http://en.wikipedia.org/wiki/Muktagacha_Upazila	</v>
      <v xml:space="preserve">http://creativecommons.org/licenses/by-sa/3.0/	</v>
    </spb>
    <spb s="1">
      <v>258</v>
      <v>258</v>
      <v>258</v>
      <v>258</v>
      <v>259</v>
      <v>258</v>
      <v>258</v>
      <v>258</v>
      <v>258</v>
      <v>258</v>
    </spb>
    <spb s="0">
      <v xml:space="preserve">Wikipedia	</v>
      <v xml:space="preserve">CC BY-SA 3.0	</v>
      <v xml:space="preserve">https://en.wikipedia.org/wiki/Nabinagar	</v>
      <v xml:space="preserve">https://creativecommons.org/licenses/by-sa/3.0	</v>
    </spb>
    <spb s="0">
      <v xml:space="preserve">Wikipedia	</v>
      <v xml:space="preserve">CC-BY-SA	</v>
      <v xml:space="preserve">http://en.wikipedia.org/wiki/Nabinagar_Upazila	</v>
      <v xml:space="preserve">http://creativecommons.org/licenses/by-sa/3.0/	</v>
    </spb>
    <spb s="1">
      <v>261</v>
      <v>261</v>
      <v>261</v>
      <v>261</v>
      <v>262</v>
      <v>261</v>
      <v>261</v>
      <v>261</v>
      <v>261</v>
      <v>261</v>
    </spb>
    <spb s="0">
      <v xml:space="preserve">Wikipedia	</v>
      <v xml:space="preserve">CC BY-SA 3.0	</v>
      <v xml:space="preserve">https://en.wikipedia.org/wiki/Nabinagar_Upazila	</v>
      <v xml:space="preserve">https://creativecommons.org/licenses/by-sa/3.0	</v>
    </spb>
    <spb s="0">
      <v xml:space="preserve">Wikipedia	</v>
      <v xml:space="preserve">CC BY-SA 3.0	</v>
      <v xml:space="preserve">https://en.wikipedia.org/wiki/Mehendiganj_Upazila	</v>
      <v xml:space="preserve">https://creativecommons.org/licenses/by-sa/3.0	</v>
    </spb>
    <spb s="1">
      <v>265</v>
      <v>265</v>
      <v>265</v>
      <v>265</v>
      <v>265</v>
      <v>265</v>
      <v>265</v>
      <v>265</v>
      <v>265</v>
      <v>265</v>
    </spb>
    <spb s="0">
      <v xml:space="preserve">Wikipedia	</v>
      <v xml:space="preserve">CC BY-SA 3.0	</v>
      <v xml:space="preserve">https://en.wikipedia.org/wiki/Bandarban_District	</v>
      <v xml:space="preserve">https://creativecommons.org/licenses/by-sa/3.0	</v>
    </spb>
    <spb s="9">
      <v>267</v>
      <v>267</v>
      <v>267</v>
      <v>267</v>
      <v>267</v>
      <v>267</v>
      <v>267</v>
    </spb>
    <spb s="2">
      <v>17</v>
      <v>Name</v>
      <v>LearnMoreOnLink</v>
    </spb>
    <spb s="27">
      <v>3</v>
      <v>3</v>
      <v>3</v>
      <v>3</v>
    </spb>
    <spb s="7">
      <v>square km</v>
      <v>2022</v>
    </spb>
  </spbData>
</supportingPropertyBags>
</file>

<file path=xl/richData/rdsupportingpropertybagstructure.xml><?xml version="1.0" encoding="utf-8"?>
<spbStructures xmlns="http://schemas.microsoft.com/office/spreadsheetml/2017/richdata2" count="28">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Country/region" t="spb"/>
    <k n="Admin Division 1 (State/province/other)" t="spb"/>
  </s>
  <s>
    <k n="Area" t="spb"/>
    <k n="Name" t="spb"/>
    <k n="Latitude" t="spb"/>
    <k n="Longitude" t="spb"/>
    <k n="Population" t="spb"/>
    <k n="UniqueName" t="spb"/>
    <k n="Description" t="spb"/>
    <k n="Country/region" t="spb"/>
  </s>
  <s>
    <k n="Area" t="spb"/>
    <k n="Name" t="spb"/>
    <k n="Latitude" t="spb"/>
    <k n="Longitude" t="spb"/>
    <k n="UniqueName" t="spb"/>
    <k n="Description" t="spb"/>
    <k n="Country/region" t="spb"/>
    <k n="Admin Division 1 (State/province/other)" t="spb"/>
    <k n="Admin Division 2 (County/district/other)" t="spb"/>
  </s>
  <s>
    <k n="Area" t="s"/>
  </s>
  <s>
    <k n="Name" t="spb"/>
    <k n="Latitude" t="spb"/>
    <k n="Longitude" t="spb"/>
    <k n="UniqueName" t="spb"/>
    <k n="Description" t="spb"/>
    <k n="Country/region" t="spb"/>
    <k n="Admin Division 1 (State/province/other)" t="spb"/>
  </s>
  <s>
    <k n="Area" t="spb"/>
    <k n="Name" t="spb"/>
    <k n="Population" t="spb"/>
    <k n="UniqueName" t="spb"/>
    <k n="Description" t="spb"/>
    <k n="Largest city" t="spb"/>
    <k n="Country/region" t="spb"/>
    <k n="Admin Division 1 (State/province/other)" t="spb"/>
  </s>
  <s>
    <k n="UniqueName" t="spb"/>
    <k n="LearnMoreOnLink" t="spb"/>
  </s>
  <s>
    <k n="Area" t="spb"/>
    <k n="Name" t="spb"/>
    <k n="Population" t="spb"/>
    <k n="UniqueName" t="spb"/>
    <k n="Description" t="spb"/>
    <k n="Country/region" t="spb"/>
  </s>
  <s>
    <k n="ShowInDotNotation" t="b"/>
    <k n="ShowInAutoComplete" t="b"/>
  </s>
  <s>
    <k n="UniqueName" t="spb"/>
    <k n="VDPID/VSID" t="spb"/>
    <k n="Description" t="spb"/>
    <k n="LearnMoreOnLink" t="spb"/>
  </s>
  <s>
    <k n="Name" t="i"/>
    <k n="Description" t="i"/>
  </s>
  <s>
    <k n="Area" t="spb"/>
    <k n="Name" t="spb"/>
    <k n="Population" t="spb"/>
    <k n="UniqueName" t="spb"/>
    <k n="Description" t="spb"/>
    <k n="Abbreviation" t="spb"/>
    <k n="Largest city" t="spb"/>
    <k n="Country/region" t="spb"/>
    <k n="Capital/Major City" t="spb"/>
  </s>
  <s>
    <k n="Name" t="spb"/>
    <k n="Latitude" t="spb"/>
    <k n="Longitude" t="spb"/>
    <k n="UniqueName" t="spb"/>
    <k n="Description" t="spb"/>
    <k n="Country/region" t="spb"/>
    <k n="Admin Division 1 (State/province/other)" t="spb"/>
    <k n="Admin Division 2 (County/district/other)" t="spb"/>
  </s>
  <s>
    <k n="Name" t="i"/>
  </s>
  <s>
    <k n="Name" t="spb"/>
    <k n="Latitude" t="spb"/>
    <k n="Longitude" t="spb"/>
    <k n="UniqueName" t="spb"/>
    <k n="Description" t="spb"/>
    <k n="Country/region" t="spb"/>
  </s>
  <s>
    <k n="Name" t="spb"/>
    <k n="Latitude" t="spb"/>
    <k n="Longitude" t="spb"/>
    <k n="Population" t="spb"/>
    <k n="UniqueName" t="spb"/>
    <k n="Description" t="spb"/>
    <k n="Country/region" t="spb"/>
    <k n="Admin Division 1 (State/province/other)" t="spb"/>
    <k n="Admin Division 2 (County/district/other)" t="spb"/>
  </s>
  <s>
    <k n="Population" t="s"/>
  </s>
  <s>
    <k n="Area" t="spb"/>
    <k n="Name" t="spb"/>
    <k n="Latitude" t="spb"/>
    <k n="Longitude" t="spb"/>
    <k n="Population" t="spb"/>
    <k n="UniqueName" t="spb"/>
    <k n="Description" t="spb"/>
    <k n="Country/region" t="spb"/>
    <k n="Admin Division 1 (State/province/other)" t="spb"/>
  </s>
  <s>
    <k n="UniqueName" t="spb"/>
    <k n="VDPID/VSID" t="spb"/>
    <k n="Time zone(s)" t="spb"/>
    <k n="LearnMoreOnLink"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Pr n="RequiresInlineAttribution" t="b"/>
  </richProperties>
  <richStyles>
    <rSty>
      <rpv i="0">1</rpv>
    </rSty>
    <rSty>
      <rpv i="1">1</rpv>
    </rSty>
    <rSty dxfid="0">
      <rpv i="2">#,##0</rpv>
    </rSty>
    <rSty dxfid="1">
      <rpv i="2">0.0000</rpv>
    </rSty>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F3CBC-E33D-4081-99AB-2929CEFD8A8E}">
  <dimension ref="A1:H1001"/>
  <sheetViews>
    <sheetView workbookViewId="0">
      <selection sqref="A1:H1"/>
    </sheetView>
  </sheetViews>
  <sheetFormatPr defaultRowHeight="15" x14ac:dyDescent="0.25"/>
  <cols>
    <col min="1" max="1" width="11.7109375" bestFit="1" customWidth="1"/>
    <col min="2" max="2" width="13.42578125" bestFit="1" customWidth="1"/>
    <col min="3" max="3" width="15.28515625" bestFit="1" customWidth="1"/>
    <col min="4" max="4" width="36" bestFit="1" customWidth="1"/>
    <col min="5" max="5" width="12.28515625" bestFit="1" customWidth="1"/>
    <col min="6" max="6" width="14.28515625" bestFit="1" customWidth="1"/>
    <col min="7" max="7" width="11.42578125" bestFit="1" customWidth="1"/>
    <col min="8" max="8" width="20.42578125" bestFit="1"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13</v>
      </c>
      <c r="H3" t="s">
        <v>20</v>
      </c>
    </row>
    <row r="4" spans="1:8" x14ac:dyDescent="0.25">
      <c r="A4">
        <v>3</v>
      </c>
      <c r="B4" t="s">
        <v>21</v>
      </c>
      <c r="C4" t="s">
        <v>22</v>
      </c>
      <c r="D4" t="s">
        <v>23</v>
      </c>
      <c r="E4" t="s">
        <v>18</v>
      </c>
      <c r="F4" t="s">
        <v>24</v>
      </c>
      <c r="G4" t="s">
        <v>13</v>
      </c>
      <c r="H4" t="s">
        <v>25</v>
      </c>
    </row>
    <row r="5" spans="1:8" x14ac:dyDescent="0.25">
      <c r="A5">
        <v>4</v>
      </c>
      <c r="B5" t="s">
        <v>4024</v>
      </c>
      <c r="C5" t="s">
        <v>27</v>
      </c>
      <c r="D5" t="s">
        <v>28</v>
      </c>
      <c r="E5" t="s">
        <v>29</v>
      </c>
      <c r="F5" t="s">
        <v>30</v>
      </c>
      <c r="G5" t="s">
        <v>13</v>
      </c>
      <c r="H5" t="s">
        <v>31</v>
      </c>
    </row>
    <row r="6" spans="1:8" x14ac:dyDescent="0.25">
      <c r="A6">
        <v>5</v>
      </c>
      <c r="B6" t="s">
        <v>32</v>
      </c>
      <c r="C6" t="s">
        <v>33</v>
      </c>
      <c r="D6" t="s">
        <v>34</v>
      </c>
      <c r="E6" t="s">
        <v>11</v>
      </c>
      <c r="F6" t="s">
        <v>35</v>
      </c>
      <c r="G6" t="s">
        <v>13</v>
      </c>
      <c r="H6" t="s">
        <v>36</v>
      </c>
    </row>
    <row r="7" spans="1:8" x14ac:dyDescent="0.25">
      <c r="B7" t="s">
        <v>37</v>
      </c>
      <c r="C7" t="s">
        <v>38</v>
      </c>
      <c r="D7" t="s">
        <v>39</v>
      </c>
      <c r="E7" t="s">
        <v>18</v>
      </c>
      <c r="F7" t="s">
        <v>40</v>
      </c>
      <c r="G7" t="s">
        <v>4034</v>
      </c>
      <c r="H7" t="s">
        <v>41</v>
      </c>
    </row>
    <row r="8" spans="1:8" x14ac:dyDescent="0.25">
      <c r="A8">
        <v>7</v>
      </c>
      <c r="B8" t="s">
        <v>42</v>
      </c>
      <c r="C8" t="s">
        <v>43</v>
      </c>
      <c r="D8" t="s">
        <v>44</v>
      </c>
      <c r="E8" t="s">
        <v>11</v>
      </c>
      <c r="F8" t="s">
        <v>45</v>
      </c>
      <c r="G8" t="s">
        <v>13</v>
      </c>
      <c r="H8" t="s">
        <v>46</v>
      </c>
    </row>
    <row r="9" spans="1:8" x14ac:dyDescent="0.25">
      <c r="A9">
        <v>8</v>
      </c>
      <c r="B9" t="s">
        <v>47</v>
      </c>
      <c r="C9" t="s">
        <v>48</v>
      </c>
      <c r="D9" t="s">
        <v>49</v>
      </c>
      <c r="E9" t="s">
        <v>11</v>
      </c>
      <c r="F9" t="s">
        <v>50</v>
      </c>
      <c r="G9" t="s">
        <v>13</v>
      </c>
      <c r="H9" t="s">
        <v>51</v>
      </c>
    </row>
    <row r="10" spans="1:8" x14ac:dyDescent="0.25">
      <c r="A10">
        <v>9</v>
      </c>
      <c r="B10" t="s">
        <v>52</v>
      </c>
      <c r="C10" t="s">
        <v>53</v>
      </c>
      <c r="D10" t="s">
        <v>54</v>
      </c>
      <c r="E10" t="s">
        <v>18</v>
      </c>
      <c r="F10" t="s">
        <v>55</v>
      </c>
      <c r="G10" t="s">
        <v>13</v>
      </c>
      <c r="H10" t="s">
        <v>56</v>
      </c>
    </row>
    <row r="11" spans="1:8" x14ac:dyDescent="0.25">
      <c r="A11">
        <v>10</v>
      </c>
      <c r="B11" t="s">
        <v>57</v>
      </c>
      <c r="C11" t="s">
        <v>58</v>
      </c>
      <c r="D11" t="s">
        <v>59</v>
      </c>
      <c r="E11" t="s">
        <v>11</v>
      </c>
      <c r="F11" t="s">
        <v>60</v>
      </c>
      <c r="G11" t="s">
        <v>13</v>
      </c>
      <c r="H11" t="s">
        <v>61</v>
      </c>
    </row>
    <row r="12" spans="1:8" x14ac:dyDescent="0.25">
      <c r="A12">
        <v>11</v>
      </c>
      <c r="B12" t="s">
        <v>62</v>
      </c>
      <c r="C12" t="s">
        <v>63</v>
      </c>
      <c r="D12" t="s">
        <v>64</v>
      </c>
      <c r="E12" t="s">
        <v>11</v>
      </c>
      <c r="F12" t="s">
        <v>65</v>
      </c>
      <c r="G12" t="s">
        <v>13</v>
      </c>
      <c r="H12" t="s">
        <v>66</v>
      </c>
    </row>
    <row r="13" spans="1:8" x14ac:dyDescent="0.25">
      <c r="A13">
        <v>12</v>
      </c>
      <c r="B13" t="s">
        <v>67</v>
      </c>
      <c r="C13" t="s">
        <v>68</v>
      </c>
      <c r="D13" t="s">
        <v>69</v>
      </c>
      <c r="E13" t="s">
        <v>18</v>
      </c>
      <c r="F13" t="s">
        <v>70</v>
      </c>
      <c r="G13" t="s">
        <v>13</v>
      </c>
      <c r="H13" t="s">
        <v>71</v>
      </c>
    </row>
    <row r="14" spans="1:8" x14ac:dyDescent="0.25">
      <c r="A14">
        <v>13</v>
      </c>
      <c r="B14" t="s">
        <v>72</v>
      </c>
      <c r="C14" t="s">
        <v>73</v>
      </c>
      <c r="D14" t="s">
        <v>74</v>
      </c>
      <c r="E14" t="s">
        <v>18</v>
      </c>
      <c r="F14" t="s">
        <v>75</v>
      </c>
      <c r="G14" t="s">
        <v>13</v>
      </c>
      <c r="H14" t="s">
        <v>76</v>
      </c>
    </row>
    <row r="15" spans="1:8" x14ac:dyDescent="0.25">
      <c r="A15">
        <v>14</v>
      </c>
      <c r="B15" t="s">
        <v>77</v>
      </c>
      <c r="C15" t="s">
        <v>78</v>
      </c>
      <c r="D15" t="s">
        <v>79</v>
      </c>
      <c r="E15" t="s">
        <v>11</v>
      </c>
      <c r="F15" t="s">
        <v>80</v>
      </c>
      <c r="G15" t="s">
        <v>13</v>
      </c>
      <c r="H15" t="s">
        <v>81</v>
      </c>
    </row>
    <row r="16" spans="1:8" x14ac:dyDescent="0.25">
      <c r="A16">
        <v>15</v>
      </c>
      <c r="B16" t="s">
        <v>82</v>
      </c>
      <c r="C16" t="s">
        <v>83</v>
      </c>
      <c r="D16" t="s">
        <v>84</v>
      </c>
      <c r="E16" t="s">
        <v>18</v>
      </c>
      <c r="F16" t="s">
        <v>85</v>
      </c>
      <c r="G16" t="s">
        <v>13</v>
      </c>
      <c r="H16" t="s">
        <v>86</v>
      </c>
    </row>
    <row r="17" spans="1:8" x14ac:dyDescent="0.25">
      <c r="A17">
        <v>16</v>
      </c>
      <c r="B17" t="s">
        <v>87</v>
      </c>
      <c r="C17" t="s">
        <v>88</v>
      </c>
      <c r="D17" t="s">
        <v>89</v>
      </c>
      <c r="E17" t="s">
        <v>18</v>
      </c>
      <c r="F17" t="s">
        <v>90</v>
      </c>
      <c r="G17" t="s">
        <v>13</v>
      </c>
      <c r="H17" t="s">
        <v>91</v>
      </c>
    </row>
    <row r="18" spans="1:8" x14ac:dyDescent="0.25">
      <c r="A18">
        <v>17</v>
      </c>
      <c r="B18" t="s">
        <v>92</v>
      </c>
      <c r="C18" t="s">
        <v>93</v>
      </c>
      <c r="D18" t="s">
        <v>94</v>
      </c>
      <c r="E18" t="s">
        <v>11</v>
      </c>
      <c r="F18" t="s">
        <v>95</v>
      </c>
      <c r="G18" t="s">
        <v>13</v>
      </c>
      <c r="H18" t="s">
        <v>96</v>
      </c>
    </row>
    <row r="19" spans="1:8" x14ac:dyDescent="0.25">
      <c r="A19">
        <v>18</v>
      </c>
      <c r="B19" t="s">
        <v>97</v>
      </c>
      <c r="C19" t="s">
        <v>98</v>
      </c>
      <c r="D19" t="s">
        <v>99</v>
      </c>
      <c r="E19" t="s">
        <v>11</v>
      </c>
      <c r="F19" t="s">
        <v>100</v>
      </c>
      <c r="G19" t="s">
        <v>13</v>
      </c>
      <c r="H19" t="s">
        <v>101</v>
      </c>
    </row>
    <row r="20" spans="1:8" x14ac:dyDescent="0.25">
      <c r="A20">
        <v>19</v>
      </c>
      <c r="B20" t="s">
        <v>102</v>
      </c>
      <c r="C20" t="s">
        <v>103</v>
      </c>
      <c r="D20" t="s">
        <v>104</v>
      </c>
      <c r="E20" t="s">
        <v>18</v>
      </c>
      <c r="F20" t="s">
        <v>105</v>
      </c>
      <c r="G20" t="s">
        <v>13</v>
      </c>
      <c r="H20" t="s">
        <v>36</v>
      </c>
    </row>
    <row r="21" spans="1:8" x14ac:dyDescent="0.25">
      <c r="A21">
        <v>20</v>
      </c>
      <c r="B21" t="s">
        <v>106</v>
      </c>
      <c r="C21" t="s">
        <v>107</v>
      </c>
      <c r="D21" t="s">
        <v>108</v>
      </c>
      <c r="E21" t="s">
        <v>11</v>
      </c>
      <c r="F21" t="s">
        <v>109</v>
      </c>
      <c r="G21" t="s">
        <v>13</v>
      </c>
      <c r="H21" t="s">
        <v>110</v>
      </c>
    </row>
    <row r="22" spans="1:8" x14ac:dyDescent="0.25">
      <c r="A22">
        <v>21</v>
      </c>
      <c r="B22" t="s">
        <v>111</v>
      </c>
      <c r="C22" t="s">
        <v>112</v>
      </c>
      <c r="D22" t="s">
        <v>113</v>
      </c>
      <c r="E22" t="s">
        <v>11</v>
      </c>
      <c r="F22" t="s">
        <v>114</v>
      </c>
      <c r="G22" t="s">
        <v>13</v>
      </c>
      <c r="H22" t="s">
        <v>115</v>
      </c>
    </row>
    <row r="23" spans="1:8" x14ac:dyDescent="0.25">
      <c r="A23">
        <v>22</v>
      </c>
      <c r="B23" t="s">
        <v>116</v>
      </c>
      <c r="C23" t="s">
        <v>117</v>
      </c>
      <c r="D23" t="s">
        <v>118</v>
      </c>
      <c r="E23" t="s">
        <v>18</v>
      </c>
      <c r="F23" t="s">
        <v>119</v>
      </c>
      <c r="G23" t="s">
        <v>13</v>
      </c>
      <c r="H23" t="s">
        <v>120</v>
      </c>
    </row>
    <row r="24" spans="1:8" x14ac:dyDescent="0.25">
      <c r="A24">
        <v>23</v>
      </c>
      <c r="B24" t="s">
        <v>121</v>
      </c>
      <c r="C24" t="s">
        <v>122</v>
      </c>
      <c r="D24" t="s">
        <v>123</v>
      </c>
      <c r="E24" t="s">
        <v>18</v>
      </c>
      <c r="F24" t="s">
        <v>124</v>
      </c>
      <c r="G24" t="s">
        <v>13</v>
      </c>
      <c r="H24" t="s">
        <v>125</v>
      </c>
    </row>
    <row r="25" spans="1:8" x14ac:dyDescent="0.25">
      <c r="A25">
        <v>24</v>
      </c>
      <c r="B25" t="s">
        <v>126</v>
      </c>
      <c r="C25" t="s">
        <v>127</v>
      </c>
      <c r="D25" t="s">
        <v>128</v>
      </c>
      <c r="E25" t="s">
        <v>18</v>
      </c>
      <c r="F25" t="s">
        <v>129</v>
      </c>
      <c r="G25" t="s">
        <v>13</v>
      </c>
      <c r="H25" t="s">
        <v>130</v>
      </c>
    </row>
    <row r="26" spans="1:8" x14ac:dyDescent="0.25">
      <c r="A26">
        <v>25</v>
      </c>
      <c r="B26" t="s">
        <v>131</v>
      </c>
      <c r="C26" t="s">
        <v>132</v>
      </c>
      <c r="D26" t="s">
        <v>133</v>
      </c>
      <c r="E26" t="s">
        <v>11</v>
      </c>
      <c r="F26" t="s">
        <v>134</v>
      </c>
      <c r="G26" t="s">
        <v>13</v>
      </c>
      <c r="H26" t="s">
        <v>135</v>
      </c>
    </row>
    <row r="27" spans="1:8" x14ac:dyDescent="0.25">
      <c r="A27">
        <v>26</v>
      </c>
      <c r="B27" t="s">
        <v>136</v>
      </c>
      <c r="C27" t="s">
        <v>137</v>
      </c>
      <c r="D27" t="s">
        <v>138</v>
      </c>
      <c r="E27" t="s">
        <v>11</v>
      </c>
      <c r="F27" t="s">
        <v>139</v>
      </c>
      <c r="G27" t="s">
        <v>13</v>
      </c>
      <c r="H27" t="s">
        <v>140</v>
      </c>
    </row>
    <row r="28" spans="1:8" x14ac:dyDescent="0.25">
      <c r="A28">
        <v>27</v>
      </c>
      <c r="B28" t="s">
        <v>141</v>
      </c>
      <c r="C28" t="s">
        <v>142</v>
      </c>
      <c r="D28" t="s">
        <v>143</v>
      </c>
      <c r="E28" t="s">
        <v>11</v>
      </c>
      <c r="F28" t="s">
        <v>144</v>
      </c>
      <c r="G28" t="s">
        <v>13</v>
      </c>
      <c r="H28" t="s">
        <v>140</v>
      </c>
    </row>
    <row r="29" spans="1:8" x14ac:dyDescent="0.25">
      <c r="A29">
        <v>28</v>
      </c>
      <c r="B29" t="s">
        <v>145</v>
      </c>
      <c r="C29" t="s">
        <v>146</v>
      </c>
      <c r="D29" t="s">
        <v>147</v>
      </c>
      <c r="E29" t="s">
        <v>11</v>
      </c>
      <c r="F29" t="s">
        <v>148</v>
      </c>
      <c r="G29" t="s">
        <v>13</v>
      </c>
      <c r="H29" t="s">
        <v>149</v>
      </c>
    </row>
    <row r="30" spans="1:8" x14ac:dyDescent="0.25">
      <c r="A30">
        <v>29</v>
      </c>
      <c r="B30" t="s">
        <v>150</v>
      </c>
      <c r="C30" t="s">
        <v>151</v>
      </c>
      <c r="D30" t="s">
        <v>152</v>
      </c>
      <c r="E30" t="s">
        <v>18</v>
      </c>
      <c r="F30" t="s">
        <v>153</v>
      </c>
      <c r="G30" t="s">
        <v>4033</v>
      </c>
      <c r="H30" t="s">
        <v>154</v>
      </c>
    </row>
    <row r="31" spans="1:8" x14ac:dyDescent="0.25">
      <c r="A31">
        <v>30</v>
      </c>
      <c r="B31" t="s">
        <v>155</v>
      </c>
      <c r="C31" t="s">
        <v>156</v>
      </c>
      <c r="D31" t="s">
        <v>157</v>
      </c>
      <c r="E31" t="s">
        <v>18</v>
      </c>
      <c r="F31" t="s">
        <v>158</v>
      </c>
      <c r="G31" t="s">
        <v>13</v>
      </c>
      <c r="H31" t="s">
        <v>110</v>
      </c>
    </row>
    <row r="32" spans="1:8" x14ac:dyDescent="0.25">
      <c r="A32">
        <v>31</v>
      </c>
      <c r="B32" t="s">
        <v>159</v>
      </c>
      <c r="C32" t="s">
        <v>160</v>
      </c>
      <c r="D32" t="s">
        <v>161</v>
      </c>
      <c r="E32" t="s">
        <v>18</v>
      </c>
      <c r="F32" t="s">
        <v>162</v>
      </c>
      <c r="G32" t="s">
        <v>13</v>
      </c>
      <c r="H32" t="s">
        <v>163</v>
      </c>
    </row>
    <row r="33" spans="1:8" x14ac:dyDescent="0.25">
      <c r="A33">
        <v>32</v>
      </c>
      <c r="B33" t="s">
        <v>164</v>
      </c>
      <c r="C33" t="s">
        <v>165</v>
      </c>
      <c r="D33" t="s">
        <v>166</v>
      </c>
      <c r="E33" t="s">
        <v>11</v>
      </c>
      <c r="F33" t="s">
        <v>167</v>
      </c>
      <c r="G33" t="s">
        <v>13</v>
      </c>
      <c r="H33" t="s">
        <v>168</v>
      </c>
    </row>
    <row r="34" spans="1:8" x14ac:dyDescent="0.25">
      <c r="A34">
        <v>33</v>
      </c>
      <c r="B34" t="s">
        <v>169</v>
      </c>
      <c r="C34" t="s">
        <v>170</v>
      </c>
      <c r="D34" t="s">
        <v>171</v>
      </c>
      <c r="E34" t="s">
        <v>11</v>
      </c>
      <c r="F34" t="s">
        <v>172</v>
      </c>
      <c r="G34" t="s">
        <v>13</v>
      </c>
      <c r="H34" t="s">
        <v>173</v>
      </c>
    </row>
    <row r="35" spans="1:8" x14ac:dyDescent="0.25">
      <c r="A35">
        <v>34</v>
      </c>
      <c r="B35" t="s">
        <v>174</v>
      </c>
      <c r="C35" t="s">
        <v>175</v>
      </c>
      <c r="D35" t="s">
        <v>176</v>
      </c>
      <c r="E35" t="s">
        <v>11</v>
      </c>
      <c r="F35" t="s">
        <v>177</v>
      </c>
      <c r="G35" t="s">
        <v>13</v>
      </c>
      <c r="H35" t="s">
        <v>178</v>
      </c>
    </row>
    <row r="36" spans="1:8" x14ac:dyDescent="0.25">
      <c r="A36">
        <v>35</v>
      </c>
      <c r="B36" t="s">
        <v>179</v>
      </c>
      <c r="C36" t="s">
        <v>180</v>
      </c>
      <c r="D36" t="s">
        <v>181</v>
      </c>
      <c r="E36" t="s">
        <v>11</v>
      </c>
      <c r="F36" t="s">
        <v>182</v>
      </c>
      <c r="G36" t="s">
        <v>13</v>
      </c>
      <c r="H36" t="s">
        <v>183</v>
      </c>
    </row>
    <row r="37" spans="1:8" x14ac:dyDescent="0.25">
      <c r="A37">
        <v>36</v>
      </c>
      <c r="B37" t="s">
        <v>184</v>
      </c>
      <c r="C37" t="s">
        <v>185</v>
      </c>
      <c r="D37" t="s">
        <v>186</v>
      </c>
      <c r="E37" t="s">
        <v>11</v>
      </c>
      <c r="F37" t="s">
        <v>187</v>
      </c>
      <c r="G37" t="s">
        <v>13</v>
      </c>
      <c r="H37" t="s">
        <v>188</v>
      </c>
    </row>
    <row r="38" spans="1:8" x14ac:dyDescent="0.25">
      <c r="A38">
        <v>37</v>
      </c>
      <c r="B38" t="s">
        <v>189</v>
      </c>
      <c r="C38" t="s">
        <v>190</v>
      </c>
      <c r="D38" t="s">
        <v>191</v>
      </c>
      <c r="E38" t="s">
        <v>11</v>
      </c>
      <c r="F38" t="s">
        <v>192</v>
      </c>
      <c r="G38" t="s">
        <v>13</v>
      </c>
      <c r="H38" t="s">
        <v>140</v>
      </c>
    </row>
    <row r="39" spans="1:8" x14ac:dyDescent="0.25">
      <c r="A39">
        <v>38</v>
      </c>
      <c r="B39" t="s">
        <v>193</v>
      </c>
      <c r="C39" t="s">
        <v>194</v>
      </c>
      <c r="D39" t="s">
        <v>195</v>
      </c>
      <c r="E39" t="s">
        <v>11</v>
      </c>
      <c r="F39" t="s">
        <v>196</v>
      </c>
      <c r="G39" t="s">
        <v>13</v>
      </c>
      <c r="H39" t="s">
        <v>178</v>
      </c>
    </row>
    <row r="40" spans="1:8" x14ac:dyDescent="0.25">
      <c r="A40">
        <v>39</v>
      </c>
      <c r="B40" t="s">
        <v>197</v>
      </c>
      <c r="C40" t="s">
        <v>198</v>
      </c>
      <c r="D40" t="s">
        <v>199</v>
      </c>
      <c r="E40" t="s">
        <v>11</v>
      </c>
      <c r="F40" t="s">
        <v>200</v>
      </c>
      <c r="G40" t="s">
        <v>13</v>
      </c>
      <c r="H40" t="s">
        <v>115</v>
      </c>
    </row>
    <row r="41" spans="1:8" x14ac:dyDescent="0.25">
      <c r="A41">
        <v>40</v>
      </c>
      <c r="B41" t="s">
        <v>4025</v>
      </c>
      <c r="C41" t="s">
        <v>202</v>
      </c>
      <c r="D41" t="s">
        <v>203</v>
      </c>
      <c r="E41" t="s">
        <v>18</v>
      </c>
      <c r="F41" t="s">
        <v>204</v>
      </c>
      <c r="G41" t="s">
        <v>13</v>
      </c>
      <c r="H41" t="s">
        <v>205</v>
      </c>
    </row>
    <row r="42" spans="1:8" x14ac:dyDescent="0.25">
      <c r="A42">
        <v>41</v>
      </c>
      <c r="B42" t="s">
        <v>206</v>
      </c>
      <c r="C42" t="s">
        <v>207</v>
      </c>
      <c r="D42" t="s">
        <v>208</v>
      </c>
      <c r="E42" t="s">
        <v>11</v>
      </c>
      <c r="F42" t="s">
        <v>209</v>
      </c>
      <c r="G42" t="s">
        <v>13</v>
      </c>
      <c r="H42" t="s">
        <v>210</v>
      </c>
    </row>
    <row r="43" spans="1:8" x14ac:dyDescent="0.25">
      <c r="A43">
        <v>42</v>
      </c>
      <c r="B43" t="s">
        <v>211</v>
      </c>
      <c r="C43" t="s">
        <v>212</v>
      </c>
      <c r="D43" t="s">
        <v>213</v>
      </c>
      <c r="E43" t="s">
        <v>11</v>
      </c>
      <c r="F43" t="s">
        <v>214</v>
      </c>
      <c r="G43" t="s">
        <v>13</v>
      </c>
      <c r="H43" t="s">
        <v>215</v>
      </c>
    </row>
    <row r="44" spans="1:8" x14ac:dyDescent="0.25">
      <c r="A44">
        <v>43</v>
      </c>
      <c r="B44" t="s">
        <v>216</v>
      </c>
      <c r="C44" t="s">
        <v>217</v>
      </c>
      <c r="D44" t="s">
        <v>218</v>
      </c>
      <c r="E44" t="s">
        <v>11</v>
      </c>
      <c r="F44" t="s">
        <v>219</v>
      </c>
      <c r="G44" t="s">
        <v>13</v>
      </c>
      <c r="H44" t="s">
        <v>115</v>
      </c>
    </row>
    <row r="45" spans="1:8" x14ac:dyDescent="0.25">
      <c r="A45">
        <v>44</v>
      </c>
      <c r="B45" t="s">
        <v>220</v>
      </c>
      <c r="C45" t="s">
        <v>221</v>
      </c>
      <c r="D45" t="s">
        <v>222</v>
      </c>
      <c r="E45" t="s">
        <v>18</v>
      </c>
      <c r="F45" t="s">
        <v>223</v>
      </c>
      <c r="G45" t="s">
        <v>13</v>
      </c>
      <c r="H45" t="s">
        <v>224</v>
      </c>
    </row>
    <row r="46" spans="1:8" x14ac:dyDescent="0.25">
      <c r="A46">
        <v>45</v>
      </c>
      <c r="B46" t="s">
        <v>225</v>
      </c>
      <c r="C46" t="s">
        <v>226</v>
      </c>
      <c r="D46" t="s">
        <v>227</v>
      </c>
      <c r="E46" t="s">
        <v>228</v>
      </c>
      <c r="F46" t="s">
        <v>229</v>
      </c>
      <c r="G46" t="s">
        <v>13</v>
      </c>
      <c r="H46" t="s">
        <v>230</v>
      </c>
    </row>
    <row r="47" spans="1:8" x14ac:dyDescent="0.25">
      <c r="A47">
        <v>46</v>
      </c>
      <c r="B47" t="s">
        <v>231</v>
      </c>
      <c r="C47" t="s">
        <v>232</v>
      </c>
      <c r="D47" t="s">
        <v>233</v>
      </c>
      <c r="E47" t="s">
        <v>18</v>
      </c>
      <c r="F47" t="s">
        <v>234</v>
      </c>
      <c r="G47" t="s">
        <v>13</v>
      </c>
      <c r="H47" t="s">
        <v>135</v>
      </c>
    </row>
    <row r="48" spans="1:8" x14ac:dyDescent="0.25">
      <c r="A48">
        <v>47</v>
      </c>
      <c r="B48" t="s">
        <v>235</v>
      </c>
      <c r="C48" t="s">
        <v>236</v>
      </c>
      <c r="D48" t="s">
        <v>237</v>
      </c>
      <c r="E48" t="s">
        <v>11</v>
      </c>
      <c r="F48" t="s">
        <v>238</v>
      </c>
      <c r="G48" t="s">
        <v>13</v>
      </c>
      <c r="H48" t="s">
        <v>71</v>
      </c>
    </row>
    <row r="49" spans="1:8" x14ac:dyDescent="0.25">
      <c r="A49">
        <v>48</v>
      </c>
      <c r="B49" t="s">
        <v>239</v>
      </c>
      <c r="C49" t="s">
        <v>240</v>
      </c>
      <c r="D49" t="s">
        <v>241</v>
      </c>
      <c r="E49" t="s">
        <v>11</v>
      </c>
      <c r="F49" t="s">
        <v>242</v>
      </c>
      <c r="G49" t="s">
        <v>13</v>
      </c>
      <c r="H49" t="s">
        <v>243</v>
      </c>
    </row>
    <row r="50" spans="1:8" x14ac:dyDescent="0.25">
      <c r="A50">
        <v>49</v>
      </c>
      <c r="B50" t="s">
        <v>244</v>
      </c>
      <c r="C50" t="s">
        <v>245</v>
      </c>
      <c r="D50" t="s">
        <v>246</v>
      </c>
      <c r="E50" t="s">
        <v>11</v>
      </c>
      <c r="F50" t="s">
        <v>247</v>
      </c>
      <c r="G50" t="s">
        <v>13</v>
      </c>
      <c r="H50" t="s">
        <v>163</v>
      </c>
    </row>
    <row r="51" spans="1:8" x14ac:dyDescent="0.25">
      <c r="A51">
        <v>50</v>
      </c>
      <c r="B51" t="s">
        <v>248</v>
      </c>
      <c r="C51" t="s">
        <v>249</v>
      </c>
      <c r="D51" t="s">
        <v>250</v>
      </c>
      <c r="E51" t="s">
        <v>11</v>
      </c>
      <c r="F51" t="s">
        <v>251</v>
      </c>
      <c r="G51" t="s">
        <v>13</v>
      </c>
      <c r="H51" t="s">
        <v>252</v>
      </c>
    </row>
    <row r="52" spans="1:8" x14ac:dyDescent="0.25">
      <c r="A52">
        <v>51</v>
      </c>
      <c r="B52" t="s">
        <v>253</v>
      </c>
      <c r="C52" t="s">
        <v>254</v>
      </c>
      <c r="D52" t="s">
        <v>255</v>
      </c>
      <c r="E52" t="s">
        <v>11</v>
      </c>
      <c r="F52" t="s">
        <v>256</v>
      </c>
      <c r="G52" t="s">
        <v>13</v>
      </c>
      <c r="H52" t="s">
        <v>66</v>
      </c>
    </row>
    <row r="53" spans="1:8" x14ac:dyDescent="0.25">
      <c r="A53">
        <v>52</v>
      </c>
      <c r="B53" t="s">
        <v>257</v>
      </c>
      <c r="C53" t="s">
        <v>258</v>
      </c>
      <c r="D53" t="s">
        <v>259</v>
      </c>
      <c r="E53" t="s">
        <v>18</v>
      </c>
      <c r="F53" t="s">
        <v>260</v>
      </c>
      <c r="G53" t="s">
        <v>13</v>
      </c>
      <c r="H53" t="s">
        <v>261</v>
      </c>
    </row>
    <row r="54" spans="1:8" x14ac:dyDescent="0.25">
      <c r="A54">
        <v>53</v>
      </c>
      <c r="B54" t="s">
        <v>262</v>
      </c>
      <c r="C54" t="s">
        <v>263</v>
      </c>
      <c r="D54" t="s">
        <v>264</v>
      </c>
      <c r="E54" t="s">
        <v>11</v>
      </c>
      <c r="F54" t="s">
        <v>265</v>
      </c>
      <c r="G54" t="s">
        <v>13</v>
      </c>
      <c r="H54" t="s">
        <v>266</v>
      </c>
    </row>
    <row r="55" spans="1:8" x14ac:dyDescent="0.25">
      <c r="A55">
        <v>54</v>
      </c>
      <c r="B55" t="s">
        <v>267</v>
      </c>
      <c r="C55" t="s">
        <v>268</v>
      </c>
      <c r="D55" t="s">
        <v>269</v>
      </c>
      <c r="E55" t="s">
        <v>11</v>
      </c>
      <c r="F55" t="s">
        <v>270</v>
      </c>
      <c r="G55" t="s">
        <v>13</v>
      </c>
      <c r="H55" t="s">
        <v>205</v>
      </c>
    </row>
    <row r="56" spans="1:8" x14ac:dyDescent="0.25">
      <c r="A56">
        <v>55</v>
      </c>
      <c r="B56" t="s">
        <v>271</v>
      </c>
      <c r="C56" t="s">
        <v>272</v>
      </c>
      <c r="D56" t="s">
        <v>273</v>
      </c>
      <c r="E56" t="s">
        <v>274</v>
      </c>
      <c r="F56" t="s">
        <v>275</v>
      </c>
      <c r="G56" t="s">
        <v>13</v>
      </c>
      <c r="H56" t="s">
        <v>276</v>
      </c>
    </row>
    <row r="57" spans="1:8" x14ac:dyDescent="0.25">
      <c r="A57">
        <v>56</v>
      </c>
      <c r="B57" t="s">
        <v>277</v>
      </c>
      <c r="C57" t="s">
        <v>278</v>
      </c>
      <c r="D57" t="s">
        <v>279</v>
      </c>
      <c r="E57" t="s">
        <v>280</v>
      </c>
      <c r="F57" t="s">
        <v>281</v>
      </c>
      <c r="G57" t="s">
        <v>13</v>
      </c>
      <c r="H57" t="s">
        <v>282</v>
      </c>
    </row>
    <row r="58" spans="1:8" x14ac:dyDescent="0.25">
      <c r="A58">
        <v>57</v>
      </c>
      <c r="B58" t="s">
        <v>283</v>
      </c>
      <c r="C58" t="s">
        <v>284</v>
      </c>
      <c r="D58" t="s">
        <v>285</v>
      </c>
      <c r="E58" t="s">
        <v>18</v>
      </c>
      <c r="F58" t="s">
        <v>286</v>
      </c>
      <c r="G58" t="s">
        <v>13</v>
      </c>
      <c r="H58" t="s">
        <v>287</v>
      </c>
    </row>
    <row r="59" spans="1:8" x14ac:dyDescent="0.25">
      <c r="B59" t="s">
        <v>288</v>
      </c>
      <c r="C59" t="s">
        <v>289</v>
      </c>
      <c r="D59" t="s">
        <v>290</v>
      </c>
      <c r="E59" t="s">
        <v>11</v>
      </c>
      <c r="F59" t="s">
        <v>291</v>
      </c>
      <c r="G59" t="s">
        <v>13</v>
      </c>
      <c r="H59" t="s">
        <v>266</v>
      </c>
    </row>
    <row r="60" spans="1:8" x14ac:dyDescent="0.25">
      <c r="B60" t="s">
        <v>292</v>
      </c>
      <c r="C60" t="s">
        <v>293</v>
      </c>
      <c r="D60" t="s">
        <v>294</v>
      </c>
      <c r="E60" t="s">
        <v>11</v>
      </c>
      <c r="F60" t="s">
        <v>295</v>
      </c>
      <c r="G60" t="s">
        <v>13</v>
      </c>
      <c r="H60" t="s">
        <v>296</v>
      </c>
    </row>
    <row r="61" spans="1:8" x14ac:dyDescent="0.25">
      <c r="A61">
        <v>60</v>
      </c>
      <c r="B61" t="s">
        <v>297</v>
      </c>
      <c r="C61" t="s">
        <v>298</v>
      </c>
      <c r="D61" t="s">
        <v>299</v>
      </c>
      <c r="E61" t="s">
        <v>11</v>
      </c>
      <c r="F61" t="s">
        <v>300</v>
      </c>
      <c r="G61" t="s">
        <v>13</v>
      </c>
      <c r="H61" t="s">
        <v>140</v>
      </c>
    </row>
    <row r="62" spans="1:8" x14ac:dyDescent="0.25">
      <c r="A62">
        <v>61</v>
      </c>
      <c r="B62" t="s">
        <v>42</v>
      </c>
      <c r="C62" t="s">
        <v>301</v>
      </c>
      <c r="D62" t="s">
        <v>302</v>
      </c>
      <c r="E62" t="s">
        <v>11</v>
      </c>
      <c r="F62" t="s">
        <v>303</v>
      </c>
      <c r="G62" t="s">
        <v>13</v>
      </c>
      <c r="H62" t="s">
        <v>101</v>
      </c>
    </row>
    <row r="63" spans="1:8" x14ac:dyDescent="0.25">
      <c r="A63">
        <v>62</v>
      </c>
      <c r="B63" t="s">
        <v>304</v>
      </c>
      <c r="C63" t="s">
        <v>305</v>
      </c>
      <c r="D63" t="s">
        <v>306</v>
      </c>
      <c r="E63" t="s">
        <v>18</v>
      </c>
      <c r="F63" t="s">
        <v>307</v>
      </c>
      <c r="G63" t="s">
        <v>13</v>
      </c>
      <c r="H63" t="s">
        <v>308</v>
      </c>
    </row>
    <row r="64" spans="1:8" x14ac:dyDescent="0.25">
      <c r="A64">
        <v>63</v>
      </c>
      <c r="B64" t="s">
        <v>309</v>
      </c>
      <c r="C64" t="s">
        <v>310</v>
      </c>
      <c r="D64" t="s">
        <v>311</v>
      </c>
      <c r="E64" t="s">
        <v>18</v>
      </c>
      <c r="F64" t="s">
        <v>312</v>
      </c>
      <c r="G64" t="s">
        <v>13</v>
      </c>
      <c r="H64" t="s">
        <v>31</v>
      </c>
    </row>
    <row r="65" spans="1:8" x14ac:dyDescent="0.25">
      <c r="A65">
        <v>64</v>
      </c>
      <c r="B65" t="s">
        <v>313</v>
      </c>
      <c r="C65" t="s">
        <v>314</v>
      </c>
      <c r="D65" t="s">
        <v>315</v>
      </c>
      <c r="E65" t="s">
        <v>280</v>
      </c>
      <c r="F65" t="s">
        <v>316</v>
      </c>
      <c r="G65" t="s">
        <v>13</v>
      </c>
      <c r="H65" t="s">
        <v>317</v>
      </c>
    </row>
    <row r="66" spans="1:8" x14ac:dyDescent="0.25">
      <c r="A66">
        <v>65</v>
      </c>
      <c r="B66" t="s">
        <v>318</v>
      </c>
      <c r="C66" t="s">
        <v>319</v>
      </c>
      <c r="D66" t="s">
        <v>320</v>
      </c>
      <c r="E66" t="s">
        <v>11</v>
      </c>
      <c r="F66" t="s">
        <v>321</v>
      </c>
      <c r="G66" t="s">
        <v>13</v>
      </c>
      <c r="H66" t="s">
        <v>322</v>
      </c>
    </row>
    <row r="67" spans="1:8" x14ac:dyDescent="0.25">
      <c r="A67">
        <v>66</v>
      </c>
      <c r="B67" t="s">
        <v>323</v>
      </c>
      <c r="C67" t="s">
        <v>324</v>
      </c>
      <c r="D67" t="s">
        <v>325</v>
      </c>
      <c r="E67" t="s">
        <v>11</v>
      </c>
      <c r="F67" t="s">
        <v>326</v>
      </c>
      <c r="G67" t="s">
        <v>13</v>
      </c>
      <c r="H67" t="s">
        <v>135</v>
      </c>
    </row>
    <row r="68" spans="1:8" x14ac:dyDescent="0.25">
      <c r="B68" t="s">
        <v>327</v>
      </c>
      <c r="C68" t="s">
        <v>328</v>
      </c>
      <c r="D68" t="s">
        <v>329</v>
      </c>
      <c r="E68" t="s">
        <v>18</v>
      </c>
      <c r="F68" t="s">
        <v>330</v>
      </c>
      <c r="G68" t="s">
        <v>13</v>
      </c>
      <c r="H68" t="s">
        <v>331</v>
      </c>
    </row>
    <row r="69" spans="1:8" x14ac:dyDescent="0.25">
      <c r="A69">
        <v>68</v>
      </c>
      <c r="B69" t="s">
        <v>332</v>
      </c>
      <c r="C69" t="s">
        <v>333</v>
      </c>
      <c r="D69" t="s">
        <v>334</v>
      </c>
      <c r="E69" t="s">
        <v>18</v>
      </c>
      <c r="F69" t="s">
        <v>335</v>
      </c>
      <c r="G69" t="s">
        <v>13</v>
      </c>
      <c r="H69" t="s">
        <v>336</v>
      </c>
    </row>
    <row r="70" spans="1:8" x14ac:dyDescent="0.25">
      <c r="A70">
        <v>69</v>
      </c>
      <c r="B70" t="s">
        <v>337</v>
      </c>
      <c r="C70" t="s">
        <v>338</v>
      </c>
      <c r="D70" t="s">
        <v>339</v>
      </c>
      <c r="E70" t="s">
        <v>11</v>
      </c>
      <c r="F70" t="s">
        <v>340</v>
      </c>
      <c r="G70" t="s">
        <v>13</v>
      </c>
      <c r="H70" t="s">
        <v>178</v>
      </c>
    </row>
    <row r="71" spans="1:8" x14ac:dyDescent="0.25">
      <c r="A71">
        <v>70</v>
      </c>
      <c r="B71" t="s">
        <v>341</v>
      </c>
      <c r="C71" t="s">
        <v>342</v>
      </c>
      <c r="D71" t="s">
        <v>343</v>
      </c>
      <c r="E71" t="s">
        <v>11</v>
      </c>
      <c r="F71" t="s">
        <v>344</v>
      </c>
      <c r="G71" t="s">
        <v>13</v>
      </c>
      <c r="H71" t="s">
        <v>345</v>
      </c>
    </row>
    <row r="72" spans="1:8" x14ac:dyDescent="0.25">
      <c r="A72">
        <v>71</v>
      </c>
      <c r="B72" t="s">
        <v>346</v>
      </c>
      <c r="C72" t="s">
        <v>347</v>
      </c>
      <c r="D72" t="s">
        <v>348</v>
      </c>
      <c r="E72" t="s">
        <v>11</v>
      </c>
      <c r="F72" t="s">
        <v>349</v>
      </c>
      <c r="G72" t="s">
        <v>13</v>
      </c>
      <c r="H72" t="s">
        <v>350</v>
      </c>
    </row>
    <row r="73" spans="1:8" x14ac:dyDescent="0.25">
      <c r="A73">
        <v>72</v>
      </c>
      <c r="B73" t="s">
        <v>351</v>
      </c>
      <c r="C73" t="s">
        <v>352</v>
      </c>
      <c r="D73" t="s">
        <v>353</v>
      </c>
      <c r="E73" t="s">
        <v>11</v>
      </c>
      <c r="F73" t="s">
        <v>354</v>
      </c>
      <c r="G73" t="s">
        <v>13</v>
      </c>
      <c r="H73" t="s">
        <v>308</v>
      </c>
    </row>
    <row r="74" spans="1:8" x14ac:dyDescent="0.25">
      <c r="B74" t="s">
        <v>355</v>
      </c>
      <c r="C74" t="s">
        <v>356</v>
      </c>
      <c r="D74" t="s">
        <v>357</v>
      </c>
      <c r="E74" t="s">
        <v>358</v>
      </c>
      <c r="F74" t="s">
        <v>359</v>
      </c>
      <c r="G74" t="s">
        <v>13</v>
      </c>
      <c r="H74" t="s">
        <v>360</v>
      </c>
    </row>
    <row r="75" spans="1:8" x14ac:dyDescent="0.25">
      <c r="A75">
        <v>74</v>
      </c>
      <c r="B75" t="s">
        <v>361</v>
      </c>
      <c r="C75" t="s">
        <v>362</v>
      </c>
      <c r="D75" t="s">
        <v>363</v>
      </c>
      <c r="E75" t="s">
        <v>11</v>
      </c>
      <c r="F75" t="s">
        <v>364</v>
      </c>
      <c r="G75" t="s">
        <v>13</v>
      </c>
      <c r="H75" t="s">
        <v>365</v>
      </c>
    </row>
    <row r="76" spans="1:8" x14ac:dyDescent="0.25">
      <c r="B76" t="s">
        <v>366</v>
      </c>
      <c r="C76" t="s">
        <v>367</v>
      </c>
      <c r="D76" t="s">
        <v>368</v>
      </c>
      <c r="E76" t="s">
        <v>18</v>
      </c>
      <c r="F76" t="s">
        <v>369</v>
      </c>
      <c r="G76" t="s">
        <v>13</v>
      </c>
      <c r="H76" t="s">
        <v>140</v>
      </c>
    </row>
    <row r="77" spans="1:8" x14ac:dyDescent="0.25">
      <c r="A77">
        <v>76</v>
      </c>
      <c r="B77" t="s">
        <v>370</v>
      </c>
      <c r="C77" t="s">
        <v>371</v>
      </c>
      <c r="D77" t="s">
        <v>372</v>
      </c>
      <c r="E77" t="s">
        <v>18</v>
      </c>
      <c r="F77" t="s">
        <v>373</v>
      </c>
      <c r="G77" t="s">
        <v>13</v>
      </c>
      <c r="H77" t="s">
        <v>374</v>
      </c>
    </row>
    <row r="78" spans="1:8" x14ac:dyDescent="0.25">
      <c r="A78">
        <v>77</v>
      </c>
      <c r="B78" t="s">
        <v>375</v>
      </c>
      <c r="C78" t="s">
        <v>376</v>
      </c>
      <c r="D78" t="s">
        <v>377</v>
      </c>
      <c r="E78" t="s">
        <v>18</v>
      </c>
      <c r="F78" t="s">
        <v>378</v>
      </c>
      <c r="G78" t="s">
        <v>13</v>
      </c>
      <c r="H78" t="s">
        <v>379</v>
      </c>
    </row>
    <row r="79" spans="1:8" x14ac:dyDescent="0.25">
      <c r="A79">
        <v>78</v>
      </c>
      <c r="B79" t="s">
        <v>4026</v>
      </c>
      <c r="C79" t="s">
        <v>381</v>
      </c>
      <c r="D79" t="s">
        <v>382</v>
      </c>
      <c r="E79" t="s">
        <v>11</v>
      </c>
      <c r="F79" t="s">
        <v>383</v>
      </c>
      <c r="G79" t="s">
        <v>13</v>
      </c>
      <c r="H79" t="s">
        <v>91</v>
      </c>
    </row>
    <row r="80" spans="1:8" x14ac:dyDescent="0.25">
      <c r="A80">
        <v>79</v>
      </c>
      <c r="B80" t="s">
        <v>384</v>
      </c>
      <c r="C80" t="s">
        <v>385</v>
      </c>
      <c r="D80" t="s">
        <v>386</v>
      </c>
      <c r="E80" t="s">
        <v>274</v>
      </c>
      <c r="F80" t="s">
        <v>387</v>
      </c>
      <c r="G80" t="s">
        <v>13</v>
      </c>
      <c r="H80" t="s">
        <v>56</v>
      </c>
    </row>
    <row r="81" spans="1:8" x14ac:dyDescent="0.25">
      <c r="A81">
        <v>80</v>
      </c>
      <c r="B81" t="s">
        <v>388</v>
      </c>
      <c r="C81" t="s">
        <v>389</v>
      </c>
      <c r="D81" t="s">
        <v>390</v>
      </c>
      <c r="E81" t="s">
        <v>11</v>
      </c>
      <c r="F81" t="s">
        <v>391</v>
      </c>
      <c r="G81" t="s">
        <v>13</v>
      </c>
      <c r="H81" t="s">
        <v>154</v>
      </c>
    </row>
    <row r="82" spans="1:8" x14ac:dyDescent="0.25">
      <c r="A82">
        <v>81</v>
      </c>
      <c r="B82" t="s">
        <v>392</v>
      </c>
      <c r="C82" t="s">
        <v>393</v>
      </c>
      <c r="D82" t="s">
        <v>394</v>
      </c>
      <c r="E82" t="s">
        <v>274</v>
      </c>
      <c r="F82" t="s">
        <v>395</v>
      </c>
      <c r="G82" t="s">
        <v>13</v>
      </c>
      <c r="H82" t="s">
        <v>287</v>
      </c>
    </row>
    <row r="83" spans="1:8" x14ac:dyDescent="0.25">
      <c r="A83">
        <v>82</v>
      </c>
      <c r="B83" t="s">
        <v>150</v>
      </c>
      <c r="C83" t="s">
        <v>396</v>
      </c>
      <c r="D83" t="s">
        <v>397</v>
      </c>
      <c r="E83" t="s">
        <v>18</v>
      </c>
      <c r="F83" t="s">
        <v>398</v>
      </c>
      <c r="G83" t="s">
        <v>13</v>
      </c>
      <c r="H83" t="s">
        <v>399</v>
      </c>
    </row>
    <row r="84" spans="1:8" x14ac:dyDescent="0.25">
      <c r="A84">
        <v>83</v>
      </c>
      <c r="B84" t="s">
        <v>400</v>
      </c>
      <c r="C84" t="s">
        <v>401</v>
      </c>
      <c r="D84" t="s">
        <v>402</v>
      </c>
      <c r="E84" t="s">
        <v>18</v>
      </c>
      <c r="F84" t="s">
        <v>403</v>
      </c>
      <c r="G84" t="s">
        <v>13</v>
      </c>
      <c r="H84" t="s">
        <v>404</v>
      </c>
    </row>
    <row r="85" spans="1:8" x14ac:dyDescent="0.25">
      <c r="A85">
        <v>84</v>
      </c>
      <c r="B85" t="s">
        <v>405</v>
      </c>
      <c r="C85" t="s">
        <v>406</v>
      </c>
      <c r="D85" t="s">
        <v>407</v>
      </c>
      <c r="E85" t="s">
        <v>11</v>
      </c>
      <c r="F85" t="s">
        <v>408</v>
      </c>
      <c r="G85" t="s">
        <v>13</v>
      </c>
      <c r="H85" t="s">
        <v>125</v>
      </c>
    </row>
    <row r="86" spans="1:8" x14ac:dyDescent="0.25">
      <c r="A86">
        <v>85</v>
      </c>
      <c r="B86" t="s">
        <v>409</v>
      </c>
      <c r="C86" t="s">
        <v>410</v>
      </c>
      <c r="D86" t="s">
        <v>411</v>
      </c>
      <c r="E86" t="s">
        <v>18</v>
      </c>
      <c r="F86" t="s">
        <v>412</v>
      </c>
      <c r="G86" t="s">
        <v>13</v>
      </c>
      <c r="H86" t="s">
        <v>71</v>
      </c>
    </row>
    <row r="87" spans="1:8" x14ac:dyDescent="0.25">
      <c r="A87">
        <v>86</v>
      </c>
      <c r="B87" t="s">
        <v>413</v>
      </c>
      <c r="C87" t="s">
        <v>414</v>
      </c>
      <c r="D87" t="s">
        <v>415</v>
      </c>
      <c r="E87" t="s">
        <v>11</v>
      </c>
      <c r="F87" t="s">
        <v>416</v>
      </c>
      <c r="G87" t="s">
        <v>13</v>
      </c>
      <c r="H87" t="s">
        <v>154</v>
      </c>
    </row>
    <row r="88" spans="1:8" x14ac:dyDescent="0.25">
      <c r="A88">
        <v>87</v>
      </c>
      <c r="B88" t="s">
        <v>417</v>
      </c>
      <c r="C88" t="s">
        <v>418</v>
      </c>
      <c r="D88" t="s">
        <v>419</v>
      </c>
      <c r="E88" t="s">
        <v>18</v>
      </c>
      <c r="F88" t="s">
        <v>420</v>
      </c>
      <c r="G88" t="s">
        <v>13</v>
      </c>
      <c r="H88" t="s">
        <v>215</v>
      </c>
    </row>
    <row r="89" spans="1:8" x14ac:dyDescent="0.25">
      <c r="A89">
        <v>88</v>
      </c>
      <c r="B89" t="s">
        <v>421</v>
      </c>
      <c r="C89" t="s">
        <v>422</v>
      </c>
      <c r="D89" t="s">
        <v>423</v>
      </c>
      <c r="E89" t="s">
        <v>18</v>
      </c>
      <c r="F89" t="s">
        <v>424</v>
      </c>
      <c r="G89" t="s">
        <v>13</v>
      </c>
      <c r="H89" t="s">
        <v>425</v>
      </c>
    </row>
    <row r="90" spans="1:8" x14ac:dyDescent="0.25">
      <c r="A90">
        <v>89</v>
      </c>
      <c r="B90" t="s">
        <v>426</v>
      </c>
      <c r="C90" t="s">
        <v>427</v>
      </c>
      <c r="D90" t="s">
        <v>428</v>
      </c>
      <c r="E90" t="s">
        <v>18</v>
      </c>
      <c r="F90" t="s">
        <v>429</v>
      </c>
      <c r="G90" t="s">
        <v>13</v>
      </c>
      <c r="H90" t="s">
        <v>81</v>
      </c>
    </row>
    <row r="91" spans="1:8" x14ac:dyDescent="0.25">
      <c r="A91">
        <v>90</v>
      </c>
      <c r="B91" t="s">
        <v>430</v>
      </c>
      <c r="C91" t="s">
        <v>431</v>
      </c>
      <c r="D91" t="s">
        <v>432</v>
      </c>
      <c r="E91" t="s">
        <v>18</v>
      </c>
      <c r="F91" t="s">
        <v>433</v>
      </c>
      <c r="G91" t="s">
        <v>13</v>
      </c>
      <c r="H91" t="s">
        <v>46</v>
      </c>
    </row>
    <row r="92" spans="1:8" x14ac:dyDescent="0.25">
      <c r="A92">
        <v>91</v>
      </c>
      <c r="B92" t="s">
        <v>434</v>
      </c>
      <c r="C92" t="s">
        <v>435</v>
      </c>
      <c r="D92" t="s">
        <v>436</v>
      </c>
      <c r="E92" t="s">
        <v>11</v>
      </c>
      <c r="F92" t="s">
        <v>437</v>
      </c>
      <c r="G92" t="s">
        <v>13</v>
      </c>
      <c r="H92" t="s">
        <v>438</v>
      </c>
    </row>
    <row r="93" spans="1:8" x14ac:dyDescent="0.25">
      <c r="A93">
        <v>92</v>
      </c>
      <c r="B93" t="s">
        <v>439</v>
      </c>
      <c r="C93" t="s">
        <v>440</v>
      </c>
      <c r="D93" t="s">
        <v>441</v>
      </c>
      <c r="E93" t="s">
        <v>11</v>
      </c>
      <c r="F93" t="s">
        <v>442</v>
      </c>
      <c r="G93" t="s">
        <v>13</v>
      </c>
      <c r="H93" t="s">
        <v>252</v>
      </c>
    </row>
    <row r="94" spans="1:8" x14ac:dyDescent="0.25">
      <c r="A94">
        <v>93</v>
      </c>
      <c r="B94" t="s">
        <v>443</v>
      </c>
      <c r="C94" t="s">
        <v>444</v>
      </c>
      <c r="D94" t="s">
        <v>445</v>
      </c>
      <c r="E94" t="s">
        <v>18</v>
      </c>
      <c r="F94" t="s">
        <v>446</v>
      </c>
      <c r="G94" t="s">
        <v>13</v>
      </c>
      <c r="H94" t="s">
        <v>365</v>
      </c>
    </row>
    <row r="95" spans="1:8" x14ac:dyDescent="0.25">
      <c r="B95" t="s">
        <v>447</v>
      </c>
      <c r="C95" t="s">
        <v>448</v>
      </c>
      <c r="D95" t="s">
        <v>449</v>
      </c>
      <c r="E95" t="s">
        <v>11</v>
      </c>
      <c r="F95" t="s">
        <v>450</v>
      </c>
      <c r="G95" t="s">
        <v>13</v>
      </c>
      <c r="H95" t="s">
        <v>360</v>
      </c>
    </row>
    <row r="96" spans="1:8" x14ac:dyDescent="0.25">
      <c r="A96">
        <v>95</v>
      </c>
      <c r="B96" t="s">
        <v>451</v>
      </c>
      <c r="C96" t="s">
        <v>452</v>
      </c>
      <c r="D96" t="s">
        <v>453</v>
      </c>
      <c r="E96" t="s">
        <v>11</v>
      </c>
      <c r="F96" t="s">
        <v>454</v>
      </c>
      <c r="G96" t="s">
        <v>13</v>
      </c>
      <c r="H96" t="s">
        <v>46</v>
      </c>
    </row>
    <row r="97" spans="1:8" x14ac:dyDescent="0.25">
      <c r="A97">
        <v>96</v>
      </c>
      <c r="B97" t="s">
        <v>455</v>
      </c>
      <c r="C97" t="s">
        <v>456</v>
      </c>
      <c r="D97" t="s">
        <v>457</v>
      </c>
      <c r="E97" t="s">
        <v>280</v>
      </c>
      <c r="F97" t="s">
        <v>458</v>
      </c>
      <c r="G97" t="s">
        <v>13</v>
      </c>
      <c r="H97" t="s">
        <v>56</v>
      </c>
    </row>
    <row r="98" spans="1:8" x14ac:dyDescent="0.25">
      <c r="A98">
        <v>97</v>
      </c>
      <c r="B98" t="s">
        <v>459</v>
      </c>
      <c r="C98" t="s">
        <v>460</v>
      </c>
      <c r="D98" t="s">
        <v>461</v>
      </c>
      <c r="E98" t="s">
        <v>18</v>
      </c>
      <c r="F98" t="s">
        <v>462</v>
      </c>
      <c r="G98" t="s">
        <v>13</v>
      </c>
      <c r="H98" t="s">
        <v>224</v>
      </c>
    </row>
    <row r="99" spans="1:8" x14ac:dyDescent="0.25">
      <c r="A99">
        <v>98</v>
      </c>
      <c r="B99" t="s">
        <v>463</v>
      </c>
      <c r="C99" t="s">
        <v>464</v>
      </c>
      <c r="D99" t="s">
        <v>465</v>
      </c>
      <c r="E99" t="s">
        <v>11</v>
      </c>
      <c r="F99" t="s">
        <v>466</v>
      </c>
      <c r="G99" t="s">
        <v>13</v>
      </c>
      <c r="H99" t="s">
        <v>188</v>
      </c>
    </row>
    <row r="100" spans="1:8" x14ac:dyDescent="0.25">
      <c r="A100">
        <v>99</v>
      </c>
      <c r="B100" t="s">
        <v>467</v>
      </c>
      <c r="C100" t="s">
        <v>468</v>
      </c>
      <c r="D100" t="s">
        <v>469</v>
      </c>
      <c r="E100" t="s">
        <v>18</v>
      </c>
      <c r="F100" t="s">
        <v>470</v>
      </c>
      <c r="G100" t="s">
        <v>13</v>
      </c>
      <c r="H100" t="s">
        <v>31</v>
      </c>
    </row>
    <row r="101" spans="1:8" x14ac:dyDescent="0.25">
      <c r="A101">
        <v>100</v>
      </c>
      <c r="B101" t="s">
        <v>471</v>
      </c>
      <c r="C101" t="s">
        <v>472</v>
      </c>
      <c r="D101" t="s">
        <v>473</v>
      </c>
      <c r="E101" t="s">
        <v>18</v>
      </c>
      <c r="F101" t="s">
        <v>474</v>
      </c>
      <c r="G101" t="s">
        <v>13</v>
      </c>
      <c r="H101" t="s">
        <v>261</v>
      </c>
    </row>
    <row r="102" spans="1:8" x14ac:dyDescent="0.25">
      <c r="A102">
        <v>101</v>
      </c>
      <c r="B102" t="s">
        <v>475</v>
      </c>
      <c r="C102" t="s">
        <v>476</v>
      </c>
      <c r="D102" t="s">
        <v>477</v>
      </c>
      <c r="E102" t="s">
        <v>11</v>
      </c>
      <c r="F102" t="s">
        <v>478</v>
      </c>
      <c r="G102" t="s">
        <v>13</v>
      </c>
      <c r="H102" t="s">
        <v>81</v>
      </c>
    </row>
    <row r="103" spans="1:8" x14ac:dyDescent="0.25">
      <c r="A103">
        <v>102</v>
      </c>
      <c r="B103" t="s">
        <v>479</v>
      </c>
      <c r="C103" t="s">
        <v>480</v>
      </c>
      <c r="D103" t="s">
        <v>481</v>
      </c>
      <c r="E103" t="s">
        <v>18</v>
      </c>
      <c r="F103" t="s">
        <v>482</v>
      </c>
      <c r="G103" t="s">
        <v>13</v>
      </c>
      <c r="H103" t="s">
        <v>154</v>
      </c>
    </row>
    <row r="104" spans="1:8" x14ac:dyDescent="0.25">
      <c r="A104">
        <v>103</v>
      </c>
      <c r="B104" t="s">
        <v>483</v>
      </c>
      <c r="C104" t="s">
        <v>484</v>
      </c>
      <c r="D104" t="s">
        <v>485</v>
      </c>
      <c r="E104" t="s">
        <v>11</v>
      </c>
      <c r="F104" t="s">
        <v>486</v>
      </c>
      <c r="G104" t="s">
        <v>13</v>
      </c>
      <c r="H104" t="s">
        <v>487</v>
      </c>
    </row>
    <row r="105" spans="1:8" x14ac:dyDescent="0.25">
      <c r="A105">
        <v>104</v>
      </c>
      <c r="B105" t="s">
        <v>488</v>
      </c>
      <c r="C105" t="s">
        <v>489</v>
      </c>
      <c r="D105" t="s">
        <v>490</v>
      </c>
      <c r="E105" t="s">
        <v>11</v>
      </c>
      <c r="F105" t="s">
        <v>491</v>
      </c>
      <c r="G105" t="s">
        <v>13</v>
      </c>
      <c r="H105" t="s">
        <v>282</v>
      </c>
    </row>
    <row r="106" spans="1:8" x14ac:dyDescent="0.25">
      <c r="A106">
        <v>105</v>
      </c>
      <c r="B106" t="s">
        <v>492</v>
      </c>
      <c r="C106" t="s">
        <v>493</v>
      </c>
      <c r="D106" t="s">
        <v>494</v>
      </c>
      <c r="E106" t="s">
        <v>11</v>
      </c>
      <c r="F106" t="s">
        <v>495</v>
      </c>
      <c r="G106" t="s">
        <v>13</v>
      </c>
      <c r="H106" t="s">
        <v>56</v>
      </c>
    </row>
    <row r="107" spans="1:8" x14ac:dyDescent="0.25">
      <c r="A107">
        <v>106</v>
      </c>
      <c r="B107" t="s">
        <v>496</v>
      </c>
      <c r="C107" t="s">
        <v>497</v>
      </c>
      <c r="D107" t="s">
        <v>498</v>
      </c>
      <c r="E107" t="s">
        <v>11</v>
      </c>
      <c r="F107" t="s">
        <v>499</v>
      </c>
      <c r="G107" t="s">
        <v>13</v>
      </c>
      <c r="H107" t="s">
        <v>308</v>
      </c>
    </row>
    <row r="108" spans="1:8" x14ac:dyDescent="0.25">
      <c r="A108">
        <v>107</v>
      </c>
      <c r="B108" t="s">
        <v>500</v>
      </c>
      <c r="C108" t="s">
        <v>501</v>
      </c>
      <c r="D108" t="s">
        <v>502</v>
      </c>
      <c r="E108" t="s">
        <v>11</v>
      </c>
      <c r="F108" t="s">
        <v>503</v>
      </c>
      <c r="G108" t="s">
        <v>13</v>
      </c>
      <c r="H108" t="s">
        <v>504</v>
      </c>
    </row>
    <row r="109" spans="1:8" x14ac:dyDescent="0.25">
      <c r="A109">
        <v>108</v>
      </c>
      <c r="B109" t="s">
        <v>505</v>
      </c>
      <c r="C109" t="s">
        <v>506</v>
      </c>
      <c r="D109" t="s">
        <v>507</v>
      </c>
      <c r="E109" t="s">
        <v>11</v>
      </c>
      <c r="F109" t="s">
        <v>508</v>
      </c>
      <c r="G109" t="s">
        <v>13</v>
      </c>
      <c r="H109" t="s">
        <v>243</v>
      </c>
    </row>
    <row r="110" spans="1:8" x14ac:dyDescent="0.25">
      <c r="A110">
        <v>109</v>
      </c>
      <c r="B110" t="s">
        <v>509</v>
      </c>
      <c r="C110" t="s">
        <v>510</v>
      </c>
      <c r="D110" t="s">
        <v>511</v>
      </c>
      <c r="E110" t="s">
        <v>11</v>
      </c>
      <c r="F110" t="s">
        <v>512</v>
      </c>
      <c r="G110" t="s">
        <v>13</v>
      </c>
      <c r="H110" t="s">
        <v>282</v>
      </c>
    </row>
    <row r="111" spans="1:8" x14ac:dyDescent="0.25">
      <c r="A111">
        <v>110</v>
      </c>
      <c r="B111" t="s">
        <v>513</v>
      </c>
      <c r="C111" t="s">
        <v>514</v>
      </c>
      <c r="D111" t="s">
        <v>515</v>
      </c>
      <c r="E111" t="s">
        <v>18</v>
      </c>
      <c r="F111" t="s">
        <v>516</v>
      </c>
      <c r="G111" t="s">
        <v>13</v>
      </c>
      <c r="H111" t="s">
        <v>178</v>
      </c>
    </row>
    <row r="112" spans="1:8" x14ac:dyDescent="0.25">
      <c r="A112">
        <v>111</v>
      </c>
      <c r="B112" t="s">
        <v>517</v>
      </c>
      <c r="C112" t="s">
        <v>518</v>
      </c>
      <c r="D112" t="s">
        <v>519</v>
      </c>
      <c r="E112" t="s">
        <v>18</v>
      </c>
      <c r="F112" t="s">
        <v>520</v>
      </c>
      <c r="G112" t="s">
        <v>13</v>
      </c>
      <c r="H112" t="s">
        <v>36</v>
      </c>
    </row>
    <row r="113" spans="1:8" x14ac:dyDescent="0.25">
      <c r="A113">
        <v>112</v>
      </c>
      <c r="B113" t="s">
        <v>521</v>
      </c>
      <c r="C113" t="s">
        <v>522</v>
      </c>
      <c r="D113" t="s">
        <v>523</v>
      </c>
      <c r="E113" t="s">
        <v>18</v>
      </c>
      <c r="F113" t="s">
        <v>524</v>
      </c>
      <c r="G113" t="s">
        <v>13</v>
      </c>
      <c r="H113" t="s">
        <v>317</v>
      </c>
    </row>
    <row r="114" spans="1:8" x14ac:dyDescent="0.25">
      <c r="A114">
        <v>113</v>
      </c>
      <c r="B114" t="s">
        <v>525</v>
      </c>
      <c r="C114" t="s">
        <v>526</v>
      </c>
      <c r="D114" t="s">
        <v>527</v>
      </c>
      <c r="E114" t="s">
        <v>11</v>
      </c>
      <c r="F114" t="s">
        <v>528</v>
      </c>
      <c r="G114" t="s">
        <v>13</v>
      </c>
      <c r="H114" t="s">
        <v>399</v>
      </c>
    </row>
    <row r="115" spans="1:8" x14ac:dyDescent="0.25">
      <c r="A115">
        <v>114</v>
      </c>
      <c r="B115" t="s">
        <v>529</v>
      </c>
      <c r="C115" t="s">
        <v>530</v>
      </c>
      <c r="D115" t="s">
        <v>531</v>
      </c>
      <c r="E115" t="s">
        <v>18</v>
      </c>
      <c r="F115" t="s">
        <v>532</v>
      </c>
      <c r="G115" t="s">
        <v>13</v>
      </c>
      <c r="H115" t="s">
        <v>61</v>
      </c>
    </row>
    <row r="116" spans="1:8" x14ac:dyDescent="0.25">
      <c r="A116">
        <v>115</v>
      </c>
      <c r="B116" t="s">
        <v>533</v>
      </c>
      <c r="C116" t="s">
        <v>534</v>
      </c>
      <c r="D116" t="s">
        <v>535</v>
      </c>
      <c r="E116" t="s">
        <v>11</v>
      </c>
      <c r="F116" t="s">
        <v>536</v>
      </c>
      <c r="G116" t="s">
        <v>13</v>
      </c>
      <c r="H116" t="s">
        <v>41</v>
      </c>
    </row>
    <row r="117" spans="1:8" x14ac:dyDescent="0.25">
      <c r="B117" t="s">
        <v>537</v>
      </c>
      <c r="C117" t="s">
        <v>538</v>
      </c>
      <c r="D117" t="s">
        <v>539</v>
      </c>
      <c r="E117" t="s">
        <v>11</v>
      </c>
      <c r="F117" t="s">
        <v>540</v>
      </c>
      <c r="G117" t="s">
        <v>13</v>
      </c>
      <c r="H117" t="s">
        <v>51</v>
      </c>
    </row>
    <row r="118" spans="1:8" x14ac:dyDescent="0.25">
      <c r="A118">
        <v>117</v>
      </c>
      <c r="B118" t="s">
        <v>541</v>
      </c>
      <c r="C118" t="s">
        <v>542</v>
      </c>
      <c r="D118" t="s">
        <v>543</v>
      </c>
      <c r="E118" t="s">
        <v>11</v>
      </c>
      <c r="F118" t="s">
        <v>544</v>
      </c>
      <c r="G118" t="s">
        <v>13</v>
      </c>
      <c r="H118" t="s">
        <v>31</v>
      </c>
    </row>
    <row r="119" spans="1:8" x14ac:dyDescent="0.25">
      <c r="B119" t="s">
        <v>545</v>
      </c>
      <c r="C119" t="s">
        <v>546</v>
      </c>
      <c r="D119" t="s">
        <v>547</v>
      </c>
      <c r="E119" t="s">
        <v>11</v>
      </c>
      <c r="F119" t="s">
        <v>548</v>
      </c>
      <c r="G119" t="s">
        <v>13</v>
      </c>
      <c r="H119" t="s">
        <v>549</v>
      </c>
    </row>
    <row r="120" spans="1:8" x14ac:dyDescent="0.25">
      <c r="A120">
        <v>119</v>
      </c>
      <c r="B120" t="s">
        <v>550</v>
      </c>
      <c r="C120" t="s">
        <v>551</v>
      </c>
      <c r="D120" t="s">
        <v>552</v>
      </c>
      <c r="E120" t="s">
        <v>11</v>
      </c>
      <c r="F120" t="s">
        <v>553</v>
      </c>
      <c r="G120" t="s">
        <v>13</v>
      </c>
      <c r="H120" t="s">
        <v>210</v>
      </c>
    </row>
    <row r="121" spans="1:8" x14ac:dyDescent="0.25">
      <c r="A121">
        <v>120</v>
      </c>
      <c r="B121" t="s">
        <v>554</v>
      </c>
      <c r="C121" t="s">
        <v>555</v>
      </c>
      <c r="D121" t="s">
        <v>556</v>
      </c>
      <c r="E121" t="s">
        <v>18</v>
      </c>
      <c r="F121" t="s">
        <v>557</v>
      </c>
      <c r="G121" t="s">
        <v>13</v>
      </c>
      <c r="H121" t="s">
        <v>558</v>
      </c>
    </row>
    <row r="122" spans="1:8" x14ac:dyDescent="0.25">
      <c r="A122">
        <v>121</v>
      </c>
      <c r="B122" t="s">
        <v>559</v>
      </c>
      <c r="C122" t="s">
        <v>560</v>
      </c>
      <c r="D122" t="s">
        <v>561</v>
      </c>
      <c r="E122" t="s">
        <v>18</v>
      </c>
      <c r="F122" t="s">
        <v>562</v>
      </c>
      <c r="G122" t="s">
        <v>13</v>
      </c>
      <c r="H122" t="s">
        <v>504</v>
      </c>
    </row>
    <row r="123" spans="1:8" x14ac:dyDescent="0.25">
      <c r="A123">
        <v>122</v>
      </c>
      <c r="B123" t="s">
        <v>563</v>
      </c>
      <c r="C123" t="s">
        <v>564</v>
      </c>
      <c r="D123" t="s">
        <v>565</v>
      </c>
      <c r="E123" t="s">
        <v>280</v>
      </c>
      <c r="F123" t="s">
        <v>566</v>
      </c>
      <c r="G123" t="s">
        <v>13</v>
      </c>
      <c r="H123" t="s">
        <v>567</v>
      </c>
    </row>
    <row r="124" spans="1:8" x14ac:dyDescent="0.25">
      <c r="A124">
        <v>123</v>
      </c>
      <c r="B124" t="s">
        <v>568</v>
      </c>
      <c r="C124" t="s">
        <v>569</v>
      </c>
      <c r="D124" t="s">
        <v>570</v>
      </c>
      <c r="E124" t="s">
        <v>18</v>
      </c>
      <c r="F124" t="s">
        <v>571</v>
      </c>
      <c r="G124" t="s">
        <v>13</v>
      </c>
      <c r="H124" t="s">
        <v>558</v>
      </c>
    </row>
    <row r="125" spans="1:8" x14ac:dyDescent="0.25">
      <c r="B125" t="s">
        <v>572</v>
      </c>
      <c r="C125" t="s">
        <v>573</v>
      </c>
      <c r="D125" t="s">
        <v>574</v>
      </c>
      <c r="E125" t="s">
        <v>274</v>
      </c>
      <c r="F125" t="s">
        <v>575</v>
      </c>
      <c r="G125" t="s">
        <v>13</v>
      </c>
      <c r="H125" t="s">
        <v>558</v>
      </c>
    </row>
    <row r="126" spans="1:8" x14ac:dyDescent="0.25">
      <c r="A126">
        <v>125</v>
      </c>
      <c r="B126" t="s">
        <v>576</v>
      </c>
      <c r="C126" t="s">
        <v>577</v>
      </c>
      <c r="D126" t="s">
        <v>578</v>
      </c>
      <c r="E126" t="s">
        <v>18</v>
      </c>
      <c r="F126" t="s">
        <v>579</v>
      </c>
      <c r="G126" t="s">
        <v>13</v>
      </c>
      <c r="H126" t="s">
        <v>31</v>
      </c>
    </row>
    <row r="127" spans="1:8" x14ac:dyDescent="0.25">
      <c r="A127">
        <v>126</v>
      </c>
      <c r="B127" t="s">
        <v>580</v>
      </c>
      <c r="C127" t="s">
        <v>581</v>
      </c>
      <c r="D127" t="s">
        <v>582</v>
      </c>
      <c r="E127" t="s">
        <v>11</v>
      </c>
      <c r="F127" t="s">
        <v>583</v>
      </c>
      <c r="G127" t="s">
        <v>13</v>
      </c>
      <c r="H127" t="s">
        <v>360</v>
      </c>
    </row>
    <row r="128" spans="1:8" x14ac:dyDescent="0.25">
      <c r="A128">
        <v>127</v>
      </c>
      <c r="B128" t="s">
        <v>584</v>
      </c>
      <c r="C128" t="s">
        <v>585</v>
      </c>
      <c r="D128" t="s">
        <v>586</v>
      </c>
      <c r="E128" t="s">
        <v>18</v>
      </c>
      <c r="F128" t="s">
        <v>587</v>
      </c>
      <c r="G128" t="s">
        <v>13</v>
      </c>
      <c r="H128" t="s">
        <v>588</v>
      </c>
    </row>
    <row r="129" spans="1:8" x14ac:dyDescent="0.25">
      <c r="A129">
        <v>128</v>
      </c>
      <c r="B129" t="s">
        <v>589</v>
      </c>
      <c r="C129" t="s">
        <v>590</v>
      </c>
      <c r="D129" t="s">
        <v>591</v>
      </c>
      <c r="E129" t="s">
        <v>11</v>
      </c>
      <c r="F129" t="s">
        <v>592</v>
      </c>
      <c r="G129" t="s">
        <v>13</v>
      </c>
      <c r="H129" t="s">
        <v>41</v>
      </c>
    </row>
    <row r="130" spans="1:8" x14ac:dyDescent="0.25">
      <c r="A130">
        <v>129</v>
      </c>
      <c r="B130" t="s">
        <v>593</v>
      </c>
      <c r="C130" t="s">
        <v>594</v>
      </c>
      <c r="D130" t="s">
        <v>595</v>
      </c>
      <c r="E130" t="s">
        <v>11</v>
      </c>
      <c r="F130" t="s">
        <v>596</v>
      </c>
      <c r="G130" t="s">
        <v>13</v>
      </c>
      <c r="H130" t="s">
        <v>597</v>
      </c>
    </row>
    <row r="131" spans="1:8" x14ac:dyDescent="0.25">
      <c r="A131">
        <v>130</v>
      </c>
      <c r="B131" t="s">
        <v>598</v>
      </c>
      <c r="C131" t="s">
        <v>599</v>
      </c>
      <c r="D131" t="s">
        <v>600</v>
      </c>
      <c r="E131" t="s">
        <v>18</v>
      </c>
      <c r="F131" t="s">
        <v>601</v>
      </c>
      <c r="G131" t="s">
        <v>13</v>
      </c>
      <c r="H131" t="s">
        <v>602</v>
      </c>
    </row>
    <row r="132" spans="1:8" x14ac:dyDescent="0.25">
      <c r="A132">
        <v>131</v>
      </c>
      <c r="B132" t="s">
        <v>603</v>
      </c>
      <c r="C132" t="s">
        <v>604</v>
      </c>
      <c r="D132" t="s">
        <v>605</v>
      </c>
      <c r="E132" t="s">
        <v>18</v>
      </c>
      <c r="F132" t="s">
        <v>606</v>
      </c>
      <c r="G132" t="s">
        <v>13</v>
      </c>
      <c r="H132" t="s">
        <v>230</v>
      </c>
    </row>
    <row r="133" spans="1:8" x14ac:dyDescent="0.25">
      <c r="A133">
        <v>132</v>
      </c>
      <c r="B133" t="s">
        <v>607</v>
      </c>
      <c r="C133" t="s">
        <v>608</v>
      </c>
      <c r="D133" t="s">
        <v>609</v>
      </c>
      <c r="E133" t="s">
        <v>11</v>
      </c>
      <c r="F133" t="s">
        <v>610</v>
      </c>
      <c r="G133" t="s">
        <v>13</v>
      </c>
      <c r="H133" t="s">
        <v>154</v>
      </c>
    </row>
    <row r="134" spans="1:8" x14ac:dyDescent="0.25">
      <c r="A134">
        <v>133</v>
      </c>
      <c r="B134" t="s">
        <v>611</v>
      </c>
      <c r="C134" t="s">
        <v>612</v>
      </c>
      <c r="D134" t="s">
        <v>613</v>
      </c>
      <c r="E134" t="s">
        <v>11</v>
      </c>
      <c r="F134" t="s">
        <v>614</v>
      </c>
      <c r="G134" t="s">
        <v>13</v>
      </c>
      <c r="H134" t="s">
        <v>317</v>
      </c>
    </row>
    <row r="135" spans="1:8" x14ac:dyDescent="0.25">
      <c r="A135">
        <v>134</v>
      </c>
      <c r="B135" t="s">
        <v>615</v>
      </c>
      <c r="C135" t="s">
        <v>616</v>
      </c>
      <c r="D135" t="s">
        <v>617</v>
      </c>
      <c r="E135" t="s">
        <v>11</v>
      </c>
      <c r="F135" t="s">
        <v>618</v>
      </c>
      <c r="G135" t="s">
        <v>13</v>
      </c>
      <c r="H135" t="s">
        <v>619</v>
      </c>
    </row>
    <row r="136" spans="1:8" x14ac:dyDescent="0.25">
      <c r="A136">
        <v>135</v>
      </c>
      <c r="B136" t="s">
        <v>620</v>
      </c>
      <c r="C136" t="s">
        <v>621</v>
      </c>
      <c r="D136" t="s">
        <v>622</v>
      </c>
      <c r="E136" t="s">
        <v>358</v>
      </c>
      <c r="F136" t="s">
        <v>623</v>
      </c>
      <c r="G136" t="s">
        <v>13</v>
      </c>
      <c r="H136" t="s">
        <v>31</v>
      </c>
    </row>
    <row r="137" spans="1:8" x14ac:dyDescent="0.25">
      <c r="A137">
        <v>136</v>
      </c>
      <c r="B137" t="s">
        <v>624</v>
      </c>
      <c r="C137" t="s">
        <v>625</v>
      </c>
      <c r="D137" t="s">
        <v>626</v>
      </c>
      <c r="E137" t="s">
        <v>11</v>
      </c>
      <c r="F137" t="s">
        <v>627</v>
      </c>
      <c r="G137" t="s">
        <v>13</v>
      </c>
      <c r="H137" t="s">
        <v>628</v>
      </c>
    </row>
    <row r="138" spans="1:8" x14ac:dyDescent="0.25">
      <c r="A138">
        <v>137</v>
      </c>
      <c r="B138" t="s">
        <v>629</v>
      </c>
      <c r="C138" t="s">
        <v>630</v>
      </c>
      <c r="D138" t="s">
        <v>631</v>
      </c>
      <c r="E138" t="s">
        <v>11</v>
      </c>
      <c r="F138" t="s">
        <v>632</v>
      </c>
      <c r="G138" t="s">
        <v>13</v>
      </c>
      <c r="H138" t="s">
        <v>183</v>
      </c>
    </row>
    <row r="139" spans="1:8" x14ac:dyDescent="0.25">
      <c r="A139">
        <v>138</v>
      </c>
      <c r="B139" t="s">
        <v>633</v>
      </c>
      <c r="C139" t="s">
        <v>634</v>
      </c>
      <c r="D139" t="s">
        <v>635</v>
      </c>
      <c r="E139" t="s">
        <v>18</v>
      </c>
      <c r="F139" t="s">
        <v>636</v>
      </c>
      <c r="G139" t="s">
        <v>13</v>
      </c>
      <c r="H139" t="s">
        <v>360</v>
      </c>
    </row>
    <row r="140" spans="1:8" x14ac:dyDescent="0.25">
      <c r="A140">
        <v>139</v>
      </c>
      <c r="B140" t="s">
        <v>637</v>
      </c>
      <c r="C140" t="s">
        <v>638</v>
      </c>
      <c r="D140" t="s">
        <v>639</v>
      </c>
      <c r="E140" t="s">
        <v>18</v>
      </c>
      <c r="F140" t="s">
        <v>640</v>
      </c>
      <c r="G140" t="s">
        <v>13</v>
      </c>
      <c r="H140" t="s">
        <v>641</v>
      </c>
    </row>
    <row r="141" spans="1:8" x14ac:dyDescent="0.25">
      <c r="A141">
        <v>140</v>
      </c>
      <c r="B141" t="s">
        <v>642</v>
      </c>
      <c r="C141" t="s">
        <v>643</v>
      </c>
      <c r="D141" t="s">
        <v>644</v>
      </c>
      <c r="E141" t="s">
        <v>18</v>
      </c>
      <c r="F141" t="s">
        <v>645</v>
      </c>
      <c r="G141" t="s">
        <v>13</v>
      </c>
      <c r="H141" t="s">
        <v>331</v>
      </c>
    </row>
    <row r="142" spans="1:8" x14ac:dyDescent="0.25">
      <c r="A142">
        <v>141</v>
      </c>
      <c r="B142" t="s">
        <v>646</v>
      </c>
      <c r="C142" t="s">
        <v>647</v>
      </c>
      <c r="D142" t="s">
        <v>648</v>
      </c>
      <c r="E142" t="s">
        <v>280</v>
      </c>
      <c r="F142" t="s">
        <v>649</v>
      </c>
      <c r="G142" t="s">
        <v>13</v>
      </c>
      <c r="H142" t="s">
        <v>650</v>
      </c>
    </row>
    <row r="143" spans="1:8" x14ac:dyDescent="0.25">
      <c r="A143">
        <v>142</v>
      </c>
      <c r="B143" t="s">
        <v>651</v>
      </c>
      <c r="C143" t="s">
        <v>652</v>
      </c>
      <c r="D143" t="s">
        <v>653</v>
      </c>
      <c r="E143" t="s">
        <v>11</v>
      </c>
      <c r="F143" t="s">
        <v>654</v>
      </c>
      <c r="G143" t="s">
        <v>13</v>
      </c>
      <c r="H143" t="s">
        <v>655</v>
      </c>
    </row>
    <row r="144" spans="1:8" x14ac:dyDescent="0.25">
      <c r="A144">
        <v>143</v>
      </c>
      <c r="B144" t="s">
        <v>656</v>
      </c>
      <c r="C144" t="s">
        <v>657</v>
      </c>
      <c r="D144" t="s">
        <v>658</v>
      </c>
      <c r="E144" t="s">
        <v>18</v>
      </c>
      <c r="F144" t="s">
        <v>659</v>
      </c>
      <c r="G144" t="s">
        <v>13</v>
      </c>
      <c r="H144" t="s">
        <v>660</v>
      </c>
    </row>
    <row r="145" spans="1:8" x14ac:dyDescent="0.25">
      <c r="A145">
        <v>144</v>
      </c>
      <c r="B145" t="s">
        <v>661</v>
      </c>
      <c r="C145" t="s">
        <v>662</v>
      </c>
      <c r="D145" t="s">
        <v>663</v>
      </c>
      <c r="E145" t="s">
        <v>18</v>
      </c>
      <c r="F145" t="s">
        <v>664</v>
      </c>
      <c r="G145" t="s">
        <v>13</v>
      </c>
      <c r="H145" t="s">
        <v>360</v>
      </c>
    </row>
    <row r="146" spans="1:8" x14ac:dyDescent="0.25">
      <c r="A146">
        <v>145</v>
      </c>
      <c r="B146" t="s">
        <v>665</v>
      </c>
      <c r="C146" t="s">
        <v>666</v>
      </c>
      <c r="D146" t="s">
        <v>667</v>
      </c>
      <c r="E146" t="s">
        <v>358</v>
      </c>
      <c r="F146" t="s">
        <v>668</v>
      </c>
      <c r="G146" t="s">
        <v>13</v>
      </c>
      <c r="H146" t="s">
        <v>14</v>
      </c>
    </row>
    <row r="147" spans="1:8" x14ac:dyDescent="0.25">
      <c r="A147">
        <v>146</v>
      </c>
      <c r="B147" t="s">
        <v>669</v>
      </c>
      <c r="C147" t="s">
        <v>670</v>
      </c>
      <c r="D147" t="s">
        <v>671</v>
      </c>
      <c r="E147" t="s">
        <v>358</v>
      </c>
      <c r="F147" t="s">
        <v>672</v>
      </c>
      <c r="G147" t="s">
        <v>13</v>
      </c>
      <c r="H147" t="s">
        <v>673</v>
      </c>
    </row>
    <row r="148" spans="1:8" x14ac:dyDescent="0.25">
      <c r="A148">
        <v>147</v>
      </c>
      <c r="B148" t="s">
        <v>674</v>
      </c>
      <c r="C148" t="s">
        <v>675</v>
      </c>
      <c r="D148" t="s">
        <v>676</v>
      </c>
      <c r="E148" t="s">
        <v>18</v>
      </c>
      <c r="F148" t="s">
        <v>677</v>
      </c>
      <c r="G148" t="s">
        <v>13</v>
      </c>
      <c r="H148" t="s">
        <v>678</v>
      </c>
    </row>
    <row r="149" spans="1:8" x14ac:dyDescent="0.25">
      <c r="A149">
        <v>148</v>
      </c>
      <c r="B149" t="s">
        <v>679</v>
      </c>
      <c r="C149" t="s">
        <v>680</v>
      </c>
      <c r="D149" t="s">
        <v>681</v>
      </c>
      <c r="E149" t="s">
        <v>18</v>
      </c>
      <c r="F149" t="s">
        <v>682</v>
      </c>
      <c r="G149" t="s">
        <v>13</v>
      </c>
      <c r="H149" t="s">
        <v>14</v>
      </c>
    </row>
    <row r="150" spans="1:8" x14ac:dyDescent="0.25">
      <c r="A150">
        <v>149</v>
      </c>
      <c r="B150" t="s">
        <v>683</v>
      </c>
      <c r="C150" t="s">
        <v>684</v>
      </c>
      <c r="D150" t="s">
        <v>685</v>
      </c>
      <c r="E150" t="s">
        <v>18</v>
      </c>
      <c r="F150" t="s">
        <v>686</v>
      </c>
      <c r="G150" t="s">
        <v>13</v>
      </c>
      <c r="H150" t="s">
        <v>687</v>
      </c>
    </row>
    <row r="151" spans="1:8" x14ac:dyDescent="0.25">
      <c r="A151">
        <v>150</v>
      </c>
      <c r="B151" t="s">
        <v>688</v>
      </c>
      <c r="C151" t="s">
        <v>689</v>
      </c>
      <c r="D151" t="s">
        <v>690</v>
      </c>
      <c r="E151" t="s">
        <v>11</v>
      </c>
      <c r="F151" t="s">
        <v>691</v>
      </c>
      <c r="G151" t="s">
        <v>13</v>
      </c>
      <c r="H151" t="s">
        <v>66</v>
      </c>
    </row>
    <row r="152" spans="1:8" x14ac:dyDescent="0.25">
      <c r="A152">
        <v>151</v>
      </c>
      <c r="B152" t="s">
        <v>692</v>
      </c>
      <c r="C152" t="s">
        <v>693</v>
      </c>
      <c r="D152" t="s">
        <v>694</v>
      </c>
      <c r="E152" t="s">
        <v>11</v>
      </c>
      <c r="F152" t="s">
        <v>695</v>
      </c>
      <c r="G152" t="s">
        <v>13</v>
      </c>
      <c r="H152" t="s">
        <v>154</v>
      </c>
    </row>
    <row r="153" spans="1:8" x14ac:dyDescent="0.25">
      <c r="A153">
        <v>152</v>
      </c>
      <c r="B153" t="s">
        <v>696</v>
      </c>
      <c r="C153" t="s">
        <v>697</v>
      </c>
      <c r="D153" t="s">
        <v>698</v>
      </c>
      <c r="E153" t="s">
        <v>11</v>
      </c>
      <c r="F153" t="s">
        <v>699</v>
      </c>
      <c r="G153" t="s">
        <v>13</v>
      </c>
      <c r="H153" t="s">
        <v>700</v>
      </c>
    </row>
    <row r="154" spans="1:8" x14ac:dyDescent="0.25">
      <c r="A154">
        <v>153</v>
      </c>
      <c r="B154" t="s">
        <v>701</v>
      </c>
      <c r="C154" t="s">
        <v>702</v>
      </c>
      <c r="D154" t="s">
        <v>703</v>
      </c>
      <c r="E154" t="s">
        <v>18</v>
      </c>
      <c r="F154" t="s">
        <v>704</v>
      </c>
      <c r="G154" t="s">
        <v>13</v>
      </c>
      <c r="H154" t="s">
        <v>705</v>
      </c>
    </row>
    <row r="155" spans="1:8" x14ac:dyDescent="0.25">
      <c r="A155">
        <v>154</v>
      </c>
      <c r="B155" t="s">
        <v>706</v>
      </c>
      <c r="C155" t="s">
        <v>707</v>
      </c>
      <c r="D155" t="s">
        <v>708</v>
      </c>
      <c r="E155" t="s">
        <v>11</v>
      </c>
      <c r="F155" t="s">
        <v>709</v>
      </c>
      <c r="G155" t="s">
        <v>13</v>
      </c>
      <c r="H155" t="s">
        <v>168</v>
      </c>
    </row>
    <row r="156" spans="1:8" x14ac:dyDescent="0.25">
      <c r="A156">
        <v>155</v>
      </c>
      <c r="B156" t="s">
        <v>710</v>
      </c>
      <c r="C156" t="s">
        <v>711</v>
      </c>
      <c r="D156" t="s">
        <v>712</v>
      </c>
      <c r="E156" t="s">
        <v>18</v>
      </c>
      <c r="F156" t="s">
        <v>713</v>
      </c>
      <c r="G156" t="s">
        <v>13</v>
      </c>
      <c r="H156" t="s">
        <v>14</v>
      </c>
    </row>
    <row r="157" spans="1:8" x14ac:dyDescent="0.25">
      <c r="A157">
        <v>156</v>
      </c>
      <c r="B157" t="s">
        <v>714</v>
      </c>
      <c r="C157" t="s">
        <v>715</v>
      </c>
      <c r="D157" t="s">
        <v>716</v>
      </c>
      <c r="E157" t="s">
        <v>11</v>
      </c>
      <c r="F157" t="s">
        <v>717</v>
      </c>
      <c r="G157" t="s">
        <v>13</v>
      </c>
      <c r="H157" t="s">
        <v>558</v>
      </c>
    </row>
    <row r="158" spans="1:8" x14ac:dyDescent="0.25">
      <c r="A158">
        <v>157</v>
      </c>
      <c r="B158" t="s">
        <v>718</v>
      </c>
      <c r="C158" t="s">
        <v>719</v>
      </c>
      <c r="D158" t="s">
        <v>720</v>
      </c>
      <c r="E158" t="s">
        <v>11</v>
      </c>
      <c r="F158" t="s">
        <v>721</v>
      </c>
      <c r="G158" t="s">
        <v>13</v>
      </c>
      <c r="H158" t="s">
        <v>14</v>
      </c>
    </row>
    <row r="159" spans="1:8" x14ac:dyDescent="0.25">
      <c r="A159">
        <v>158</v>
      </c>
      <c r="B159" t="s">
        <v>722</v>
      </c>
      <c r="C159" t="s">
        <v>723</v>
      </c>
      <c r="D159" t="s">
        <v>724</v>
      </c>
      <c r="E159" t="s">
        <v>11</v>
      </c>
      <c r="F159" t="s">
        <v>725</v>
      </c>
      <c r="G159" t="s">
        <v>13</v>
      </c>
      <c r="H159" t="s">
        <v>230</v>
      </c>
    </row>
    <row r="160" spans="1:8" x14ac:dyDescent="0.25">
      <c r="A160">
        <v>159</v>
      </c>
      <c r="B160" t="s">
        <v>726</v>
      </c>
      <c r="C160" t="s">
        <v>727</v>
      </c>
      <c r="D160" t="s">
        <v>728</v>
      </c>
      <c r="E160" t="s">
        <v>18</v>
      </c>
      <c r="F160" t="s">
        <v>729</v>
      </c>
      <c r="G160" t="s">
        <v>13</v>
      </c>
      <c r="H160" t="s">
        <v>71</v>
      </c>
    </row>
    <row r="161" spans="1:8" x14ac:dyDescent="0.25">
      <c r="A161">
        <v>160</v>
      </c>
      <c r="B161" t="s">
        <v>730</v>
      </c>
      <c r="C161" t="s">
        <v>731</v>
      </c>
      <c r="D161" t="s">
        <v>732</v>
      </c>
      <c r="E161" t="s">
        <v>11</v>
      </c>
      <c r="F161" t="s">
        <v>733</v>
      </c>
      <c r="G161" t="s">
        <v>13</v>
      </c>
      <c r="H161" t="s">
        <v>224</v>
      </c>
    </row>
    <row r="162" spans="1:8" x14ac:dyDescent="0.25">
      <c r="A162">
        <v>161</v>
      </c>
      <c r="B162" t="s">
        <v>734</v>
      </c>
      <c r="C162" t="s">
        <v>735</v>
      </c>
      <c r="D162" t="s">
        <v>736</v>
      </c>
      <c r="E162" t="s">
        <v>18</v>
      </c>
      <c r="F162" t="s">
        <v>737</v>
      </c>
      <c r="G162" t="s">
        <v>13</v>
      </c>
      <c r="H162" t="s">
        <v>261</v>
      </c>
    </row>
    <row r="163" spans="1:8" x14ac:dyDescent="0.25">
      <c r="A163">
        <v>162</v>
      </c>
      <c r="B163" t="s">
        <v>738</v>
      </c>
      <c r="C163" t="s">
        <v>739</v>
      </c>
      <c r="D163" t="s">
        <v>740</v>
      </c>
      <c r="E163" t="s">
        <v>11</v>
      </c>
      <c r="F163" t="s">
        <v>741</v>
      </c>
      <c r="G163" t="s">
        <v>13</v>
      </c>
      <c r="H163" t="s">
        <v>266</v>
      </c>
    </row>
    <row r="164" spans="1:8" x14ac:dyDescent="0.25">
      <c r="A164">
        <v>163</v>
      </c>
      <c r="B164" t="s">
        <v>742</v>
      </c>
      <c r="C164" t="s">
        <v>743</v>
      </c>
      <c r="D164" t="s">
        <v>744</v>
      </c>
      <c r="E164" t="s">
        <v>11</v>
      </c>
      <c r="F164" t="s">
        <v>745</v>
      </c>
      <c r="G164" t="s">
        <v>13</v>
      </c>
      <c r="H164" t="s">
        <v>173</v>
      </c>
    </row>
    <row r="165" spans="1:8" x14ac:dyDescent="0.25">
      <c r="A165">
        <v>164</v>
      </c>
      <c r="B165" t="s">
        <v>746</v>
      </c>
      <c r="C165" t="s">
        <v>747</v>
      </c>
      <c r="D165" t="s">
        <v>748</v>
      </c>
      <c r="E165" t="s">
        <v>18</v>
      </c>
      <c r="F165" t="s">
        <v>749</v>
      </c>
      <c r="G165" t="s">
        <v>13</v>
      </c>
      <c r="H165" t="s">
        <v>125</v>
      </c>
    </row>
    <row r="166" spans="1:8" x14ac:dyDescent="0.25">
      <c r="A166">
        <v>165</v>
      </c>
      <c r="B166" t="s">
        <v>750</v>
      </c>
      <c r="C166" t="s">
        <v>751</v>
      </c>
      <c r="D166" t="s">
        <v>752</v>
      </c>
      <c r="E166" t="s">
        <v>11</v>
      </c>
      <c r="F166" t="s">
        <v>753</v>
      </c>
      <c r="G166" t="s">
        <v>13</v>
      </c>
      <c r="H166" t="s">
        <v>350</v>
      </c>
    </row>
    <row r="167" spans="1:8" x14ac:dyDescent="0.25">
      <c r="A167">
        <v>166</v>
      </c>
      <c r="B167" t="s">
        <v>754</v>
      </c>
      <c r="C167" t="s">
        <v>755</v>
      </c>
      <c r="D167" t="s">
        <v>756</v>
      </c>
      <c r="E167" t="s">
        <v>11</v>
      </c>
      <c r="F167" t="s">
        <v>757</v>
      </c>
      <c r="G167" t="s">
        <v>13</v>
      </c>
      <c r="H167" t="s">
        <v>379</v>
      </c>
    </row>
    <row r="168" spans="1:8" x14ac:dyDescent="0.25">
      <c r="A168">
        <v>167</v>
      </c>
      <c r="B168" t="s">
        <v>758</v>
      </c>
      <c r="C168" t="s">
        <v>759</v>
      </c>
      <c r="D168" t="s">
        <v>760</v>
      </c>
      <c r="E168" t="s">
        <v>11</v>
      </c>
      <c r="F168" t="s">
        <v>761</v>
      </c>
      <c r="G168" t="s">
        <v>13</v>
      </c>
      <c r="H168" t="s">
        <v>41</v>
      </c>
    </row>
    <row r="169" spans="1:8" x14ac:dyDescent="0.25">
      <c r="A169">
        <v>168</v>
      </c>
      <c r="B169" t="s">
        <v>762</v>
      </c>
      <c r="C169" t="s">
        <v>763</v>
      </c>
      <c r="D169" t="s">
        <v>764</v>
      </c>
      <c r="E169" t="s">
        <v>11</v>
      </c>
      <c r="F169" t="s">
        <v>765</v>
      </c>
      <c r="G169" t="s">
        <v>13</v>
      </c>
      <c r="H169" t="s">
        <v>205</v>
      </c>
    </row>
    <row r="170" spans="1:8" x14ac:dyDescent="0.25">
      <c r="A170">
        <v>169</v>
      </c>
      <c r="B170" t="s">
        <v>766</v>
      </c>
      <c r="C170" t="s">
        <v>767</v>
      </c>
      <c r="D170" t="s">
        <v>768</v>
      </c>
      <c r="E170" t="s">
        <v>769</v>
      </c>
      <c r="F170" t="s">
        <v>770</v>
      </c>
      <c r="G170" t="s">
        <v>13</v>
      </c>
      <c r="H170" t="s">
        <v>76</v>
      </c>
    </row>
    <row r="171" spans="1:8" x14ac:dyDescent="0.25">
      <c r="A171">
        <v>170</v>
      </c>
      <c r="B171" t="s">
        <v>771</v>
      </c>
      <c r="C171" t="s">
        <v>772</v>
      </c>
      <c r="D171" t="s">
        <v>773</v>
      </c>
      <c r="E171" t="s">
        <v>11</v>
      </c>
      <c r="F171" t="s">
        <v>774</v>
      </c>
      <c r="G171" t="s">
        <v>13</v>
      </c>
      <c r="H171" t="s">
        <v>46</v>
      </c>
    </row>
    <row r="172" spans="1:8" x14ac:dyDescent="0.25">
      <c r="A172">
        <v>171</v>
      </c>
      <c r="B172" t="s">
        <v>775</v>
      </c>
      <c r="C172" t="s">
        <v>776</v>
      </c>
      <c r="D172" t="s">
        <v>777</v>
      </c>
      <c r="E172" t="s">
        <v>18</v>
      </c>
      <c r="F172" t="s">
        <v>778</v>
      </c>
      <c r="G172" t="s">
        <v>13</v>
      </c>
      <c r="H172" t="s">
        <v>779</v>
      </c>
    </row>
    <row r="173" spans="1:8" x14ac:dyDescent="0.25">
      <c r="A173">
        <v>172</v>
      </c>
      <c r="B173" t="s">
        <v>780</v>
      </c>
      <c r="C173" t="s">
        <v>781</v>
      </c>
      <c r="D173" t="s">
        <v>782</v>
      </c>
      <c r="E173" t="s">
        <v>18</v>
      </c>
      <c r="F173" t="s">
        <v>783</v>
      </c>
      <c r="G173" t="s">
        <v>13</v>
      </c>
      <c r="H173" t="s">
        <v>331</v>
      </c>
    </row>
    <row r="174" spans="1:8" x14ac:dyDescent="0.25">
      <c r="A174">
        <v>173</v>
      </c>
      <c r="B174" t="s">
        <v>784</v>
      </c>
      <c r="C174" t="s">
        <v>785</v>
      </c>
      <c r="D174" t="s">
        <v>786</v>
      </c>
      <c r="E174" t="s">
        <v>11</v>
      </c>
      <c r="F174" t="s">
        <v>787</v>
      </c>
      <c r="G174" t="s">
        <v>13</v>
      </c>
      <c r="H174" t="s">
        <v>25</v>
      </c>
    </row>
    <row r="175" spans="1:8" x14ac:dyDescent="0.25">
      <c r="A175">
        <v>174</v>
      </c>
      <c r="B175" t="s">
        <v>788</v>
      </c>
      <c r="C175" t="s">
        <v>789</v>
      </c>
      <c r="D175" t="s">
        <v>790</v>
      </c>
      <c r="E175" t="s">
        <v>11</v>
      </c>
      <c r="F175" t="s">
        <v>791</v>
      </c>
      <c r="G175" t="s">
        <v>13</v>
      </c>
      <c r="H175" t="s">
        <v>14</v>
      </c>
    </row>
    <row r="176" spans="1:8" x14ac:dyDescent="0.25">
      <c r="A176">
        <v>175</v>
      </c>
      <c r="B176" t="s">
        <v>792</v>
      </c>
      <c r="C176" t="s">
        <v>793</v>
      </c>
      <c r="D176" t="s">
        <v>794</v>
      </c>
      <c r="E176" t="s">
        <v>11</v>
      </c>
      <c r="F176" t="s">
        <v>795</v>
      </c>
      <c r="G176" t="s">
        <v>13</v>
      </c>
      <c r="H176" t="s">
        <v>350</v>
      </c>
    </row>
    <row r="177" spans="1:8" x14ac:dyDescent="0.25">
      <c r="A177">
        <v>176</v>
      </c>
      <c r="B177" t="s">
        <v>796</v>
      </c>
      <c r="C177" t="s">
        <v>797</v>
      </c>
      <c r="D177" t="s">
        <v>798</v>
      </c>
      <c r="E177" t="s">
        <v>11</v>
      </c>
      <c r="F177" t="s">
        <v>799</v>
      </c>
      <c r="G177" t="s">
        <v>13</v>
      </c>
      <c r="H177" t="s">
        <v>86</v>
      </c>
    </row>
    <row r="178" spans="1:8" x14ac:dyDescent="0.25">
      <c r="A178">
        <v>177</v>
      </c>
      <c r="B178" t="s">
        <v>800</v>
      </c>
      <c r="C178" t="s">
        <v>801</v>
      </c>
      <c r="D178" t="s">
        <v>802</v>
      </c>
      <c r="E178" t="s">
        <v>18</v>
      </c>
      <c r="F178" t="s">
        <v>803</v>
      </c>
      <c r="G178" t="s">
        <v>13</v>
      </c>
      <c r="H178" t="s">
        <v>804</v>
      </c>
    </row>
    <row r="179" spans="1:8" x14ac:dyDescent="0.25">
      <c r="A179">
        <v>178</v>
      </c>
      <c r="B179" t="s">
        <v>805</v>
      </c>
      <c r="C179" t="s">
        <v>806</v>
      </c>
      <c r="D179" t="s">
        <v>807</v>
      </c>
      <c r="E179" t="s">
        <v>18</v>
      </c>
      <c r="F179" t="s">
        <v>808</v>
      </c>
      <c r="G179" t="s">
        <v>13</v>
      </c>
      <c r="H179" t="s">
        <v>809</v>
      </c>
    </row>
    <row r="180" spans="1:8" x14ac:dyDescent="0.25">
      <c r="A180">
        <v>179</v>
      </c>
      <c r="B180" t="s">
        <v>810</v>
      </c>
      <c r="C180" t="s">
        <v>811</v>
      </c>
      <c r="D180" t="s">
        <v>812</v>
      </c>
      <c r="E180" t="s">
        <v>11</v>
      </c>
      <c r="F180" t="s">
        <v>813</v>
      </c>
      <c r="G180" t="s">
        <v>13</v>
      </c>
      <c r="H180" t="s">
        <v>814</v>
      </c>
    </row>
    <row r="181" spans="1:8" x14ac:dyDescent="0.25">
      <c r="A181">
        <v>180</v>
      </c>
      <c r="B181" t="s">
        <v>815</v>
      </c>
      <c r="C181" t="s">
        <v>816</v>
      </c>
      <c r="D181" t="s">
        <v>817</v>
      </c>
      <c r="E181" t="s">
        <v>11</v>
      </c>
      <c r="F181" t="s">
        <v>818</v>
      </c>
      <c r="G181" t="s">
        <v>13</v>
      </c>
      <c r="H181" t="s">
        <v>115</v>
      </c>
    </row>
    <row r="182" spans="1:8" x14ac:dyDescent="0.25">
      <c r="A182">
        <v>181</v>
      </c>
      <c r="B182" t="s">
        <v>819</v>
      </c>
      <c r="C182" t="s">
        <v>820</v>
      </c>
      <c r="D182" t="s">
        <v>821</v>
      </c>
      <c r="E182" t="s">
        <v>18</v>
      </c>
      <c r="F182" t="s">
        <v>822</v>
      </c>
      <c r="G182" t="s">
        <v>13</v>
      </c>
      <c r="H182" t="s">
        <v>243</v>
      </c>
    </row>
    <row r="183" spans="1:8" x14ac:dyDescent="0.25">
      <c r="A183">
        <v>182</v>
      </c>
      <c r="B183" t="s">
        <v>823</v>
      </c>
      <c r="C183" t="s">
        <v>824</v>
      </c>
      <c r="D183" t="s">
        <v>825</v>
      </c>
      <c r="E183" t="s">
        <v>11</v>
      </c>
      <c r="F183" t="s">
        <v>826</v>
      </c>
      <c r="G183" t="s">
        <v>13</v>
      </c>
      <c r="H183" t="s">
        <v>650</v>
      </c>
    </row>
    <row r="184" spans="1:8" x14ac:dyDescent="0.25">
      <c r="A184">
        <v>183</v>
      </c>
      <c r="B184" t="s">
        <v>827</v>
      </c>
      <c r="C184" t="s">
        <v>828</v>
      </c>
      <c r="D184" t="s">
        <v>829</v>
      </c>
      <c r="E184" t="s">
        <v>11</v>
      </c>
      <c r="F184" t="s">
        <v>830</v>
      </c>
      <c r="G184" t="s">
        <v>13</v>
      </c>
      <c r="H184" t="s">
        <v>56</v>
      </c>
    </row>
    <row r="185" spans="1:8" x14ac:dyDescent="0.25">
      <c r="A185">
        <v>184</v>
      </c>
      <c r="B185" t="s">
        <v>831</v>
      </c>
      <c r="C185" t="s">
        <v>832</v>
      </c>
      <c r="D185" t="s">
        <v>833</v>
      </c>
      <c r="E185" t="s">
        <v>18</v>
      </c>
      <c r="F185" t="s">
        <v>834</v>
      </c>
      <c r="G185" t="s">
        <v>13</v>
      </c>
      <c r="H185" t="s">
        <v>86</v>
      </c>
    </row>
    <row r="186" spans="1:8" x14ac:dyDescent="0.25">
      <c r="A186">
        <v>185</v>
      </c>
      <c r="B186" t="s">
        <v>835</v>
      </c>
      <c r="C186" t="s">
        <v>836</v>
      </c>
      <c r="D186" t="s">
        <v>837</v>
      </c>
      <c r="E186" t="s">
        <v>11</v>
      </c>
      <c r="F186" t="s">
        <v>838</v>
      </c>
      <c r="G186" t="s">
        <v>13</v>
      </c>
      <c r="H186" t="s">
        <v>839</v>
      </c>
    </row>
    <row r="187" spans="1:8" x14ac:dyDescent="0.25">
      <c r="A187">
        <v>186</v>
      </c>
      <c r="B187" t="s">
        <v>840</v>
      </c>
      <c r="C187" t="s">
        <v>841</v>
      </c>
      <c r="D187" t="s">
        <v>842</v>
      </c>
      <c r="E187" t="s">
        <v>11</v>
      </c>
      <c r="F187" t="s">
        <v>843</v>
      </c>
      <c r="G187" t="s">
        <v>13</v>
      </c>
      <c r="H187" t="s">
        <v>178</v>
      </c>
    </row>
    <row r="188" spans="1:8" x14ac:dyDescent="0.25">
      <c r="A188">
        <v>187</v>
      </c>
      <c r="B188" t="s">
        <v>844</v>
      </c>
      <c r="C188" t="s">
        <v>845</v>
      </c>
      <c r="D188" t="s">
        <v>846</v>
      </c>
      <c r="E188" t="s">
        <v>11</v>
      </c>
      <c r="F188" t="s">
        <v>847</v>
      </c>
      <c r="G188" t="s">
        <v>13</v>
      </c>
      <c r="H188" t="s">
        <v>360</v>
      </c>
    </row>
    <row r="189" spans="1:8" x14ac:dyDescent="0.25">
      <c r="A189">
        <v>188</v>
      </c>
      <c r="B189" t="s">
        <v>848</v>
      </c>
      <c r="C189" t="s">
        <v>849</v>
      </c>
      <c r="D189" t="s">
        <v>850</v>
      </c>
      <c r="E189" t="s">
        <v>18</v>
      </c>
      <c r="F189" t="s">
        <v>851</v>
      </c>
      <c r="G189" t="s">
        <v>13</v>
      </c>
      <c r="H189" t="s">
        <v>700</v>
      </c>
    </row>
    <row r="190" spans="1:8" x14ac:dyDescent="0.25">
      <c r="A190">
        <v>189</v>
      </c>
      <c r="B190" t="s">
        <v>852</v>
      </c>
      <c r="C190" t="s">
        <v>853</v>
      </c>
      <c r="D190" t="s">
        <v>854</v>
      </c>
      <c r="E190" t="s">
        <v>11</v>
      </c>
      <c r="F190" t="s">
        <v>855</v>
      </c>
      <c r="G190" t="s">
        <v>13</v>
      </c>
      <c r="H190" t="s">
        <v>331</v>
      </c>
    </row>
    <row r="191" spans="1:8" x14ac:dyDescent="0.25">
      <c r="A191">
        <v>190</v>
      </c>
      <c r="B191" t="s">
        <v>856</v>
      </c>
      <c r="C191" t="s">
        <v>857</v>
      </c>
      <c r="D191" t="s">
        <v>858</v>
      </c>
      <c r="E191" t="s">
        <v>11</v>
      </c>
      <c r="F191" t="s">
        <v>859</v>
      </c>
      <c r="G191" t="s">
        <v>13</v>
      </c>
      <c r="H191" t="s">
        <v>110</v>
      </c>
    </row>
    <row r="192" spans="1:8" x14ac:dyDescent="0.25">
      <c r="A192">
        <v>191</v>
      </c>
      <c r="B192" t="s">
        <v>860</v>
      </c>
      <c r="C192" t="s">
        <v>861</v>
      </c>
      <c r="D192" t="s">
        <v>862</v>
      </c>
      <c r="E192" t="s">
        <v>274</v>
      </c>
      <c r="F192" t="s">
        <v>863</v>
      </c>
      <c r="G192" t="s">
        <v>13</v>
      </c>
      <c r="H192" t="s">
        <v>678</v>
      </c>
    </row>
    <row r="193" spans="1:8" x14ac:dyDescent="0.25">
      <c r="A193">
        <v>192</v>
      </c>
      <c r="B193" t="s">
        <v>864</v>
      </c>
      <c r="C193" t="s">
        <v>865</v>
      </c>
      <c r="D193" t="s">
        <v>866</v>
      </c>
      <c r="E193" t="s">
        <v>18</v>
      </c>
      <c r="F193" t="s">
        <v>867</v>
      </c>
      <c r="G193" t="s">
        <v>13</v>
      </c>
      <c r="H193" t="s">
        <v>641</v>
      </c>
    </row>
    <row r="194" spans="1:8" x14ac:dyDescent="0.25">
      <c r="A194">
        <v>193</v>
      </c>
      <c r="B194" t="s">
        <v>868</v>
      </c>
      <c r="C194" t="s">
        <v>869</v>
      </c>
      <c r="D194" t="s">
        <v>870</v>
      </c>
      <c r="E194" t="s">
        <v>358</v>
      </c>
      <c r="F194" t="s">
        <v>871</v>
      </c>
      <c r="G194" t="s">
        <v>13</v>
      </c>
      <c r="H194" t="s">
        <v>650</v>
      </c>
    </row>
    <row r="195" spans="1:8" x14ac:dyDescent="0.25">
      <c r="A195">
        <v>194</v>
      </c>
      <c r="B195" t="s">
        <v>872</v>
      </c>
      <c r="C195" t="s">
        <v>873</v>
      </c>
      <c r="D195" t="s">
        <v>874</v>
      </c>
      <c r="E195" t="s">
        <v>18</v>
      </c>
      <c r="F195" t="s">
        <v>875</v>
      </c>
      <c r="G195" t="s">
        <v>13</v>
      </c>
      <c r="H195" t="s">
        <v>230</v>
      </c>
    </row>
    <row r="196" spans="1:8" x14ac:dyDescent="0.25">
      <c r="A196">
        <v>195</v>
      </c>
      <c r="B196" t="s">
        <v>876</v>
      </c>
      <c r="C196" t="s">
        <v>877</v>
      </c>
      <c r="D196" t="s">
        <v>878</v>
      </c>
      <c r="E196" t="s">
        <v>11</v>
      </c>
      <c r="F196" t="s">
        <v>879</v>
      </c>
      <c r="G196" t="s">
        <v>13</v>
      </c>
      <c r="H196" t="s">
        <v>168</v>
      </c>
    </row>
    <row r="197" spans="1:8" x14ac:dyDescent="0.25">
      <c r="A197">
        <v>196</v>
      </c>
      <c r="B197" t="s">
        <v>880</v>
      </c>
      <c r="C197" t="s">
        <v>881</v>
      </c>
      <c r="D197" t="s">
        <v>882</v>
      </c>
      <c r="E197" t="s">
        <v>18</v>
      </c>
      <c r="F197" t="s">
        <v>883</v>
      </c>
      <c r="G197" t="s">
        <v>13</v>
      </c>
      <c r="H197" t="s">
        <v>655</v>
      </c>
    </row>
    <row r="198" spans="1:8" x14ac:dyDescent="0.25">
      <c r="A198">
        <v>197</v>
      </c>
      <c r="B198" t="s">
        <v>884</v>
      </c>
      <c r="C198" t="s">
        <v>885</v>
      </c>
      <c r="D198" t="s">
        <v>886</v>
      </c>
      <c r="E198" t="s">
        <v>11</v>
      </c>
      <c r="F198" t="s">
        <v>887</v>
      </c>
      <c r="G198" t="s">
        <v>13</v>
      </c>
      <c r="H198" t="s">
        <v>125</v>
      </c>
    </row>
    <row r="199" spans="1:8" x14ac:dyDescent="0.25">
      <c r="A199">
        <v>198</v>
      </c>
      <c r="B199" t="s">
        <v>888</v>
      </c>
      <c r="C199" t="s">
        <v>889</v>
      </c>
      <c r="D199" t="s">
        <v>890</v>
      </c>
      <c r="E199" t="s">
        <v>18</v>
      </c>
      <c r="F199" t="s">
        <v>891</v>
      </c>
      <c r="G199" t="s">
        <v>13</v>
      </c>
      <c r="H199" t="s">
        <v>205</v>
      </c>
    </row>
    <row r="200" spans="1:8" x14ac:dyDescent="0.25">
      <c r="A200">
        <v>199</v>
      </c>
      <c r="B200" t="s">
        <v>892</v>
      </c>
      <c r="C200" t="s">
        <v>893</v>
      </c>
      <c r="D200" t="s">
        <v>894</v>
      </c>
      <c r="E200" t="s">
        <v>18</v>
      </c>
      <c r="F200" t="s">
        <v>895</v>
      </c>
      <c r="G200" t="s">
        <v>13</v>
      </c>
      <c r="H200" t="s">
        <v>140</v>
      </c>
    </row>
    <row r="201" spans="1:8" x14ac:dyDescent="0.25">
      <c r="A201">
        <v>200</v>
      </c>
      <c r="B201" t="s">
        <v>896</v>
      </c>
      <c r="C201" t="s">
        <v>897</v>
      </c>
      <c r="D201" t="s">
        <v>898</v>
      </c>
      <c r="E201" t="s">
        <v>11</v>
      </c>
      <c r="F201" t="s">
        <v>899</v>
      </c>
      <c r="G201" t="s">
        <v>13</v>
      </c>
      <c r="H201" t="s">
        <v>438</v>
      </c>
    </row>
    <row r="202" spans="1:8" x14ac:dyDescent="0.25">
      <c r="A202">
        <v>201</v>
      </c>
      <c r="B202" t="s">
        <v>900</v>
      </c>
      <c r="C202" t="s">
        <v>901</v>
      </c>
      <c r="D202" t="s">
        <v>902</v>
      </c>
      <c r="E202" t="s">
        <v>11</v>
      </c>
      <c r="F202" t="s">
        <v>903</v>
      </c>
      <c r="G202" t="s">
        <v>13</v>
      </c>
      <c r="H202" t="s">
        <v>504</v>
      </c>
    </row>
    <row r="203" spans="1:8" x14ac:dyDescent="0.25">
      <c r="A203">
        <v>202</v>
      </c>
      <c r="B203" t="s">
        <v>904</v>
      </c>
      <c r="C203" t="s">
        <v>905</v>
      </c>
      <c r="D203" t="s">
        <v>906</v>
      </c>
      <c r="E203" t="s">
        <v>11</v>
      </c>
      <c r="F203" t="s">
        <v>907</v>
      </c>
      <c r="G203" t="s">
        <v>13</v>
      </c>
      <c r="H203" t="s">
        <v>705</v>
      </c>
    </row>
    <row r="204" spans="1:8" x14ac:dyDescent="0.25">
      <c r="A204">
        <v>203</v>
      </c>
      <c r="B204" t="s">
        <v>908</v>
      </c>
      <c r="C204" t="s">
        <v>909</v>
      </c>
      <c r="D204" t="s">
        <v>910</v>
      </c>
      <c r="E204" t="s">
        <v>11</v>
      </c>
      <c r="F204" t="s">
        <v>911</v>
      </c>
      <c r="G204" t="s">
        <v>13</v>
      </c>
      <c r="H204" t="s">
        <v>215</v>
      </c>
    </row>
    <row r="205" spans="1:8" x14ac:dyDescent="0.25">
      <c r="B205" t="s">
        <v>912</v>
      </c>
      <c r="C205" t="s">
        <v>913</v>
      </c>
      <c r="D205" t="s">
        <v>914</v>
      </c>
      <c r="E205" t="s">
        <v>18</v>
      </c>
      <c r="F205" t="s">
        <v>915</v>
      </c>
      <c r="G205" t="s">
        <v>13</v>
      </c>
      <c r="H205" t="s">
        <v>916</v>
      </c>
    </row>
    <row r="206" spans="1:8" x14ac:dyDescent="0.25">
      <c r="A206">
        <v>205</v>
      </c>
      <c r="B206" t="s">
        <v>917</v>
      </c>
      <c r="C206" t="s">
        <v>918</v>
      </c>
      <c r="D206" t="s">
        <v>919</v>
      </c>
      <c r="E206" t="s">
        <v>11</v>
      </c>
      <c r="F206" t="s">
        <v>920</v>
      </c>
      <c r="G206" t="s">
        <v>13</v>
      </c>
      <c r="H206" t="s">
        <v>678</v>
      </c>
    </row>
    <row r="207" spans="1:8" x14ac:dyDescent="0.25">
      <c r="A207">
        <v>206</v>
      </c>
      <c r="B207" t="s">
        <v>921</v>
      </c>
      <c r="C207" t="s">
        <v>922</v>
      </c>
      <c r="D207" t="s">
        <v>923</v>
      </c>
      <c r="E207" t="s">
        <v>11</v>
      </c>
      <c r="F207" t="s">
        <v>924</v>
      </c>
      <c r="G207" t="s">
        <v>13</v>
      </c>
      <c r="H207" t="s">
        <v>36</v>
      </c>
    </row>
    <row r="208" spans="1:8" x14ac:dyDescent="0.25">
      <c r="A208">
        <v>207</v>
      </c>
      <c r="B208" t="s">
        <v>925</v>
      </c>
      <c r="C208" t="s">
        <v>926</v>
      </c>
      <c r="D208" t="s">
        <v>927</v>
      </c>
      <c r="E208" t="s">
        <v>18</v>
      </c>
      <c r="F208" t="s">
        <v>928</v>
      </c>
      <c r="G208" t="s">
        <v>13</v>
      </c>
      <c r="H208" t="s">
        <v>210</v>
      </c>
    </row>
    <row r="209" spans="1:8" x14ac:dyDescent="0.25">
      <c r="A209">
        <v>208</v>
      </c>
      <c r="B209" t="s">
        <v>929</v>
      </c>
      <c r="C209" t="s">
        <v>930</v>
      </c>
      <c r="D209" t="s">
        <v>931</v>
      </c>
      <c r="E209" t="s">
        <v>18</v>
      </c>
      <c r="F209" t="s">
        <v>932</v>
      </c>
      <c r="G209" t="s">
        <v>13</v>
      </c>
      <c r="H209" t="s">
        <v>933</v>
      </c>
    </row>
    <row r="210" spans="1:8" x14ac:dyDescent="0.25">
      <c r="A210">
        <v>209</v>
      </c>
      <c r="B210" t="s">
        <v>934</v>
      </c>
      <c r="C210" t="s">
        <v>935</v>
      </c>
      <c r="D210" t="s">
        <v>936</v>
      </c>
      <c r="E210" t="s">
        <v>18</v>
      </c>
      <c r="F210" t="s">
        <v>937</v>
      </c>
      <c r="G210" t="s">
        <v>13</v>
      </c>
      <c r="H210" t="s">
        <v>135</v>
      </c>
    </row>
    <row r="211" spans="1:8" x14ac:dyDescent="0.25">
      <c r="A211">
        <v>210</v>
      </c>
      <c r="B211" t="s">
        <v>938</v>
      </c>
      <c r="C211" t="s">
        <v>939</v>
      </c>
      <c r="D211" t="s">
        <v>940</v>
      </c>
      <c r="E211" t="s">
        <v>11</v>
      </c>
      <c r="F211" t="s">
        <v>941</v>
      </c>
      <c r="G211" t="s">
        <v>13</v>
      </c>
      <c r="H211" t="s">
        <v>130</v>
      </c>
    </row>
    <row r="212" spans="1:8" x14ac:dyDescent="0.25">
      <c r="A212">
        <v>211</v>
      </c>
      <c r="B212" t="s">
        <v>942</v>
      </c>
      <c r="C212" t="s">
        <v>943</v>
      </c>
      <c r="D212" t="s">
        <v>944</v>
      </c>
      <c r="E212" t="s">
        <v>11</v>
      </c>
      <c r="F212" t="s">
        <v>945</v>
      </c>
      <c r="G212" t="s">
        <v>13</v>
      </c>
      <c r="H212" t="s">
        <v>804</v>
      </c>
    </row>
    <row r="213" spans="1:8" x14ac:dyDescent="0.25">
      <c r="A213">
        <v>212</v>
      </c>
      <c r="B213" t="s">
        <v>946</v>
      </c>
      <c r="C213" t="s">
        <v>947</v>
      </c>
      <c r="D213" t="s">
        <v>948</v>
      </c>
      <c r="E213" t="s">
        <v>11</v>
      </c>
      <c r="F213" t="s">
        <v>949</v>
      </c>
      <c r="G213" t="s">
        <v>13</v>
      </c>
      <c r="H213" t="s">
        <v>809</v>
      </c>
    </row>
    <row r="214" spans="1:8" x14ac:dyDescent="0.25">
      <c r="A214">
        <v>213</v>
      </c>
      <c r="B214" t="s">
        <v>950</v>
      </c>
      <c r="C214" t="s">
        <v>951</v>
      </c>
      <c r="D214" t="s">
        <v>952</v>
      </c>
      <c r="E214" t="s">
        <v>11</v>
      </c>
      <c r="F214" t="s">
        <v>953</v>
      </c>
      <c r="G214" t="s">
        <v>13</v>
      </c>
      <c r="H214" t="s">
        <v>549</v>
      </c>
    </row>
    <row r="215" spans="1:8" x14ac:dyDescent="0.25">
      <c r="A215">
        <v>214</v>
      </c>
      <c r="B215" t="s">
        <v>954</v>
      </c>
      <c r="C215" t="s">
        <v>955</v>
      </c>
      <c r="D215" t="s">
        <v>956</v>
      </c>
      <c r="E215" t="s">
        <v>228</v>
      </c>
      <c r="F215" t="s">
        <v>957</v>
      </c>
      <c r="G215" t="s">
        <v>13</v>
      </c>
      <c r="H215" t="s">
        <v>287</v>
      </c>
    </row>
    <row r="216" spans="1:8" x14ac:dyDescent="0.25">
      <c r="B216" t="s">
        <v>958</v>
      </c>
      <c r="C216" t="s">
        <v>959</v>
      </c>
      <c r="D216" t="s">
        <v>960</v>
      </c>
      <c r="E216" t="s">
        <v>18</v>
      </c>
      <c r="F216" t="s">
        <v>961</v>
      </c>
      <c r="G216" t="s">
        <v>13</v>
      </c>
      <c r="H216" t="s">
        <v>504</v>
      </c>
    </row>
    <row r="217" spans="1:8" x14ac:dyDescent="0.25">
      <c r="A217">
        <v>216</v>
      </c>
      <c r="B217" t="s">
        <v>962</v>
      </c>
      <c r="C217" t="s">
        <v>963</v>
      </c>
      <c r="D217" t="s">
        <v>964</v>
      </c>
      <c r="E217" t="s">
        <v>11</v>
      </c>
      <c r="F217" t="s">
        <v>965</v>
      </c>
      <c r="G217" t="s">
        <v>13</v>
      </c>
      <c r="H217" t="s">
        <v>641</v>
      </c>
    </row>
    <row r="218" spans="1:8" x14ac:dyDescent="0.25">
      <c r="A218">
        <v>217</v>
      </c>
      <c r="B218" t="s">
        <v>966</v>
      </c>
      <c r="C218" t="s">
        <v>967</v>
      </c>
      <c r="D218" t="s">
        <v>968</v>
      </c>
      <c r="E218" t="s">
        <v>18</v>
      </c>
      <c r="F218" t="s">
        <v>969</v>
      </c>
      <c r="G218" t="s">
        <v>13</v>
      </c>
      <c r="H218" t="s">
        <v>916</v>
      </c>
    </row>
    <row r="219" spans="1:8" x14ac:dyDescent="0.25">
      <c r="A219">
        <v>218</v>
      </c>
      <c r="B219" t="s">
        <v>970</v>
      </c>
      <c r="C219" t="s">
        <v>971</v>
      </c>
      <c r="D219" t="s">
        <v>972</v>
      </c>
      <c r="E219" t="s">
        <v>11</v>
      </c>
      <c r="F219" t="s">
        <v>973</v>
      </c>
      <c r="G219" t="s">
        <v>13</v>
      </c>
      <c r="H219" t="s">
        <v>350</v>
      </c>
    </row>
    <row r="220" spans="1:8" x14ac:dyDescent="0.25">
      <c r="A220">
        <v>219</v>
      </c>
      <c r="B220" t="s">
        <v>974</v>
      </c>
      <c r="C220" t="s">
        <v>975</v>
      </c>
      <c r="D220" t="s">
        <v>976</v>
      </c>
      <c r="E220" t="s">
        <v>18</v>
      </c>
      <c r="F220" t="s">
        <v>977</v>
      </c>
      <c r="G220" t="s">
        <v>13</v>
      </c>
      <c r="H220" t="s">
        <v>120</v>
      </c>
    </row>
    <row r="221" spans="1:8" x14ac:dyDescent="0.25">
      <c r="A221">
        <v>220</v>
      </c>
      <c r="B221" t="s">
        <v>978</v>
      </c>
      <c r="C221" t="s">
        <v>979</v>
      </c>
      <c r="D221" t="s">
        <v>980</v>
      </c>
      <c r="E221" t="s">
        <v>11</v>
      </c>
      <c r="F221" t="s">
        <v>981</v>
      </c>
      <c r="G221" t="s">
        <v>13</v>
      </c>
      <c r="H221" t="s">
        <v>36</v>
      </c>
    </row>
    <row r="222" spans="1:8" x14ac:dyDescent="0.25">
      <c r="A222">
        <v>221</v>
      </c>
      <c r="B222" t="s">
        <v>982</v>
      </c>
      <c r="C222" t="s">
        <v>983</v>
      </c>
      <c r="D222" t="s">
        <v>984</v>
      </c>
      <c r="E222" t="s">
        <v>11</v>
      </c>
      <c r="F222" t="s">
        <v>985</v>
      </c>
      <c r="G222" t="s">
        <v>13</v>
      </c>
      <c r="H222" t="s">
        <v>168</v>
      </c>
    </row>
    <row r="223" spans="1:8" x14ac:dyDescent="0.25">
      <c r="A223">
        <v>222</v>
      </c>
      <c r="B223" t="s">
        <v>986</v>
      </c>
      <c r="C223" t="s">
        <v>987</v>
      </c>
      <c r="D223" t="s">
        <v>988</v>
      </c>
      <c r="E223" t="s">
        <v>18</v>
      </c>
      <c r="F223" t="s">
        <v>989</v>
      </c>
      <c r="G223" t="s">
        <v>13</v>
      </c>
      <c r="H223" t="s">
        <v>331</v>
      </c>
    </row>
    <row r="224" spans="1:8" x14ac:dyDescent="0.25">
      <c r="A224">
        <v>223</v>
      </c>
      <c r="B224" t="s">
        <v>990</v>
      </c>
      <c r="C224" t="s">
        <v>991</v>
      </c>
      <c r="D224" t="s">
        <v>992</v>
      </c>
      <c r="E224" t="s">
        <v>11</v>
      </c>
      <c r="F224" t="s">
        <v>993</v>
      </c>
      <c r="G224" t="s">
        <v>13</v>
      </c>
      <c r="H224" t="s">
        <v>809</v>
      </c>
    </row>
    <row r="225" spans="1:8" x14ac:dyDescent="0.25">
      <c r="A225">
        <v>224</v>
      </c>
      <c r="B225" t="s">
        <v>283</v>
      </c>
      <c r="C225" t="s">
        <v>994</v>
      </c>
      <c r="D225" t="s">
        <v>995</v>
      </c>
      <c r="E225" t="s">
        <v>274</v>
      </c>
      <c r="F225" t="s">
        <v>996</v>
      </c>
      <c r="G225" t="s">
        <v>13</v>
      </c>
      <c r="H225" t="s">
        <v>61</v>
      </c>
    </row>
    <row r="226" spans="1:8" x14ac:dyDescent="0.25">
      <c r="A226">
        <v>225</v>
      </c>
      <c r="B226" t="s">
        <v>997</v>
      </c>
      <c r="C226" t="s">
        <v>998</v>
      </c>
      <c r="D226" t="s">
        <v>999</v>
      </c>
      <c r="E226" t="s">
        <v>18</v>
      </c>
      <c r="F226" t="s">
        <v>1000</v>
      </c>
      <c r="G226" t="s">
        <v>13</v>
      </c>
      <c r="H226" t="s">
        <v>183</v>
      </c>
    </row>
    <row r="227" spans="1:8" x14ac:dyDescent="0.25">
      <c r="A227">
        <v>226</v>
      </c>
      <c r="B227" t="s">
        <v>1001</v>
      </c>
      <c r="C227" t="s">
        <v>1002</v>
      </c>
      <c r="D227" t="s">
        <v>1003</v>
      </c>
      <c r="E227" t="s">
        <v>18</v>
      </c>
      <c r="F227" t="s">
        <v>1004</v>
      </c>
      <c r="G227" t="s">
        <v>13</v>
      </c>
      <c r="H227" t="s">
        <v>81</v>
      </c>
    </row>
    <row r="228" spans="1:8" x14ac:dyDescent="0.25">
      <c r="A228">
        <v>227</v>
      </c>
      <c r="B228" t="s">
        <v>1005</v>
      </c>
      <c r="C228" t="s">
        <v>1006</v>
      </c>
      <c r="D228" t="s">
        <v>1007</v>
      </c>
      <c r="E228" t="s">
        <v>11</v>
      </c>
      <c r="F228" t="s">
        <v>1008</v>
      </c>
      <c r="G228" t="s">
        <v>13</v>
      </c>
      <c r="H228" t="s">
        <v>56</v>
      </c>
    </row>
    <row r="229" spans="1:8" x14ac:dyDescent="0.25">
      <c r="A229">
        <v>228</v>
      </c>
      <c r="B229" t="s">
        <v>1009</v>
      </c>
      <c r="C229" t="s">
        <v>1010</v>
      </c>
      <c r="D229" t="s">
        <v>1011</v>
      </c>
      <c r="E229" t="s">
        <v>228</v>
      </c>
      <c r="F229" t="s">
        <v>1012</v>
      </c>
      <c r="G229" t="s">
        <v>13</v>
      </c>
      <c r="H229" t="s">
        <v>365</v>
      </c>
    </row>
    <row r="230" spans="1:8" x14ac:dyDescent="0.25">
      <c r="A230">
        <v>229</v>
      </c>
      <c r="B230" t="s">
        <v>1013</v>
      </c>
      <c r="C230" t="s">
        <v>1014</v>
      </c>
      <c r="D230" t="s">
        <v>1015</v>
      </c>
      <c r="E230" t="s">
        <v>18</v>
      </c>
      <c r="F230" t="s">
        <v>1016</v>
      </c>
      <c r="G230" t="s">
        <v>13</v>
      </c>
      <c r="H230" t="s">
        <v>1017</v>
      </c>
    </row>
    <row r="231" spans="1:8" x14ac:dyDescent="0.25">
      <c r="A231">
        <v>230</v>
      </c>
      <c r="B231" t="s">
        <v>1018</v>
      </c>
      <c r="C231" t="s">
        <v>1019</v>
      </c>
      <c r="D231" t="s">
        <v>1020</v>
      </c>
      <c r="E231" t="s">
        <v>11</v>
      </c>
      <c r="F231" t="s">
        <v>1021</v>
      </c>
      <c r="G231" t="s">
        <v>13</v>
      </c>
      <c r="H231" t="s">
        <v>308</v>
      </c>
    </row>
    <row r="232" spans="1:8" x14ac:dyDescent="0.25">
      <c r="A232">
        <v>231</v>
      </c>
      <c r="B232" t="s">
        <v>1022</v>
      </c>
      <c r="C232" t="s">
        <v>1023</v>
      </c>
      <c r="D232" t="s">
        <v>1024</v>
      </c>
      <c r="E232" t="s">
        <v>18</v>
      </c>
      <c r="F232" t="s">
        <v>1025</v>
      </c>
      <c r="G232" t="s">
        <v>13</v>
      </c>
      <c r="H232" t="s">
        <v>20</v>
      </c>
    </row>
    <row r="233" spans="1:8" x14ac:dyDescent="0.25">
      <c r="A233">
        <v>232</v>
      </c>
      <c r="B233" t="s">
        <v>1026</v>
      </c>
      <c r="C233" t="s">
        <v>1027</v>
      </c>
      <c r="D233" t="s">
        <v>1028</v>
      </c>
      <c r="E233" t="s">
        <v>18</v>
      </c>
      <c r="F233" t="s">
        <v>1029</v>
      </c>
      <c r="G233" t="s">
        <v>13</v>
      </c>
      <c r="H233" t="s">
        <v>110</v>
      </c>
    </row>
    <row r="234" spans="1:8" x14ac:dyDescent="0.25">
      <c r="B234" t="s">
        <v>1030</v>
      </c>
      <c r="C234" t="s">
        <v>1031</v>
      </c>
      <c r="D234" t="s">
        <v>1032</v>
      </c>
      <c r="E234" t="s">
        <v>11</v>
      </c>
      <c r="F234" t="s">
        <v>1033</v>
      </c>
      <c r="G234" t="s">
        <v>13</v>
      </c>
      <c r="H234" t="s">
        <v>628</v>
      </c>
    </row>
    <row r="235" spans="1:8" x14ac:dyDescent="0.25">
      <c r="A235">
        <v>234</v>
      </c>
      <c r="B235" t="s">
        <v>1034</v>
      </c>
      <c r="C235" t="s">
        <v>1035</v>
      </c>
      <c r="D235" t="s">
        <v>1036</v>
      </c>
      <c r="E235" t="s">
        <v>18</v>
      </c>
      <c r="F235" t="s">
        <v>1037</v>
      </c>
      <c r="G235" t="s">
        <v>13</v>
      </c>
      <c r="H235" t="s">
        <v>779</v>
      </c>
    </row>
    <row r="236" spans="1:8" x14ac:dyDescent="0.25">
      <c r="A236">
        <v>235</v>
      </c>
      <c r="B236" t="s">
        <v>1038</v>
      </c>
      <c r="C236" t="s">
        <v>1039</v>
      </c>
      <c r="D236" t="s">
        <v>1040</v>
      </c>
      <c r="E236" t="s">
        <v>11</v>
      </c>
      <c r="F236" t="s">
        <v>1041</v>
      </c>
      <c r="G236" t="s">
        <v>13</v>
      </c>
      <c r="H236" t="s">
        <v>276</v>
      </c>
    </row>
    <row r="237" spans="1:8" x14ac:dyDescent="0.25">
      <c r="A237">
        <v>236</v>
      </c>
      <c r="B237" t="s">
        <v>1042</v>
      </c>
      <c r="C237" t="s">
        <v>1043</v>
      </c>
      <c r="D237" t="s">
        <v>1044</v>
      </c>
      <c r="E237" t="s">
        <v>11</v>
      </c>
      <c r="F237" t="s">
        <v>1045</v>
      </c>
      <c r="G237" t="s">
        <v>13</v>
      </c>
      <c r="H237" t="s">
        <v>809</v>
      </c>
    </row>
    <row r="238" spans="1:8" x14ac:dyDescent="0.25">
      <c r="A238">
        <v>237</v>
      </c>
      <c r="B238" t="s">
        <v>1046</v>
      </c>
      <c r="C238" t="s">
        <v>1047</v>
      </c>
      <c r="D238" t="s">
        <v>1048</v>
      </c>
      <c r="E238" t="s">
        <v>18</v>
      </c>
      <c r="F238" t="s">
        <v>1049</v>
      </c>
      <c r="G238" t="s">
        <v>13</v>
      </c>
      <c r="H238" t="s">
        <v>700</v>
      </c>
    </row>
    <row r="239" spans="1:8" x14ac:dyDescent="0.25">
      <c r="A239">
        <v>238</v>
      </c>
      <c r="B239" t="s">
        <v>1050</v>
      </c>
      <c r="C239" t="s">
        <v>1051</v>
      </c>
      <c r="D239" t="s">
        <v>1052</v>
      </c>
      <c r="E239" t="s">
        <v>18</v>
      </c>
      <c r="F239" t="s">
        <v>1053</v>
      </c>
      <c r="G239" t="s">
        <v>13</v>
      </c>
      <c r="H239" t="s">
        <v>36</v>
      </c>
    </row>
    <row r="240" spans="1:8" x14ac:dyDescent="0.25">
      <c r="A240">
        <v>239</v>
      </c>
      <c r="B240" t="s">
        <v>1054</v>
      </c>
      <c r="C240" t="s">
        <v>1055</v>
      </c>
      <c r="D240" t="s">
        <v>1056</v>
      </c>
      <c r="E240" t="s">
        <v>11</v>
      </c>
      <c r="F240" t="s">
        <v>1057</v>
      </c>
      <c r="G240" t="s">
        <v>13</v>
      </c>
      <c r="H240" t="s">
        <v>173</v>
      </c>
    </row>
    <row r="241" spans="1:8" x14ac:dyDescent="0.25">
      <c r="A241">
        <v>240</v>
      </c>
      <c r="B241" t="s">
        <v>1058</v>
      </c>
      <c r="C241" t="s">
        <v>1059</v>
      </c>
      <c r="D241" t="s">
        <v>1060</v>
      </c>
      <c r="E241" t="s">
        <v>18</v>
      </c>
      <c r="F241" t="s">
        <v>1061</v>
      </c>
      <c r="G241" t="s">
        <v>13</v>
      </c>
      <c r="H241" t="s">
        <v>779</v>
      </c>
    </row>
    <row r="242" spans="1:8" x14ac:dyDescent="0.25">
      <c r="A242">
        <v>241</v>
      </c>
      <c r="B242" t="s">
        <v>1062</v>
      </c>
      <c r="C242" t="s">
        <v>1063</v>
      </c>
      <c r="D242" t="s">
        <v>1064</v>
      </c>
      <c r="E242" t="s">
        <v>18</v>
      </c>
      <c r="F242" t="s">
        <v>1065</v>
      </c>
      <c r="G242" t="s">
        <v>13</v>
      </c>
      <c r="H242" t="s">
        <v>140</v>
      </c>
    </row>
    <row r="243" spans="1:8" x14ac:dyDescent="0.25">
      <c r="A243">
        <v>242</v>
      </c>
      <c r="B243" t="s">
        <v>1066</v>
      </c>
      <c r="C243" t="s">
        <v>1067</v>
      </c>
      <c r="D243" t="s">
        <v>1068</v>
      </c>
      <c r="E243" t="s">
        <v>11</v>
      </c>
      <c r="F243" t="s">
        <v>1069</v>
      </c>
      <c r="G243" t="s">
        <v>13</v>
      </c>
      <c r="H243" t="s">
        <v>86</v>
      </c>
    </row>
    <row r="244" spans="1:8" x14ac:dyDescent="0.25">
      <c r="A244">
        <v>243</v>
      </c>
      <c r="B244" t="s">
        <v>1070</v>
      </c>
      <c r="C244" t="s">
        <v>1071</v>
      </c>
      <c r="D244" t="s">
        <v>1072</v>
      </c>
      <c r="E244" t="s">
        <v>11</v>
      </c>
      <c r="F244" t="s">
        <v>1073</v>
      </c>
      <c r="G244" t="s">
        <v>13</v>
      </c>
      <c r="H244" t="s">
        <v>14</v>
      </c>
    </row>
    <row r="245" spans="1:8" x14ac:dyDescent="0.25">
      <c r="A245">
        <v>244</v>
      </c>
      <c r="B245" t="s">
        <v>1074</v>
      </c>
      <c r="C245" t="s">
        <v>1075</v>
      </c>
      <c r="D245" t="s">
        <v>1076</v>
      </c>
      <c r="E245" t="s">
        <v>11</v>
      </c>
      <c r="F245" t="s">
        <v>1077</v>
      </c>
      <c r="G245" t="s">
        <v>13</v>
      </c>
      <c r="H245" t="s">
        <v>140</v>
      </c>
    </row>
    <row r="246" spans="1:8" x14ac:dyDescent="0.25">
      <c r="A246">
        <v>245</v>
      </c>
      <c r="B246" t="s">
        <v>1078</v>
      </c>
      <c r="C246" t="s">
        <v>1079</v>
      </c>
      <c r="D246" t="s">
        <v>1080</v>
      </c>
      <c r="E246" t="s">
        <v>18</v>
      </c>
      <c r="F246" t="s">
        <v>1081</v>
      </c>
      <c r="G246" t="s">
        <v>13</v>
      </c>
      <c r="H246" t="s">
        <v>317</v>
      </c>
    </row>
    <row r="247" spans="1:8" x14ac:dyDescent="0.25">
      <c r="A247">
        <v>246</v>
      </c>
      <c r="B247" t="s">
        <v>1082</v>
      </c>
      <c r="C247" t="s">
        <v>1083</v>
      </c>
      <c r="D247" t="s">
        <v>1084</v>
      </c>
      <c r="E247" t="s">
        <v>18</v>
      </c>
      <c r="F247" t="s">
        <v>1085</v>
      </c>
      <c r="G247" t="s">
        <v>13</v>
      </c>
      <c r="H247" t="s">
        <v>86</v>
      </c>
    </row>
    <row r="248" spans="1:8" x14ac:dyDescent="0.25">
      <c r="A248">
        <v>247</v>
      </c>
      <c r="B248" t="s">
        <v>1086</v>
      </c>
      <c r="C248" t="s">
        <v>1087</v>
      </c>
      <c r="D248" t="s">
        <v>1088</v>
      </c>
      <c r="E248" t="s">
        <v>18</v>
      </c>
      <c r="F248" t="s">
        <v>1089</v>
      </c>
      <c r="G248" t="s">
        <v>13</v>
      </c>
      <c r="H248" t="s">
        <v>41</v>
      </c>
    </row>
    <row r="249" spans="1:8" x14ac:dyDescent="0.25">
      <c r="A249">
        <v>248</v>
      </c>
      <c r="B249" t="s">
        <v>1090</v>
      </c>
      <c r="C249" t="s">
        <v>1091</v>
      </c>
      <c r="D249" t="s">
        <v>1092</v>
      </c>
      <c r="E249" t="s">
        <v>29</v>
      </c>
      <c r="F249" t="s">
        <v>1093</v>
      </c>
      <c r="G249" t="s">
        <v>13</v>
      </c>
      <c r="H249" t="s">
        <v>243</v>
      </c>
    </row>
    <row r="250" spans="1:8" x14ac:dyDescent="0.25">
      <c r="B250" t="s">
        <v>1094</v>
      </c>
      <c r="C250" t="s">
        <v>1095</v>
      </c>
      <c r="D250" t="s">
        <v>1096</v>
      </c>
      <c r="E250" t="s">
        <v>18</v>
      </c>
      <c r="F250" t="s">
        <v>1097</v>
      </c>
      <c r="G250" t="s">
        <v>13</v>
      </c>
      <c r="H250" t="s">
        <v>438</v>
      </c>
    </row>
    <row r="251" spans="1:8" x14ac:dyDescent="0.25">
      <c r="A251">
        <v>250</v>
      </c>
      <c r="B251" t="s">
        <v>1098</v>
      </c>
      <c r="C251" t="s">
        <v>1099</v>
      </c>
      <c r="D251" t="s">
        <v>1100</v>
      </c>
      <c r="E251" t="s">
        <v>18</v>
      </c>
      <c r="F251" t="s">
        <v>1101</v>
      </c>
      <c r="G251" t="s">
        <v>13</v>
      </c>
      <c r="H251" t="s">
        <v>602</v>
      </c>
    </row>
    <row r="252" spans="1:8" x14ac:dyDescent="0.25">
      <c r="B252" t="s">
        <v>1102</v>
      </c>
      <c r="C252" t="s">
        <v>1103</v>
      </c>
      <c r="D252" t="s">
        <v>1104</v>
      </c>
      <c r="E252" t="s">
        <v>11</v>
      </c>
      <c r="F252" t="s">
        <v>1105</v>
      </c>
      <c r="G252" t="s">
        <v>13</v>
      </c>
      <c r="H252" t="s">
        <v>1106</v>
      </c>
    </row>
    <row r="253" spans="1:8" x14ac:dyDescent="0.25">
      <c r="A253">
        <v>252</v>
      </c>
      <c r="B253" t="s">
        <v>1107</v>
      </c>
      <c r="C253" t="s">
        <v>1108</v>
      </c>
      <c r="D253" t="s">
        <v>1109</v>
      </c>
      <c r="E253" t="s">
        <v>18</v>
      </c>
      <c r="F253" t="s">
        <v>1110</v>
      </c>
      <c r="G253" t="s">
        <v>13</v>
      </c>
      <c r="H253" t="s">
        <v>779</v>
      </c>
    </row>
    <row r="254" spans="1:8" x14ac:dyDescent="0.25">
      <c r="A254">
        <v>253</v>
      </c>
      <c r="B254" t="s">
        <v>1111</v>
      </c>
      <c r="C254" t="s">
        <v>1112</v>
      </c>
      <c r="D254" t="s">
        <v>1113</v>
      </c>
      <c r="E254" t="s">
        <v>228</v>
      </c>
      <c r="F254" t="s">
        <v>1114</v>
      </c>
      <c r="G254" t="s">
        <v>13</v>
      </c>
      <c r="H254" t="s">
        <v>81</v>
      </c>
    </row>
    <row r="255" spans="1:8" x14ac:dyDescent="0.25">
      <c r="A255">
        <v>254</v>
      </c>
      <c r="B255" t="s">
        <v>1115</v>
      </c>
      <c r="C255" t="s">
        <v>1116</v>
      </c>
      <c r="D255" t="s">
        <v>1117</v>
      </c>
      <c r="E255" t="s">
        <v>18</v>
      </c>
      <c r="F255" t="s">
        <v>1118</v>
      </c>
      <c r="G255" t="s">
        <v>13</v>
      </c>
      <c r="H255" t="s">
        <v>81</v>
      </c>
    </row>
    <row r="256" spans="1:8" x14ac:dyDescent="0.25">
      <c r="A256">
        <v>255</v>
      </c>
      <c r="B256" t="s">
        <v>1119</v>
      </c>
      <c r="C256" t="s">
        <v>1120</v>
      </c>
      <c r="D256" t="s">
        <v>1121</v>
      </c>
      <c r="E256" t="s">
        <v>18</v>
      </c>
      <c r="F256" t="s">
        <v>1122</v>
      </c>
      <c r="G256" t="s">
        <v>13</v>
      </c>
      <c r="H256" t="s">
        <v>296</v>
      </c>
    </row>
    <row r="257" spans="1:8" x14ac:dyDescent="0.25">
      <c r="A257">
        <v>256</v>
      </c>
      <c r="B257" t="s">
        <v>1123</v>
      </c>
      <c r="C257" t="s">
        <v>1124</v>
      </c>
      <c r="D257" t="s">
        <v>1125</v>
      </c>
      <c r="E257" t="s">
        <v>11</v>
      </c>
      <c r="F257" t="s">
        <v>1126</v>
      </c>
      <c r="G257" t="s">
        <v>13</v>
      </c>
      <c r="H257" t="s">
        <v>135</v>
      </c>
    </row>
    <row r="258" spans="1:8" x14ac:dyDescent="0.25">
      <c r="A258">
        <v>257</v>
      </c>
      <c r="B258" t="s">
        <v>1127</v>
      </c>
      <c r="C258" t="s">
        <v>1128</v>
      </c>
      <c r="D258" t="s">
        <v>1129</v>
      </c>
      <c r="E258" t="s">
        <v>11</v>
      </c>
      <c r="F258" t="s">
        <v>1130</v>
      </c>
      <c r="G258" t="s">
        <v>13</v>
      </c>
      <c r="H258" t="s">
        <v>101</v>
      </c>
    </row>
    <row r="259" spans="1:8" x14ac:dyDescent="0.25">
      <c r="A259">
        <v>258</v>
      </c>
      <c r="B259" t="s">
        <v>1131</v>
      </c>
      <c r="C259" t="s">
        <v>1132</v>
      </c>
      <c r="D259" t="s">
        <v>1133</v>
      </c>
      <c r="E259" t="s">
        <v>18</v>
      </c>
      <c r="F259" t="s">
        <v>1134</v>
      </c>
      <c r="G259" t="s">
        <v>13</v>
      </c>
      <c r="H259" t="s">
        <v>350</v>
      </c>
    </row>
    <row r="260" spans="1:8" x14ac:dyDescent="0.25">
      <c r="A260">
        <v>259</v>
      </c>
      <c r="B260" t="s">
        <v>1135</v>
      </c>
      <c r="C260" t="s">
        <v>1136</v>
      </c>
      <c r="D260" t="s">
        <v>1137</v>
      </c>
      <c r="E260" t="s">
        <v>769</v>
      </c>
      <c r="F260" t="s">
        <v>1138</v>
      </c>
      <c r="G260" t="s">
        <v>13</v>
      </c>
      <c r="H260" t="s">
        <v>14</v>
      </c>
    </row>
    <row r="261" spans="1:8" x14ac:dyDescent="0.25">
      <c r="A261">
        <v>260</v>
      </c>
      <c r="B261" t="s">
        <v>1139</v>
      </c>
      <c r="C261" t="s">
        <v>1140</v>
      </c>
      <c r="D261" t="s">
        <v>1141</v>
      </c>
      <c r="E261" t="s">
        <v>11</v>
      </c>
      <c r="F261" t="s">
        <v>1142</v>
      </c>
      <c r="G261" t="s">
        <v>13</v>
      </c>
      <c r="H261" t="s">
        <v>91</v>
      </c>
    </row>
    <row r="262" spans="1:8" x14ac:dyDescent="0.25">
      <c r="A262">
        <v>261</v>
      </c>
      <c r="B262" t="s">
        <v>1143</v>
      </c>
      <c r="C262" t="s">
        <v>1144</v>
      </c>
      <c r="D262" t="s">
        <v>1145</v>
      </c>
      <c r="E262" t="s">
        <v>280</v>
      </c>
      <c r="F262" t="s">
        <v>1146</v>
      </c>
      <c r="G262" t="s">
        <v>13</v>
      </c>
      <c r="H262" t="s">
        <v>215</v>
      </c>
    </row>
    <row r="263" spans="1:8" x14ac:dyDescent="0.25">
      <c r="A263">
        <v>262</v>
      </c>
      <c r="B263" t="s">
        <v>1147</v>
      </c>
      <c r="C263" t="s">
        <v>1148</v>
      </c>
      <c r="D263" t="s">
        <v>1149</v>
      </c>
      <c r="E263" t="s">
        <v>18</v>
      </c>
      <c r="F263" t="s">
        <v>1150</v>
      </c>
      <c r="G263" t="s">
        <v>13</v>
      </c>
      <c r="H263" t="s">
        <v>188</v>
      </c>
    </row>
    <row r="264" spans="1:8" x14ac:dyDescent="0.25">
      <c r="A264">
        <v>263</v>
      </c>
      <c r="B264" t="s">
        <v>1151</v>
      </c>
      <c r="C264" t="s">
        <v>1152</v>
      </c>
      <c r="D264" t="s">
        <v>1153</v>
      </c>
      <c r="E264" t="s">
        <v>11</v>
      </c>
      <c r="F264" t="s">
        <v>1154</v>
      </c>
      <c r="G264" t="s">
        <v>13</v>
      </c>
      <c r="H264" t="s">
        <v>345</v>
      </c>
    </row>
    <row r="265" spans="1:8" x14ac:dyDescent="0.25">
      <c r="A265">
        <v>264</v>
      </c>
      <c r="B265" t="s">
        <v>1155</v>
      </c>
      <c r="C265" t="s">
        <v>1156</v>
      </c>
      <c r="D265" t="s">
        <v>1157</v>
      </c>
      <c r="E265" t="s">
        <v>18</v>
      </c>
      <c r="F265" t="s">
        <v>1158</v>
      </c>
      <c r="G265" t="s">
        <v>13</v>
      </c>
      <c r="H265" t="s">
        <v>205</v>
      </c>
    </row>
    <row r="266" spans="1:8" x14ac:dyDescent="0.25">
      <c r="A266">
        <v>265</v>
      </c>
      <c r="B266" t="s">
        <v>1159</v>
      </c>
      <c r="C266" t="s">
        <v>1160</v>
      </c>
      <c r="D266" t="s">
        <v>1161</v>
      </c>
      <c r="E266" t="s">
        <v>11</v>
      </c>
      <c r="F266" t="s">
        <v>1162</v>
      </c>
      <c r="G266" t="s">
        <v>13</v>
      </c>
      <c r="H266" t="s">
        <v>46</v>
      </c>
    </row>
    <row r="267" spans="1:8" x14ac:dyDescent="0.25">
      <c r="A267">
        <v>266</v>
      </c>
      <c r="B267" t="s">
        <v>1163</v>
      </c>
      <c r="C267" t="s">
        <v>1164</v>
      </c>
      <c r="D267" t="s">
        <v>1165</v>
      </c>
      <c r="E267" t="s">
        <v>11</v>
      </c>
      <c r="F267" t="s">
        <v>1166</v>
      </c>
      <c r="G267" t="s">
        <v>13</v>
      </c>
      <c r="H267" t="s">
        <v>567</v>
      </c>
    </row>
    <row r="268" spans="1:8" x14ac:dyDescent="0.25">
      <c r="A268">
        <v>267</v>
      </c>
      <c r="B268" t="s">
        <v>1167</v>
      </c>
      <c r="C268" t="s">
        <v>1168</v>
      </c>
      <c r="D268" t="s">
        <v>1169</v>
      </c>
      <c r="E268" t="s">
        <v>11</v>
      </c>
      <c r="F268" t="s">
        <v>1170</v>
      </c>
      <c r="G268" t="s">
        <v>13</v>
      </c>
      <c r="H268" t="s">
        <v>115</v>
      </c>
    </row>
    <row r="269" spans="1:8" x14ac:dyDescent="0.25">
      <c r="A269">
        <v>268</v>
      </c>
      <c r="B269" t="s">
        <v>1171</v>
      </c>
      <c r="C269" t="s">
        <v>1172</v>
      </c>
      <c r="D269" t="s">
        <v>1173</v>
      </c>
      <c r="E269" t="s">
        <v>11</v>
      </c>
      <c r="F269" t="s">
        <v>1174</v>
      </c>
      <c r="G269" t="s">
        <v>13</v>
      </c>
      <c r="H269" t="s">
        <v>101</v>
      </c>
    </row>
    <row r="270" spans="1:8" x14ac:dyDescent="0.25">
      <c r="A270">
        <v>269</v>
      </c>
      <c r="B270" t="s">
        <v>1175</v>
      </c>
      <c r="C270" t="s">
        <v>1176</v>
      </c>
      <c r="D270" t="s">
        <v>1177</v>
      </c>
      <c r="E270" t="s">
        <v>11</v>
      </c>
      <c r="F270" t="s">
        <v>1178</v>
      </c>
      <c r="G270" t="s">
        <v>13</v>
      </c>
      <c r="H270" t="s">
        <v>504</v>
      </c>
    </row>
    <row r="271" spans="1:8" x14ac:dyDescent="0.25">
      <c r="A271">
        <v>270</v>
      </c>
      <c r="B271" t="s">
        <v>1179</v>
      </c>
      <c r="C271" t="s">
        <v>1180</v>
      </c>
      <c r="D271" t="s">
        <v>1181</v>
      </c>
      <c r="E271" t="s">
        <v>274</v>
      </c>
      <c r="F271" t="s">
        <v>1182</v>
      </c>
      <c r="G271" t="s">
        <v>13</v>
      </c>
      <c r="H271" t="s">
        <v>243</v>
      </c>
    </row>
    <row r="272" spans="1:8" x14ac:dyDescent="0.25">
      <c r="A272">
        <v>271</v>
      </c>
      <c r="B272" t="s">
        <v>1183</v>
      </c>
      <c r="C272" t="s">
        <v>1184</v>
      </c>
      <c r="D272" t="s">
        <v>1185</v>
      </c>
      <c r="E272" t="s">
        <v>18</v>
      </c>
      <c r="F272" t="s">
        <v>1186</v>
      </c>
      <c r="G272" t="s">
        <v>13</v>
      </c>
      <c r="H272" t="s">
        <v>1187</v>
      </c>
    </row>
    <row r="273" spans="1:8" x14ac:dyDescent="0.25">
      <c r="A273">
        <v>272</v>
      </c>
      <c r="B273" t="s">
        <v>1188</v>
      </c>
      <c r="C273" t="s">
        <v>1189</v>
      </c>
      <c r="D273" t="s">
        <v>1190</v>
      </c>
      <c r="E273" t="s">
        <v>18</v>
      </c>
      <c r="F273" t="s">
        <v>1191</v>
      </c>
      <c r="G273" t="s">
        <v>13</v>
      </c>
      <c r="H273" t="s">
        <v>1106</v>
      </c>
    </row>
    <row r="274" spans="1:8" x14ac:dyDescent="0.25">
      <c r="A274">
        <v>273</v>
      </c>
      <c r="B274" t="s">
        <v>1192</v>
      </c>
      <c r="C274" t="s">
        <v>1193</v>
      </c>
      <c r="D274" t="s">
        <v>1194</v>
      </c>
      <c r="E274" t="s">
        <v>18</v>
      </c>
      <c r="F274" t="s">
        <v>1195</v>
      </c>
      <c r="G274" t="s">
        <v>13</v>
      </c>
      <c r="H274" t="s">
        <v>660</v>
      </c>
    </row>
    <row r="275" spans="1:8" x14ac:dyDescent="0.25">
      <c r="A275">
        <v>274</v>
      </c>
      <c r="B275" t="s">
        <v>1196</v>
      </c>
      <c r="C275" t="s">
        <v>1197</v>
      </c>
      <c r="D275" t="s">
        <v>1198</v>
      </c>
      <c r="E275" t="s">
        <v>11</v>
      </c>
      <c r="F275" t="s">
        <v>1199</v>
      </c>
      <c r="G275" t="s">
        <v>13</v>
      </c>
      <c r="H275" t="s">
        <v>345</v>
      </c>
    </row>
    <row r="276" spans="1:8" x14ac:dyDescent="0.25">
      <c r="A276">
        <v>275</v>
      </c>
      <c r="B276" t="s">
        <v>1200</v>
      </c>
      <c r="C276" t="s">
        <v>1201</v>
      </c>
      <c r="D276" t="s">
        <v>1202</v>
      </c>
      <c r="E276" t="s">
        <v>11</v>
      </c>
      <c r="F276" t="s">
        <v>1203</v>
      </c>
      <c r="G276" t="s">
        <v>13</v>
      </c>
      <c r="H276" t="s">
        <v>365</v>
      </c>
    </row>
    <row r="277" spans="1:8" x14ac:dyDescent="0.25">
      <c r="A277">
        <v>276</v>
      </c>
      <c r="B277" t="s">
        <v>1204</v>
      </c>
      <c r="C277" t="s">
        <v>1205</v>
      </c>
      <c r="D277" t="s">
        <v>1206</v>
      </c>
      <c r="E277" t="s">
        <v>11</v>
      </c>
      <c r="F277" t="s">
        <v>1207</v>
      </c>
      <c r="G277" t="s">
        <v>13</v>
      </c>
      <c r="H277" t="s">
        <v>56</v>
      </c>
    </row>
    <row r="278" spans="1:8" x14ac:dyDescent="0.25">
      <c r="A278">
        <v>277</v>
      </c>
      <c r="B278" t="s">
        <v>1208</v>
      </c>
      <c r="C278" t="s">
        <v>1209</v>
      </c>
      <c r="D278" t="s">
        <v>1210</v>
      </c>
      <c r="E278" t="s">
        <v>11</v>
      </c>
      <c r="F278" t="s">
        <v>1211</v>
      </c>
      <c r="G278" t="s">
        <v>13</v>
      </c>
      <c r="H278" t="s">
        <v>1212</v>
      </c>
    </row>
    <row r="279" spans="1:8" x14ac:dyDescent="0.25">
      <c r="A279">
        <v>278</v>
      </c>
      <c r="B279" t="s">
        <v>1213</v>
      </c>
      <c r="C279" t="s">
        <v>1214</v>
      </c>
      <c r="D279" t="s">
        <v>1215</v>
      </c>
      <c r="E279" t="s">
        <v>11</v>
      </c>
      <c r="F279" t="s">
        <v>1216</v>
      </c>
      <c r="G279" t="s">
        <v>13</v>
      </c>
      <c r="H279" t="s">
        <v>678</v>
      </c>
    </row>
    <row r="280" spans="1:8" x14ac:dyDescent="0.25">
      <c r="A280">
        <v>279</v>
      </c>
      <c r="B280" t="s">
        <v>1217</v>
      </c>
      <c r="C280" t="s">
        <v>1218</v>
      </c>
      <c r="D280" t="s">
        <v>1219</v>
      </c>
      <c r="E280" t="s">
        <v>18</v>
      </c>
      <c r="F280" t="s">
        <v>1220</v>
      </c>
      <c r="G280" t="s">
        <v>13</v>
      </c>
      <c r="H280" t="s">
        <v>1212</v>
      </c>
    </row>
    <row r="281" spans="1:8" x14ac:dyDescent="0.25">
      <c r="A281">
        <v>280</v>
      </c>
      <c r="B281" t="s">
        <v>1221</v>
      </c>
      <c r="C281" t="s">
        <v>1222</v>
      </c>
      <c r="D281" t="s">
        <v>1223</v>
      </c>
      <c r="E281" t="s">
        <v>228</v>
      </c>
      <c r="F281" t="s">
        <v>1224</v>
      </c>
      <c r="G281" t="s">
        <v>13</v>
      </c>
      <c r="H281" t="s">
        <v>1225</v>
      </c>
    </row>
    <row r="282" spans="1:8" x14ac:dyDescent="0.25">
      <c r="B282" t="s">
        <v>1226</v>
      </c>
      <c r="C282" t="s">
        <v>1227</v>
      </c>
      <c r="D282" t="s">
        <v>1228</v>
      </c>
      <c r="E282" t="s">
        <v>18</v>
      </c>
      <c r="F282" t="s">
        <v>1229</v>
      </c>
      <c r="G282" t="s">
        <v>13</v>
      </c>
      <c r="H282" t="s">
        <v>168</v>
      </c>
    </row>
    <row r="283" spans="1:8" x14ac:dyDescent="0.25">
      <c r="A283">
        <v>282</v>
      </c>
      <c r="B283" t="s">
        <v>1230</v>
      </c>
      <c r="C283" t="s">
        <v>1231</v>
      </c>
      <c r="D283" t="s">
        <v>1232</v>
      </c>
      <c r="E283" t="s">
        <v>11</v>
      </c>
      <c r="F283" t="s">
        <v>1233</v>
      </c>
      <c r="G283" t="s">
        <v>13</v>
      </c>
      <c r="H283" t="s">
        <v>168</v>
      </c>
    </row>
    <row r="284" spans="1:8" x14ac:dyDescent="0.25">
      <c r="A284">
        <v>283</v>
      </c>
      <c r="B284" t="s">
        <v>1234</v>
      </c>
      <c r="C284" t="s">
        <v>1235</v>
      </c>
      <c r="D284" t="s">
        <v>1236</v>
      </c>
      <c r="E284" t="s">
        <v>11</v>
      </c>
      <c r="F284" t="s">
        <v>1237</v>
      </c>
      <c r="G284" t="s">
        <v>13</v>
      </c>
      <c r="H284" t="s">
        <v>287</v>
      </c>
    </row>
    <row r="285" spans="1:8" x14ac:dyDescent="0.25">
      <c r="A285">
        <v>284</v>
      </c>
      <c r="B285" t="s">
        <v>1238</v>
      </c>
      <c r="C285" t="s">
        <v>1239</v>
      </c>
      <c r="D285" t="s">
        <v>1240</v>
      </c>
      <c r="E285" t="s">
        <v>11</v>
      </c>
      <c r="F285" t="s">
        <v>1241</v>
      </c>
      <c r="G285" t="s">
        <v>13</v>
      </c>
      <c r="H285" t="s">
        <v>135</v>
      </c>
    </row>
    <row r="286" spans="1:8" x14ac:dyDescent="0.25">
      <c r="B286" t="s">
        <v>1242</v>
      </c>
      <c r="C286" t="s">
        <v>1243</v>
      </c>
      <c r="D286" t="s">
        <v>1244</v>
      </c>
      <c r="E286" t="s">
        <v>11</v>
      </c>
      <c r="F286" t="s">
        <v>1245</v>
      </c>
      <c r="G286" t="s">
        <v>13</v>
      </c>
      <c r="H286" t="s">
        <v>404</v>
      </c>
    </row>
    <row r="287" spans="1:8" x14ac:dyDescent="0.25">
      <c r="A287">
        <v>286</v>
      </c>
      <c r="B287" t="s">
        <v>1246</v>
      </c>
      <c r="C287" t="s">
        <v>1247</v>
      </c>
      <c r="D287" t="s">
        <v>1248</v>
      </c>
      <c r="E287" t="s">
        <v>18</v>
      </c>
      <c r="F287" t="s">
        <v>1249</v>
      </c>
      <c r="G287" t="s">
        <v>13</v>
      </c>
      <c r="H287" t="s">
        <v>549</v>
      </c>
    </row>
    <row r="288" spans="1:8" x14ac:dyDescent="0.25">
      <c r="A288">
        <v>287</v>
      </c>
      <c r="B288" t="s">
        <v>1250</v>
      </c>
      <c r="C288" t="s">
        <v>1251</v>
      </c>
      <c r="D288" t="s">
        <v>1252</v>
      </c>
      <c r="E288" t="s">
        <v>18</v>
      </c>
      <c r="F288" t="s">
        <v>1253</v>
      </c>
      <c r="G288" t="s">
        <v>13</v>
      </c>
      <c r="H288" t="s">
        <v>404</v>
      </c>
    </row>
    <row r="289" spans="1:8" x14ac:dyDescent="0.25">
      <c r="B289" t="s">
        <v>1254</v>
      </c>
      <c r="C289" t="s">
        <v>1255</v>
      </c>
      <c r="D289" t="s">
        <v>1256</v>
      </c>
      <c r="E289" t="s">
        <v>11</v>
      </c>
      <c r="F289" t="s">
        <v>1257</v>
      </c>
      <c r="G289" t="s">
        <v>13</v>
      </c>
      <c r="H289" t="s">
        <v>374</v>
      </c>
    </row>
    <row r="290" spans="1:8" x14ac:dyDescent="0.25">
      <c r="A290">
        <v>289</v>
      </c>
      <c r="B290" t="s">
        <v>1258</v>
      </c>
      <c r="C290" t="s">
        <v>1259</v>
      </c>
      <c r="D290" t="s">
        <v>1260</v>
      </c>
      <c r="E290" t="s">
        <v>11</v>
      </c>
      <c r="F290" t="s">
        <v>1261</v>
      </c>
      <c r="G290" t="s">
        <v>13</v>
      </c>
      <c r="H290" t="s">
        <v>487</v>
      </c>
    </row>
    <row r="291" spans="1:8" x14ac:dyDescent="0.25">
      <c r="A291">
        <v>290</v>
      </c>
      <c r="B291" t="s">
        <v>1262</v>
      </c>
      <c r="C291" t="s">
        <v>1263</v>
      </c>
      <c r="D291" t="s">
        <v>1264</v>
      </c>
      <c r="E291" t="s">
        <v>11</v>
      </c>
      <c r="F291" t="s">
        <v>1265</v>
      </c>
      <c r="G291" t="s">
        <v>13</v>
      </c>
      <c r="H291" t="s">
        <v>814</v>
      </c>
    </row>
    <row r="292" spans="1:8" x14ac:dyDescent="0.25">
      <c r="B292" t="s">
        <v>1266</v>
      </c>
      <c r="C292" t="s">
        <v>1267</v>
      </c>
      <c r="D292" t="s">
        <v>1268</v>
      </c>
      <c r="E292" t="s">
        <v>18</v>
      </c>
      <c r="F292" t="s">
        <v>1269</v>
      </c>
      <c r="G292" t="s">
        <v>13</v>
      </c>
      <c r="H292" t="s">
        <v>51</v>
      </c>
    </row>
    <row r="293" spans="1:8" x14ac:dyDescent="0.25">
      <c r="A293">
        <v>292</v>
      </c>
      <c r="B293" t="s">
        <v>1270</v>
      </c>
      <c r="C293" t="s">
        <v>1271</v>
      </c>
      <c r="D293" t="s">
        <v>1272</v>
      </c>
      <c r="E293" t="s">
        <v>18</v>
      </c>
      <c r="F293" t="s">
        <v>1273</v>
      </c>
      <c r="G293" t="s">
        <v>13</v>
      </c>
      <c r="H293" t="s">
        <v>243</v>
      </c>
    </row>
    <row r="294" spans="1:8" x14ac:dyDescent="0.25">
      <c r="A294">
        <v>293</v>
      </c>
      <c r="B294" t="s">
        <v>1274</v>
      </c>
      <c r="C294" t="s">
        <v>1275</v>
      </c>
      <c r="D294" t="s">
        <v>1276</v>
      </c>
      <c r="E294" t="s">
        <v>18</v>
      </c>
      <c r="F294" t="s">
        <v>1277</v>
      </c>
      <c r="G294" t="s">
        <v>13</v>
      </c>
      <c r="H294" t="s">
        <v>809</v>
      </c>
    </row>
    <row r="295" spans="1:8" x14ac:dyDescent="0.25">
      <c r="A295">
        <v>294</v>
      </c>
      <c r="B295" t="s">
        <v>1278</v>
      </c>
      <c r="C295" t="s">
        <v>1279</v>
      </c>
      <c r="D295" t="s">
        <v>1280</v>
      </c>
      <c r="E295" t="s">
        <v>18</v>
      </c>
      <c r="F295" t="s">
        <v>1281</v>
      </c>
      <c r="G295" t="s">
        <v>13</v>
      </c>
      <c r="H295" t="s">
        <v>154</v>
      </c>
    </row>
    <row r="296" spans="1:8" x14ac:dyDescent="0.25">
      <c r="A296">
        <v>295</v>
      </c>
      <c r="B296" t="s">
        <v>1282</v>
      </c>
      <c r="C296" t="s">
        <v>1283</v>
      </c>
      <c r="D296" t="s">
        <v>1284</v>
      </c>
      <c r="E296" t="s">
        <v>11</v>
      </c>
      <c r="F296" t="s">
        <v>1285</v>
      </c>
      <c r="G296" t="s">
        <v>13</v>
      </c>
      <c r="H296" t="s">
        <v>487</v>
      </c>
    </row>
    <row r="297" spans="1:8" x14ac:dyDescent="0.25">
      <c r="A297">
        <v>296</v>
      </c>
      <c r="B297" t="s">
        <v>1286</v>
      </c>
      <c r="C297" t="s">
        <v>1287</v>
      </c>
      <c r="D297" t="s">
        <v>1288</v>
      </c>
      <c r="E297" t="s">
        <v>11</v>
      </c>
      <c r="F297" t="s">
        <v>1289</v>
      </c>
      <c r="G297" t="s">
        <v>13</v>
      </c>
      <c r="H297" t="s">
        <v>224</v>
      </c>
    </row>
    <row r="298" spans="1:8" x14ac:dyDescent="0.25">
      <c r="A298">
        <v>297</v>
      </c>
      <c r="B298" t="s">
        <v>1290</v>
      </c>
      <c r="C298" t="s">
        <v>1291</v>
      </c>
      <c r="D298" t="s">
        <v>1292</v>
      </c>
      <c r="E298" t="s">
        <v>18</v>
      </c>
      <c r="F298" t="s">
        <v>1293</v>
      </c>
      <c r="G298" t="s">
        <v>13</v>
      </c>
      <c r="H298" t="s">
        <v>809</v>
      </c>
    </row>
    <row r="299" spans="1:8" x14ac:dyDescent="0.25">
      <c r="A299">
        <v>298</v>
      </c>
      <c r="B299" t="s">
        <v>1294</v>
      </c>
      <c r="C299" t="s">
        <v>1295</v>
      </c>
      <c r="D299" t="s">
        <v>1296</v>
      </c>
      <c r="E299" t="s">
        <v>18</v>
      </c>
      <c r="F299" t="s">
        <v>1297</v>
      </c>
      <c r="G299" t="s">
        <v>13</v>
      </c>
      <c r="H299" t="s">
        <v>322</v>
      </c>
    </row>
    <row r="300" spans="1:8" x14ac:dyDescent="0.25">
      <c r="A300">
        <v>299</v>
      </c>
      <c r="B300" t="s">
        <v>1298</v>
      </c>
      <c r="C300" t="s">
        <v>1299</v>
      </c>
      <c r="D300" t="s">
        <v>1300</v>
      </c>
      <c r="E300" t="s">
        <v>18</v>
      </c>
      <c r="F300" t="s">
        <v>1301</v>
      </c>
      <c r="G300" t="s">
        <v>13</v>
      </c>
      <c r="H300" t="s">
        <v>1212</v>
      </c>
    </row>
    <row r="301" spans="1:8" x14ac:dyDescent="0.25">
      <c r="A301">
        <v>300</v>
      </c>
      <c r="B301" t="s">
        <v>1302</v>
      </c>
      <c r="C301" t="s">
        <v>1303</v>
      </c>
      <c r="D301" t="s">
        <v>1304</v>
      </c>
      <c r="E301" t="s">
        <v>11</v>
      </c>
      <c r="F301" t="s">
        <v>1305</v>
      </c>
      <c r="G301" t="s">
        <v>13</v>
      </c>
      <c r="H301" t="s">
        <v>296</v>
      </c>
    </row>
    <row r="302" spans="1:8" x14ac:dyDescent="0.25">
      <c r="A302">
        <v>301</v>
      </c>
      <c r="B302" t="s">
        <v>1306</v>
      </c>
      <c r="C302" t="s">
        <v>1307</v>
      </c>
      <c r="D302" t="s">
        <v>1308</v>
      </c>
      <c r="E302" t="s">
        <v>11</v>
      </c>
      <c r="F302" t="s">
        <v>1309</v>
      </c>
      <c r="G302" t="s">
        <v>13</v>
      </c>
      <c r="H302" t="s">
        <v>404</v>
      </c>
    </row>
    <row r="303" spans="1:8" x14ac:dyDescent="0.25">
      <c r="A303">
        <v>302</v>
      </c>
      <c r="B303" t="s">
        <v>1310</v>
      </c>
      <c r="C303" t="s">
        <v>1311</v>
      </c>
      <c r="D303" t="s">
        <v>1312</v>
      </c>
      <c r="E303" t="s">
        <v>18</v>
      </c>
      <c r="F303" t="s">
        <v>1313</v>
      </c>
      <c r="G303" t="s">
        <v>13</v>
      </c>
      <c r="H303" t="s">
        <v>1225</v>
      </c>
    </row>
    <row r="304" spans="1:8" x14ac:dyDescent="0.25">
      <c r="A304">
        <v>303</v>
      </c>
      <c r="B304" t="s">
        <v>1314</v>
      </c>
      <c r="C304" t="s">
        <v>1315</v>
      </c>
      <c r="D304" t="s">
        <v>1316</v>
      </c>
      <c r="E304" t="s">
        <v>18</v>
      </c>
      <c r="F304" t="s">
        <v>1317</v>
      </c>
      <c r="G304" t="s">
        <v>13</v>
      </c>
      <c r="H304" t="s">
        <v>76</v>
      </c>
    </row>
    <row r="305" spans="1:8" x14ac:dyDescent="0.25">
      <c r="A305">
        <v>304</v>
      </c>
      <c r="B305" t="s">
        <v>1318</v>
      </c>
      <c r="C305" t="s">
        <v>1319</v>
      </c>
      <c r="D305" t="s">
        <v>1320</v>
      </c>
      <c r="E305" t="s">
        <v>11</v>
      </c>
      <c r="F305" t="s">
        <v>1321</v>
      </c>
      <c r="G305" t="s">
        <v>13</v>
      </c>
      <c r="H305" t="s">
        <v>558</v>
      </c>
    </row>
    <row r="306" spans="1:8" x14ac:dyDescent="0.25">
      <c r="A306">
        <v>305</v>
      </c>
      <c r="B306" t="s">
        <v>1322</v>
      </c>
      <c r="C306" t="s">
        <v>1323</v>
      </c>
      <c r="D306" t="s">
        <v>1324</v>
      </c>
      <c r="E306" t="s">
        <v>18</v>
      </c>
      <c r="F306" t="s">
        <v>1325</v>
      </c>
      <c r="G306" t="s">
        <v>13</v>
      </c>
      <c r="H306" t="s">
        <v>230</v>
      </c>
    </row>
    <row r="307" spans="1:8" x14ac:dyDescent="0.25">
      <c r="A307">
        <v>306</v>
      </c>
      <c r="B307" t="s">
        <v>1326</v>
      </c>
      <c r="C307" t="s">
        <v>1327</v>
      </c>
      <c r="D307" t="s">
        <v>1328</v>
      </c>
      <c r="E307" t="s">
        <v>18</v>
      </c>
      <c r="F307" t="s">
        <v>1329</v>
      </c>
      <c r="G307" t="s">
        <v>13</v>
      </c>
      <c r="H307" t="s">
        <v>438</v>
      </c>
    </row>
    <row r="308" spans="1:8" x14ac:dyDescent="0.25">
      <c r="A308">
        <v>307</v>
      </c>
      <c r="B308" t="s">
        <v>1330</v>
      </c>
      <c r="C308" t="s">
        <v>1331</v>
      </c>
      <c r="D308" t="s">
        <v>1332</v>
      </c>
      <c r="E308" t="s">
        <v>11</v>
      </c>
      <c r="F308" t="s">
        <v>1333</v>
      </c>
      <c r="G308" t="s">
        <v>13</v>
      </c>
      <c r="H308" t="s">
        <v>91</v>
      </c>
    </row>
    <row r="309" spans="1:8" x14ac:dyDescent="0.25">
      <c r="A309">
        <v>308</v>
      </c>
      <c r="B309" t="s">
        <v>1334</v>
      </c>
      <c r="C309" t="s">
        <v>1335</v>
      </c>
      <c r="D309" t="s">
        <v>1336</v>
      </c>
      <c r="E309" t="s">
        <v>18</v>
      </c>
      <c r="F309" t="s">
        <v>1337</v>
      </c>
      <c r="G309" t="s">
        <v>13</v>
      </c>
      <c r="H309" t="s">
        <v>804</v>
      </c>
    </row>
    <row r="310" spans="1:8" x14ac:dyDescent="0.25">
      <c r="A310">
        <v>309</v>
      </c>
      <c r="B310" t="s">
        <v>1338</v>
      </c>
      <c r="C310" t="s">
        <v>1339</v>
      </c>
      <c r="D310" t="s">
        <v>1340</v>
      </c>
      <c r="E310" t="s">
        <v>18</v>
      </c>
      <c r="F310" t="s">
        <v>1341</v>
      </c>
      <c r="G310" t="s">
        <v>13</v>
      </c>
      <c r="H310" t="s">
        <v>20</v>
      </c>
    </row>
    <row r="311" spans="1:8" x14ac:dyDescent="0.25">
      <c r="A311">
        <v>310</v>
      </c>
      <c r="B311" t="s">
        <v>1342</v>
      </c>
      <c r="C311" t="s">
        <v>1343</v>
      </c>
      <c r="D311" t="s">
        <v>1344</v>
      </c>
      <c r="E311" t="s">
        <v>11</v>
      </c>
      <c r="F311" t="s">
        <v>1345</v>
      </c>
      <c r="G311" t="s">
        <v>13</v>
      </c>
      <c r="H311" t="s">
        <v>71</v>
      </c>
    </row>
    <row r="312" spans="1:8" x14ac:dyDescent="0.25">
      <c r="A312">
        <v>311</v>
      </c>
      <c r="B312" t="s">
        <v>1346</v>
      </c>
      <c r="C312" t="s">
        <v>1347</v>
      </c>
      <c r="D312" t="s">
        <v>1348</v>
      </c>
      <c r="E312" t="s">
        <v>18</v>
      </c>
      <c r="F312" t="s">
        <v>1349</v>
      </c>
      <c r="G312" t="s">
        <v>13</v>
      </c>
      <c r="H312" t="s">
        <v>399</v>
      </c>
    </row>
    <row r="313" spans="1:8" x14ac:dyDescent="0.25">
      <c r="A313">
        <v>312</v>
      </c>
      <c r="B313" t="s">
        <v>1350</v>
      </c>
      <c r="C313" t="s">
        <v>1351</v>
      </c>
      <c r="D313" t="s">
        <v>1352</v>
      </c>
      <c r="E313" t="s">
        <v>11</v>
      </c>
      <c r="F313" t="s">
        <v>1353</v>
      </c>
      <c r="G313" t="s">
        <v>13</v>
      </c>
      <c r="H313" t="s">
        <v>628</v>
      </c>
    </row>
    <row r="314" spans="1:8" x14ac:dyDescent="0.25">
      <c r="A314">
        <v>313</v>
      </c>
      <c r="B314" t="s">
        <v>1354</v>
      </c>
      <c r="C314" t="s">
        <v>1355</v>
      </c>
      <c r="D314" t="s">
        <v>1356</v>
      </c>
      <c r="E314" t="s">
        <v>18</v>
      </c>
      <c r="F314" t="s">
        <v>1357</v>
      </c>
      <c r="G314" t="s">
        <v>13</v>
      </c>
      <c r="H314" t="s">
        <v>700</v>
      </c>
    </row>
    <row r="315" spans="1:8" x14ac:dyDescent="0.25">
      <c r="A315">
        <v>314</v>
      </c>
      <c r="B315" t="s">
        <v>1358</v>
      </c>
      <c r="C315" t="s">
        <v>1359</v>
      </c>
      <c r="D315" t="s">
        <v>1360</v>
      </c>
      <c r="E315" t="s">
        <v>228</v>
      </c>
      <c r="F315" t="s">
        <v>1361</v>
      </c>
      <c r="G315" t="s">
        <v>13</v>
      </c>
      <c r="H315" t="s">
        <v>178</v>
      </c>
    </row>
    <row r="316" spans="1:8" x14ac:dyDescent="0.25">
      <c r="A316">
        <v>315</v>
      </c>
      <c r="B316" t="s">
        <v>1362</v>
      </c>
      <c r="C316" t="s">
        <v>1363</v>
      </c>
      <c r="D316" t="s">
        <v>1364</v>
      </c>
      <c r="E316" t="s">
        <v>18</v>
      </c>
      <c r="F316" t="s">
        <v>1365</v>
      </c>
      <c r="G316" t="s">
        <v>13</v>
      </c>
      <c r="H316" t="s">
        <v>660</v>
      </c>
    </row>
    <row r="317" spans="1:8" x14ac:dyDescent="0.25">
      <c r="B317" t="s">
        <v>1366</v>
      </c>
      <c r="C317" t="s">
        <v>1367</v>
      </c>
      <c r="D317" t="s">
        <v>1368</v>
      </c>
      <c r="E317" t="s">
        <v>11</v>
      </c>
      <c r="F317" t="s">
        <v>1369</v>
      </c>
      <c r="G317" t="s">
        <v>13</v>
      </c>
      <c r="H317" t="s">
        <v>115</v>
      </c>
    </row>
    <row r="318" spans="1:8" x14ac:dyDescent="0.25">
      <c r="A318">
        <v>317</v>
      </c>
      <c r="B318" t="s">
        <v>1370</v>
      </c>
      <c r="C318" t="s">
        <v>1371</v>
      </c>
      <c r="D318" t="s">
        <v>1372</v>
      </c>
      <c r="E318" t="s">
        <v>11</v>
      </c>
      <c r="F318" t="s">
        <v>1373</v>
      </c>
      <c r="G318" t="s">
        <v>13</v>
      </c>
      <c r="H318" t="s">
        <v>687</v>
      </c>
    </row>
    <row r="319" spans="1:8" x14ac:dyDescent="0.25">
      <c r="A319">
        <v>318</v>
      </c>
      <c r="B319" t="s">
        <v>1374</v>
      </c>
      <c r="C319" t="s">
        <v>1375</v>
      </c>
      <c r="D319" t="s">
        <v>1376</v>
      </c>
      <c r="E319" t="s">
        <v>11</v>
      </c>
      <c r="F319" t="s">
        <v>1377</v>
      </c>
      <c r="G319" t="s">
        <v>13</v>
      </c>
      <c r="H319" t="s">
        <v>1225</v>
      </c>
    </row>
    <row r="320" spans="1:8" x14ac:dyDescent="0.25">
      <c r="A320">
        <v>319</v>
      </c>
      <c r="B320" t="s">
        <v>1378</v>
      </c>
      <c r="C320" t="s">
        <v>1379</v>
      </c>
      <c r="D320" t="s">
        <v>1380</v>
      </c>
      <c r="E320" t="s">
        <v>18</v>
      </c>
      <c r="F320" t="s">
        <v>1381</v>
      </c>
      <c r="G320" t="s">
        <v>13</v>
      </c>
      <c r="H320" t="s">
        <v>705</v>
      </c>
    </row>
    <row r="321" spans="1:8" x14ac:dyDescent="0.25">
      <c r="A321">
        <v>320</v>
      </c>
      <c r="B321" t="s">
        <v>576</v>
      </c>
      <c r="C321" t="s">
        <v>1382</v>
      </c>
      <c r="D321" t="s">
        <v>1383</v>
      </c>
      <c r="E321" t="s">
        <v>18</v>
      </c>
      <c r="F321" t="s">
        <v>1384</v>
      </c>
      <c r="G321" t="s">
        <v>13</v>
      </c>
      <c r="H321" t="s">
        <v>549</v>
      </c>
    </row>
    <row r="322" spans="1:8" x14ac:dyDescent="0.25">
      <c r="A322">
        <v>321</v>
      </c>
      <c r="B322" t="s">
        <v>1385</v>
      </c>
      <c r="C322" t="s">
        <v>1386</v>
      </c>
      <c r="D322" t="s">
        <v>1387</v>
      </c>
      <c r="E322" t="s">
        <v>18</v>
      </c>
      <c r="F322" t="s">
        <v>1388</v>
      </c>
      <c r="G322" t="s">
        <v>13</v>
      </c>
      <c r="H322" t="s">
        <v>125</v>
      </c>
    </row>
    <row r="323" spans="1:8" x14ac:dyDescent="0.25">
      <c r="A323">
        <v>322</v>
      </c>
      <c r="B323" t="s">
        <v>1389</v>
      </c>
      <c r="C323" t="s">
        <v>1390</v>
      </c>
      <c r="D323" t="s">
        <v>1391</v>
      </c>
      <c r="E323" t="s">
        <v>11</v>
      </c>
      <c r="F323" t="s">
        <v>1392</v>
      </c>
      <c r="G323" t="s">
        <v>13</v>
      </c>
      <c r="H323" t="s">
        <v>809</v>
      </c>
    </row>
    <row r="324" spans="1:8" x14ac:dyDescent="0.25">
      <c r="A324">
        <v>323</v>
      </c>
      <c r="B324" t="s">
        <v>1393</v>
      </c>
      <c r="C324" t="s">
        <v>1394</v>
      </c>
      <c r="D324" t="s">
        <v>1395</v>
      </c>
      <c r="E324" t="s">
        <v>11</v>
      </c>
      <c r="F324" t="s">
        <v>1396</v>
      </c>
      <c r="G324" t="s">
        <v>13</v>
      </c>
      <c r="H324" t="s">
        <v>168</v>
      </c>
    </row>
    <row r="325" spans="1:8" x14ac:dyDescent="0.25">
      <c r="A325">
        <v>324</v>
      </c>
      <c r="B325" t="s">
        <v>775</v>
      </c>
      <c r="C325" t="s">
        <v>1397</v>
      </c>
      <c r="D325" t="s">
        <v>1398</v>
      </c>
      <c r="E325" t="s">
        <v>18</v>
      </c>
      <c r="F325" t="s">
        <v>1399</v>
      </c>
      <c r="G325" t="s">
        <v>13</v>
      </c>
      <c r="H325" t="s">
        <v>308</v>
      </c>
    </row>
    <row r="326" spans="1:8" x14ac:dyDescent="0.25">
      <c r="A326">
        <v>325</v>
      </c>
      <c r="B326" t="s">
        <v>1400</v>
      </c>
      <c r="C326" t="s">
        <v>1401</v>
      </c>
      <c r="D326" t="s">
        <v>1402</v>
      </c>
      <c r="E326" t="s">
        <v>280</v>
      </c>
      <c r="F326" t="s">
        <v>1403</v>
      </c>
      <c r="G326" t="s">
        <v>13</v>
      </c>
      <c r="H326" t="s">
        <v>210</v>
      </c>
    </row>
    <row r="327" spans="1:8" x14ac:dyDescent="0.25">
      <c r="A327">
        <v>326</v>
      </c>
      <c r="B327" t="s">
        <v>1404</v>
      </c>
      <c r="C327" t="s">
        <v>1405</v>
      </c>
      <c r="D327" t="s">
        <v>1406</v>
      </c>
      <c r="E327" t="s">
        <v>11</v>
      </c>
      <c r="F327" t="s">
        <v>1407</v>
      </c>
      <c r="G327" t="s">
        <v>13</v>
      </c>
      <c r="H327" t="s">
        <v>140</v>
      </c>
    </row>
    <row r="328" spans="1:8" x14ac:dyDescent="0.25">
      <c r="A328">
        <v>327</v>
      </c>
      <c r="B328" t="s">
        <v>1408</v>
      </c>
      <c r="C328" t="s">
        <v>1409</v>
      </c>
      <c r="D328" t="s">
        <v>1410</v>
      </c>
      <c r="E328" t="s">
        <v>18</v>
      </c>
      <c r="F328" t="s">
        <v>1411</v>
      </c>
      <c r="G328" t="s">
        <v>13</v>
      </c>
      <c r="H328" t="s">
        <v>71</v>
      </c>
    </row>
    <row r="329" spans="1:8" x14ac:dyDescent="0.25">
      <c r="A329">
        <v>328</v>
      </c>
      <c r="B329" t="s">
        <v>1412</v>
      </c>
      <c r="C329" t="s">
        <v>1413</v>
      </c>
      <c r="D329" t="s">
        <v>1414</v>
      </c>
      <c r="E329" t="s">
        <v>18</v>
      </c>
      <c r="F329" t="s">
        <v>1415</v>
      </c>
      <c r="G329" t="s">
        <v>13</v>
      </c>
      <c r="H329" t="s">
        <v>252</v>
      </c>
    </row>
    <row r="330" spans="1:8" x14ac:dyDescent="0.25">
      <c r="A330">
        <v>329</v>
      </c>
      <c r="B330" t="s">
        <v>1416</v>
      </c>
      <c r="C330" t="s">
        <v>1417</v>
      </c>
      <c r="D330" t="s">
        <v>1418</v>
      </c>
      <c r="E330" t="s">
        <v>11</v>
      </c>
      <c r="F330" t="s">
        <v>1419</v>
      </c>
      <c r="G330" t="s">
        <v>13</v>
      </c>
      <c r="H330" t="s">
        <v>558</v>
      </c>
    </row>
    <row r="331" spans="1:8" x14ac:dyDescent="0.25">
      <c r="A331">
        <v>330</v>
      </c>
      <c r="B331" t="s">
        <v>1420</v>
      </c>
      <c r="C331" t="s">
        <v>1421</v>
      </c>
      <c r="D331" t="s">
        <v>1422</v>
      </c>
      <c r="E331" t="s">
        <v>769</v>
      </c>
      <c r="F331" t="s">
        <v>1423</v>
      </c>
      <c r="G331" t="s">
        <v>13</v>
      </c>
      <c r="H331" t="s">
        <v>86</v>
      </c>
    </row>
    <row r="332" spans="1:8" x14ac:dyDescent="0.25">
      <c r="A332">
        <v>331</v>
      </c>
      <c r="B332" t="s">
        <v>1424</v>
      </c>
      <c r="C332" t="s">
        <v>1425</v>
      </c>
      <c r="D332" t="s">
        <v>1426</v>
      </c>
      <c r="E332" t="s">
        <v>18</v>
      </c>
      <c r="F332" t="s">
        <v>1427</v>
      </c>
      <c r="G332" t="s">
        <v>13</v>
      </c>
      <c r="H332" t="s">
        <v>66</v>
      </c>
    </row>
    <row r="333" spans="1:8" x14ac:dyDescent="0.25">
      <c r="A333">
        <v>332</v>
      </c>
      <c r="B333" t="s">
        <v>1428</v>
      </c>
      <c r="C333" t="s">
        <v>1429</v>
      </c>
      <c r="D333" t="s">
        <v>1430</v>
      </c>
      <c r="E333" t="s">
        <v>280</v>
      </c>
      <c r="F333" t="s">
        <v>1431</v>
      </c>
      <c r="G333" t="s">
        <v>13</v>
      </c>
      <c r="H333" t="s">
        <v>1432</v>
      </c>
    </row>
    <row r="334" spans="1:8" x14ac:dyDescent="0.25">
      <c r="A334">
        <v>333</v>
      </c>
      <c r="B334" t="s">
        <v>1433</v>
      </c>
      <c r="C334" t="s">
        <v>1434</v>
      </c>
      <c r="D334" t="s">
        <v>1435</v>
      </c>
      <c r="E334" t="s">
        <v>274</v>
      </c>
      <c r="F334" t="s">
        <v>1436</v>
      </c>
      <c r="G334" t="s">
        <v>13</v>
      </c>
      <c r="H334" t="s">
        <v>14</v>
      </c>
    </row>
    <row r="335" spans="1:8" x14ac:dyDescent="0.25">
      <c r="A335">
        <v>334</v>
      </c>
      <c r="B335" t="s">
        <v>1437</v>
      </c>
      <c r="C335" t="s">
        <v>1438</v>
      </c>
      <c r="D335" t="s">
        <v>1439</v>
      </c>
      <c r="E335" t="s">
        <v>11</v>
      </c>
      <c r="F335" t="s">
        <v>1440</v>
      </c>
      <c r="G335" t="s">
        <v>13</v>
      </c>
      <c r="H335" t="s">
        <v>230</v>
      </c>
    </row>
    <row r="336" spans="1:8" x14ac:dyDescent="0.25">
      <c r="A336">
        <v>335</v>
      </c>
      <c r="B336" t="s">
        <v>1441</v>
      </c>
      <c r="C336" t="s">
        <v>1442</v>
      </c>
      <c r="D336" t="s">
        <v>1443</v>
      </c>
      <c r="E336" t="s">
        <v>11</v>
      </c>
      <c r="F336" t="s">
        <v>1444</v>
      </c>
      <c r="G336" t="s">
        <v>13</v>
      </c>
      <c r="H336" t="s">
        <v>266</v>
      </c>
    </row>
    <row r="337" spans="1:8" x14ac:dyDescent="0.25">
      <c r="A337">
        <v>336</v>
      </c>
      <c r="B337" t="s">
        <v>1445</v>
      </c>
      <c r="C337" t="s">
        <v>1446</v>
      </c>
      <c r="D337" t="s">
        <v>1447</v>
      </c>
      <c r="E337" t="s">
        <v>11</v>
      </c>
      <c r="F337" t="s">
        <v>1448</v>
      </c>
      <c r="G337" t="s">
        <v>13</v>
      </c>
      <c r="H337" t="s">
        <v>140</v>
      </c>
    </row>
    <row r="338" spans="1:8" x14ac:dyDescent="0.25">
      <c r="A338">
        <v>337</v>
      </c>
      <c r="B338" t="s">
        <v>1449</v>
      </c>
      <c r="C338" t="s">
        <v>1450</v>
      </c>
      <c r="D338" t="s">
        <v>1451</v>
      </c>
      <c r="E338" t="s">
        <v>18</v>
      </c>
      <c r="F338" t="s">
        <v>1452</v>
      </c>
      <c r="G338" t="s">
        <v>13</v>
      </c>
      <c r="H338" t="s">
        <v>933</v>
      </c>
    </row>
    <row r="339" spans="1:8" x14ac:dyDescent="0.25">
      <c r="A339">
        <v>338</v>
      </c>
      <c r="B339" t="s">
        <v>1453</v>
      </c>
      <c r="C339" t="s">
        <v>1454</v>
      </c>
      <c r="D339" t="s">
        <v>1455</v>
      </c>
      <c r="E339" t="s">
        <v>18</v>
      </c>
      <c r="F339" t="s">
        <v>1456</v>
      </c>
      <c r="G339" t="s">
        <v>13</v>
      </c>
      <c r="H339" t="s">
        <v>374</v>
      </c>
    </row>
    <row r="340" spans="1:8" x14ac:dyDescent="0.25">
      <c r="A340">
        <v>339</v>
      </c>
      <c r="B340" t="s">
        <v>1457</v>
      </c>
      <c r="C340" t="s">
        <v>1458</v>
      </c>
      <c r="D340" t="s">
        <v>1459</v>
      </c>
      <c r="E340" t="s">
        <v>18</v>
      </c>
      <c r="F340" t="s">
        <v>1460</v>
      </c>
      <c r="G340" t="s">
        <v>13</v>
      </c>
      <c r="H340" t="s">
        <v>379</v>
      </c>
    </row>
    <row r="341" spans="1:8" x14ac:dyDescent="0.25">
      <c r="A341">
        <v>340</v>
      </c>
      <c r="B341" t="s">
        <v>1461</v>
      </c>
      <c r="C341" t="s">
        <v>1462</v>
      </c>
      <c r="D341" t="s">
        <v>1463</v>
      </c>
      <c r="E341" t="s">
        <v>11</v>
      </c>
      <c r="F341" t="s">
        <v>1464</v>
      </c>
      <c r="G341" t="s">
        <v>13</v>
      </c>
      <c r="H341" t="s">
        <v>178</v>
      </c>
    </row>
    <row r="342" spans="1:8" x14ac:dyDescent="0.25">
      <c r="B342" t="s">
        <v>1465</v>
      </c>
      <c r="C342" t="s">
        <v>1466</v>
      </c>
      <c r="D342" t="s">
        <v>1467</v>
      </c>
      <c r="E342" t="s">
        <v>18</v>
      </c>
      <c r="F342" t="s">
        <v>1468</v>
      </c>
      <c r="G342" t="s">
        <v>13</v>
      </c>
      <c r="H342" t="s">
        <v>345</v>
      </c>
    </row>
    <row r="343" spans="1:8" x14ac:dyDescent="0.25">
      <c r="A343">
        <v>342</v>
      </c>
      <c r="B343" t="s">
        <v>1469</v>
      </c>
      <c r="C343" t="s">
        <v>1470</v>
      </c>
      <c r="D343" t="s">
        <v>1471</v>
      </c>
      <c r="E343" t="s">
        <v>18</v>
      </c>
      <c r="F343" t="s">
        <v>1472</v>
      </c>
      <c r="G343" t="s">
        <v>13</v>
      </c>
      <c r="H343" t="s">
        <v>215</v>
      </c>
    </row>
    <row r="344" spans="1:8" x14ac:dyDescent="0.25">
      <c r="A344">
        <v>343</v>
      </c>
      <c r="B344" t="s">
        <v>1473</v>
      </c>
      <c r="C344" t="s">
        <v>1474</v>
      </c>
      <c r="D344" t="s">
        <v>1475</v>
      </c>
      <c r="E344" t="s">
        <v>358</v>
      </c>
      <c r="F344" t="s">
        <v>1476</v>
      </c>
      <c r="G344" t="s">
        <v>13</v>
      </c>
      <c r="H344" t="s">
        <v>14</v>
      </c>
    </row>
    <row r="345" spans="1:8" x14ac:dyDescent="0.25">
      <c r="A345">
        <v>344</v>
      </c>
      <c r="B345" t="s">
        <v>1477</v>
      </c>
      <c r="C345" t="s">
        <v>1478</v>
      </c>
      <c r="D345" t="s">
        <v>1479</v>
      </c>
      <c r="E345" t="s">
        <v>11</v>
      </c>
      <c r="F345" t="s">
        <v>1480</v>
      </c>
      <c r="G345" t="s">
        <v>13</v>
      </c>
      <c r="H345" t="s">
        <v>261</v>
      </c>
    </row>
    <row r="346" spans="1:8" x14ac:dyDescent="0.25">
      <c r="A346">
        <v>345</v>
      </c>
      <c r="B346" t="s">
        <v>1481</v>
      </c>
      <c r="C346" t="s">
        <v>1482</v>
      </c>
      <c r="D346" t="s">
        <v>1483</v>
      </c>
      <c r="E346" t="s">
        <v>18</v>
      </c>
      <c r="F346" t="s">
        <v>1484</v>
      </c>
      <c r="G346" t="s">
        <v>13</v>
      </c>
      <c r="H346" t="s">
        <v>350</v>
      </c>
    </row>
    <row r="347" spans="1:8" x14ac:dyDescent="0.25">
      <c r="A347">
        <v>346</v>
      </c>
      <c r="B347" t="s">
        <v>1485</v>
      </c>
      <c r="C347" t="s">
        <v>1486</v>
      </c>
      <c r="D347" t="s">
        <v>1487</v>
      </c>
      <c r="E347" t="s">
        <v>18</v>
      </c>
      <c r="F347" t="s">
        <v>1488</v>
      </c>
      <c r="G347" t="s">
        <v>13</v>
      </c>
      <c r="H347" t="s">
        <v>115</v>
      </c>
    </row>
    <row r="348" spans="1:8" x14ac:dyDescent="0.25">
      <c r="A348">
        <v>347</v>
      </c>
      <c r="B348" t="s">
        <v>1489</v>
      </c>
      <c r="C348" t="s">
        <v>1490</v>
      </c>
      <c r="D348" t="s">
        <v>1491</v>
      </c>
      <c r="E348" t="s">
        <v>18</v>
      </c>
      <c r="F348" t="s">
        <v>1492</v>
      </c>
      <c r="G348" t="s">
        <v>13</v>
      </c>
      <c r="H348" t="s">
        <v>425</v>
      </c>
    </row>
    <row r="349" spans="1:8" x14ac:dyDescent="0.25">
      <c r="A349">
        <v>348</v>
      </c>
      <c r="B349" t="s">
        <v>1493</v>
      </c>
      <c r="C349" t="s">
        <v>1494</v>
      </c>
      <c r="D349" t="s">
        <v>1495</v>
      </c>
      <c r="E349" t="s">
        <v>11</v>
      </c>
      <c r="F349" t="s">
        <v>1496</v>
      </c>
      <c r="G349" t="s">
        <v>13</v>
      </c>
      <c r="H349" t="s">
        <v>814</v>
      </c>
    </row>
    <row r="350" spans="1:8" x14ac:dyDescent="0.25">
      <c r="A350">
        <v>349</v>
      </c>
      <c r="B350" t="s">
        <v>393</v>
      </c>
      <c r="C350" t="s">
        <v>1497</v>
      </c>
      <c r="D350" t="s">
        <v>1498</v>
      </c>
      <c r="E350" t="s">
        <v>18</v>
      </c>
      <c r="F350" t="s">
        <v>1499</v>
      </c>
      <c r="G350" t="s">
        <v>13</v>
      </c>
      <c r="H350" t="s">
        <v>814</v>
      </c>
    </row>
    <row r="351" spans="1:8" x14ac:dyDescent="0.25">
      <c r="A351">
        <v>350</v>
      </c>
      <c r="B351" t="s">
        <v>1500</v>
      </c>
      <c r="C351" t="s">
        <v>1501</v>
      </c>
      <c r="D351" t="s">
        <v>1502</v>
      </c>
      <c r="E351" t="s">
        <v>11</v>
      </c>
      <c r="F351" t="s">
        <v>1503</v>
      </c>
      <c r="G351" t="s">
        <v>13</v>
      </c>
      <c r="H351" t="s">
        <v>628</v>
      </c>
    </row>
    <row r="352" spans="1:8" x14ac:dyDescent="0.25">
      <c r="A352">
        <v>351</v>
      </c>
      <c r="B352" t="s">
        <v>1504</v>
      </c>
      <c r="C352" t="s">
        <v>1505</v>
      </c>
      <c r="D352" t="s">
        <v>1506</v>
      </c>
      <c r="E352" t="s">
        <v>11</v>
      </c>
      <c r="F352" t="s">
        <v>1507</v>
      </c>
      <c r="G352" t="s">
        <v>13</v>
      </c>
      <c r="H352" t="s">
        <v>205</v>
      </c>
    </row>
    <row r="353" spans="1:8" x14ac:dyDescent="0.25">
      <c r="A353">
        <v>352</v>
      </c>
      <c r="B353" t="s">
        <v>1508</v>
      </c>
      <c r="C353" t="s">
        <v>1509</v>
      </c>
      <c r="D353" t="s">
        <v>1510</v>
      </c>
      <c r="E353" t="s">
        <v>18</v>
      </c>
      <c r="F353" t="s">
        <v>1511</v>
      </c>
      <c r="G353" t="s">
        <v>13</v>
      </c>
      <c r="H353" t="s">
        <v>1017</v>
      </c>
    </row>
    <row r="354" spans="1:8" x14ac:dyDescent="0.25">
      <c r="A354">
        <v>353</v>
      </c>
      <c r="B354" t="s">
        <v>1512</v>
      </c>
      <c r="C354" t="s">
        <v>1513</v>
      </c>
      <c r="D354" t="s">
        <v>1514</v>
      </c>
      <c r="E354" t="s">
        <v>18</v>
      </c>
      <c r="F354" t="s">
        <v>1515</v>
      </c>
      <c r="G354" t="s">
        <v>13</v>
      </c>
      <c r="H354" t="s">
        <v>210</v>
      </c>
    </row>
    <row r="355" spans="1:8" x14ac:dyDescent="0.25">
      <c r="A355">
        <v>354</v>
      </c>
      <c r="B355" t="s">
        <v>1516</v>
      </c>
      <c r="C355" t="s">
        <v>1517</v>
      </c>
      <c r="D355" t="s">
        <v>1518</v>
      </c>
      <c r="E355" t="s">
        <v>11</v>
      </c>
      <c r="F355" t="s">
        <v>1519</v>
      </c>
      <c r="G355" t="s">
        <v>13</v>
      </c>
      <c r="H355" t="s">
        <v>650</v>
      </c>
    </row>
    <row r="356" spans="1:8" x14ac:dyDescent="0.25">
      <c r="A356">
        <v>355</v>
      </c>
      <c r="B356" t="s">
        <v>1520</v>
      </c>
      <c r="C356" t="s">
        <v>1521</v>
      </c>
      <c r="D356" t="s">
        <v>1522</v>
      </c>
      <c r="E356" t="s">
        <v>18</v>
      </c>
      <c r="F356" t="s">
        <v>1523</v>
      </c>
      <c r="G356" t="s">
        <v>13</v>
      </c>
      <c r="H356" t="s">
        <v>597</v>
      </c>
    </row>
    <row r="357" spans="1:8" x14ac:dyDescent="0.25">
      <c r="A357">
        <v>356</v>
      </c>
      <c r="B357" t="s">
        <v>1524</v>
      </c>
      <c r="C357" t="s">
        <v>1525</v>
      </c>
      <c r="D357" t="s">
        <v>1526</v>
      </c>
      <c r="E357" t="s">
        <v>280</v>
      </c>
      <c r="F357" t="s">
        <v>1527</v>
      </c>
      <c r="G357" t="s">
        <v>13</v>
      </c>
      <c r="H357" t="s">
        <v>360</v>
      </c>
    </row>
    <row r="358" spans="1:8" x14ac:dyDescent="0.25">
      <c r="A358">
        <v>357</v>
      </c>
      <c r="B358" t="s">
        <v>1528</v>
      </c>
      <c r="C358" t="s">
        <v>1529</v>
      </c>
      <c r="D358" t="s">
        <v>1530</v>
      </c>
      <c r="E358" t="s">
        <v>11</v>
      </c>
      <c r="F358" t="s">
        <v>1531</v>
      </c>
      <c r="G358" t="s">
        <v>13</v>
      </c>
      <c r="H358" t="s">
        <v>210</v>
      </c>
    </row>
    <row r="359" spans="1:8" x14ac:dyDescent="0.25">
      <c r="A359">
        <v>358</v>
      </c>
      <c r="B359" t="s">
        <v>1532</v>
      </c>
      <c r="C359" t="s">
        <v>1533</v>
      </c>
      <c r="E359" t="s">
        <v>18</v>
      </c>
      <c r="F359" t="s">
        <v>1534</v>
      </c>
      <c r="G359" t="s">
        <v>13</v>
      </c>
      <c r="H359" t="s">
        <v>183</v>
      </c>
    </row>
    <row r="360" spans="1:8" x14ac:dyDescent="0.25">
      <c r="A360">
        <v>359</v>
      </c>
      <c r="B360" t="s">
        <v>1535</v>
      </c>
      <c r="C360" t="s">
        <v>1536</v>
      </c>
      <c r="D360" t="s">
        <v>1537</v>
      </c>
      <c r="E360" t="s">
        <v>11</v>
      </c>
      <c r="F360" t="s">
        <v>1538</v>
      </c>
      <c r="G360" t="s">
        <v>13</v>
      </c>
      <c r="H360" t="s">
        <v>110</v>
      </c>
    </row>
    <row r="361" spans="1:8" x14ac:dyDescent="0.25">
      <c r="A361">
        <v>360</v>
      </c>
      <c r="B361" t="s">
        <v>1539</v>
      </c>
      <c r="C361" t="s">
        <v>1540</v>
      </c>
      <c r="D361" t="s">
        <v>1541</v>
      </c>
      <c r="E361" t="s">
        <v>18</v>
      </c>
      <c r="F361" t="s">
        <v>1542</v>
      </c>
      <c r="G361" t="s">
        <v>13</v>
      </c>
      <c r="H361" t="s">
        <v>360</v>
      </c>
    </row>
    <row r="362" spans="1:8" x14ac:dyDescent="0.25">
      <c r="A362">
        <v>361</v>
      </c>
      <c r="B362" t="s">
        <v>1543</v>
      </c>
      <c r="C362" t="s">
        <v>1544</v>
      </c>
      <c r="D362" t="s">
        <v>1545</v>
      </c>
      <c r="E362" t="s">
        <v>11</v>
      </c>
      <c r="F362" t="s">
        <v>1546</v>
      </c>
      <c r="G362" t="s">
        <v>13</v>
      </c>
      <c r="H362" t="s">
        <v>266</v>
      </c>
    </row>
    <row r="363" spans="1:8" x14ac:dyDescent="0.25">
      <c r="A363">
        <v>362</v>
      </c>
      <c r="B363" t="s">
        <v>1547</v>
      </c>
      <c r="C363" t="s">
        <v>1548</v>
      </c>
      <c r="D363" t="s">
        <v>1549</v>
      </c>
      <c r="E363" t="s">
        <v>18</v>
      </c>
      <c r="F363" t="s">
        <v>1550</v>
      </c>
      <c r="G363" t="s">
        <v>13</v>
      </c>
      <c r="H363" t="s">
        <v>71</v>
      </c>
    </row>
    <row r="364" spans="1:8" x14ac:dyDescent="0.25">
      <c r="A364">
        <v>363</v>
      </c>
      <c r="B364" t="s">
        <v>1551</v>
      </c>
      <c r="C364" t="s">
        <v>1552</v>
      </c>
      <c r="D364" t="s">
        <v>1553</v>
      </c>
      <c r="E364" t="s">
        <v>18</v>
      </c>
      <c r="F364" t="s">
        <v>1554</v>
      </c>
      <c r="G364" t="s">
        <v>13</v>
      </c>
      <c r="H364" t="s">
        <v>809</v>
      </c>
    </row>
    <row r="365" spans="1:8" x14ac:dyDescent="0.25">
      <c r="A365">
        <v>364</v>
      </c>
      <c r="B365" t="s">
        <v>1555</v>
      </c>
      <c r="C365" t="s">
        <v>1556</v>
      </c>
      <c r="D365" t="s">
        <v>1557</v>
      </c>
      <c r="E365" t="s">
        <v>18</v>
      </c>
      <c r="F365" t="s">
        <v>1558</v>
      </c>
      <c r="G365" t="s">
        <v>13</v>
      </c>
      <c r="H365" t="s">
        <v>438</v>
      </c>
    </row>
    <row r="366" spans="1:8" x14ac:dyDescent="0.25">
      <c r="B366" t="s">
        <v>1559</v>
      </c>
      <c r="C366" t="s">
        <v>1560</v>
      </c>
      <c r="D366" t="s">
        <v>1561</v>
      </c>
      <c r="E366" t="s">
        <v>11</v>
      </c>
      <c r="F366" t="s">
        <v>1562</v>
      </c>
      <c r="G366" t="s">
        <v>13</v>
      </c>
      <c r="H366" t="s">
        <v>140</v>
      </c>
    </row>
    <row r="367" spans="1:8" x14ac:dyDescent="0.25">
      <c r="B367" t="s">
        <v>1563</v>
      </c>
      <c r="C367" t="s">
        <v>1564</v>
      </c>
      <c r="D367" t="s">
        <v>1565</v>
      </c>
      <c r="E367" t="s">
        <v>11</v>
      </c>
      <c r="F367" t="s">
        <v>1566</v>
      </c>
      <c r="G367" t="s">
        <v>13</v>
      </c>
      <c r="H367" t="s">
        <v>110</v>
      </c>
    </row>
    <row r="368" spans="1:8" x14ac:dyDescent="0.25">
      <c r="A368">
        <v>367</v>
      </c>
      <c r="B368" t="s">
        <v>1567</v>
      </c>
      <c r="C368" t="s">
        <v>1568</v>
      </c>
      <c r="D368" t="s">
        <v>1569</v>
      </c>
      <c r="E368" t="s">
        <v>11</v>
      </c>
      <c r="F368" t="s">
        <v>1570</v>
      </c>
      <c r="G368" t="s">
        <v>13</v>
      </c>
      <c r="H368" t="s">
        <v>597</v>
      </c>
    </row>
    <row r="369" spans="1:8" x14ac:dyDescent="0.25">
      <c r="A369">
        <v>368</v>
      </c>
      <c r="B369" t="s">
        <v>1571</v>
      </c>
      <c r="C369" t="s">
        <v>1572</v>
      </c>
      <c r="D369" t="s">
        <v>1573</v>
      </c>
      <c r="E369" t="s">
        <v>18</v>
      </c>
      <c r="F369" t="s">
        <v>1574</v>
      </c>
      <c r="G369" t="s">
        <v>13</v>
      </c>
      <c r="H369" t="s">
        <v>41</v>
      </c>
    </row>
    <row r="370" spans="1:8" x14ac:dyDescent="0.25">
      <c r="A370">
        <v>369</v>
      </c>
      <c r="B370" t="s">
        <v>1575</v>
      </c>
      <c r="C370" t="s">
        <v>1576</v>
      </c>
      <c r="D370" t="s">
        <v>1577</v>
      </c>
      <c r="E370" t="s">
        <v>18</v>
      </c>
      <c r="F370" t="s">
        <v>1578</v>
      </c>
      <c r="G370" t="s">
        <v>13</v>
      </c>
      <c r="H370" t="s">
        <v>178</v>
      </c>
    </row>
    <row r="371" spans="1:8" x14ac:dyDescent="0.25">
      <c r="A371">
        <v>370</v>
      </c>
      <c r="B371" t="s">
        <v>1579</v>
      </c>
      <c r="C371" t="s">
        <v>1580</v>
      </c>
      <c r="D371" t="s">
        <v>1581</v>
      </c>
      <c r="E371" t="s">
        <v>18</v>
      </c>
      <c r="F371" t="s">
        <v>1582</v>
      </c>
      <c r="G371" t="s">
        <v>13</v>
      </c>
      <c r="H371" t="s">
        <v>374</v>
      </c>
    </row>
    <row r="372" spans="1:8" x14ac:dyDescent="0.25">
      <c r="A372">
        <v>371</v>
      </c>
      <c r="B372" t="s">
        <v>1583</v>
      </c>
      <c r="C372" t="s">
        <v>1584</v>
      </c>
      <c r="D372" t="s">
        <v>1585</v>
      </c>
      <c r="E372" t="s">
        <v>18</v>
      </c>
      <c r="F372" t="s">
        <v>1586</v>
      </c>
      <c r="G372" t="s">
        <v>13</v>
      </c>
      <c r="H372" t="s">
        <v>188</v>
      </c>
    </row>
    <row r="373" spans="1:8" x14ac:dyDescent="0.25">
      <c r="A373">
        <v>372</v>
      </c>
      <c r="B373" t="s">
        <v>1587</v>
      </c>
      <c r="C373" t="s">
        <v>1588</v>
      </c>
      <c r="D373" t="s">
        <v>1589</v>
      </c>
      <c r="E373" t="s">
        <v>18</v>
      </c>
      <c r="F373" t="s">
        <v>1590</v>
      </c>
      <c r="G373" t="s">
        <v>13</v>
      </c>
      <c r="H373" t="s">
        <v>678</v>
      </c>
    </row>
    <row r="374" spans="1:8" x14ac:dyDescent="0.25">
      <c r="A374">
        <v>373</v>
      </c>
      <c r="B374" t="s">
        <v>1591</v>
      </c>
      <c r="C374" t="s">
        <v>1592</v>
      </c>
      <c r="D374" t="s">
        <v>1593</v>
      </c>
      <c r="E374" t="s">
        <v>11</v>
      </c>
      <c r="F374" t="s">
        <v>1594</v>
      </c>
      <c r="G374" t="s">
        <v>13</v>
      </c>
      <c r="H374" t="s">
        <v>365</v>
      </c>
    </row>
    <row r="375" spans="1:8" x14ac:dyDescent="0.25">
      <c r="A375">
        <v>374</v>
      </c>
      <c r="B375" t="s">
        <v>1595</v>
      </c>
      <c r="C375" t="s">
        <v>1596</v>
      </c>
      <c r="D375" t="s">
        <v>1597</v>
      </c>
      <c r="E375" t="s">
        <v>11</v>
      </c>
      <c r="F375" t="s">
        <v>1598</v>
      </c>
      <c r="G375" t="s">
        <v>13</v>
      </c>
      <c r="H375" t="s">
        <v>655</v>
      </c>
    </row>
    <row r="376" spans="1:8" x14ac:dyDescent="0.25">
      <c r="A376">
        <v>375</v>
      </c>
      <c r="B376" t="s">
        <v>1599</v>
      </c>
      <c r="C376" t="s">
        <v>1576</v>
      </c>
      <c r="D376" t="s">
        <v>1600</v>
      </c>
      <c r="E376" t="s">
        <v>228</v>
      </c>
      <c r="F376" t="s">
        <v>1601</v>
      </c>
      <c r="G376" t="s">
        <v>13</v>
      </c>
      <c r="H376" t="s">
        <v>602</v>
      </c>
    </row>
    <row r="377" spans="1:8" x14ac:dyDescent="0.25">
      <c r="A377">
        <v>376</v>
      </c>
      <c r="B377" t="s">
        <v>1602</v>
      </c>
      <c r="C377" t="s">
        <v>1603</v>
      </c>
      <c r="D377" t="s">
        <v>1604</v>
      </c>
      <c r="E377" t="s">
        <v>18</v>
      </c>
      <c r="F377" t="s">
        <v>1605</v>
      </c>
      <c r="G377" t="s">
        <v>13</v>
      </c>
      <c r="H377" t="s">
        <v>66</v>
      </c>
    </row>
    <row r="378" spans="1:8" x14ac:dyDescent="0.25">
      <c r="A378">
        <v>377</v>
      </c>
      <c r="B378" t="s">
        <v>1606</v>
      </c>
      <c r="C378" t="s">
        <v>1607</v>
      </c>
      <c r="D378" t="s">
        <v>1608</v>
      </c>
      <c r="E378" t="s">
        <v>18</v>
      </c>
      <c r="F378" t="s">
        <v>1609</v>
      </c>
      <c r="G378" t="s">
        <v>13</v>
      </c>
      <c r="H378" t="s">
        <v>210</v>
      </c>
    </row>
    <row r="379" spans="1:8" x14ac:dyDescent="0.25">
      <c r="A379">
        <v>378</v>
      </c>
      <c r="B379" t="s">
        <v>1610</v>
      </c>
      <c r="C379" t="s">
        <v>1611</v>
      </c>
      <c r="D379" t="s">
        <v>1612</v>
      </c>
      <c r="E379" t="s">
        <v>18</v>
      </c>
      <c r="F379" t="s">
        <v>1613</v>
      </c>
      <c r="G379" t="s">
        <v>13</v>
      </c>
      <c r="H379" t="s">
        <v>163</v>
      </c>
    </row>
    <row r="380" spans="1:8" x14ac:dyDescent="0.25">
      <c r="A380">
        <v>379</v>
      </c>
      <c r="B380" t="s">
        <v>1614</v>
      </c>
      <c r="C380" t="s">
        <v>1615</v>
      </c>
      <c r="D380" t="s">
        <v>1616</v>
      </c>
      <c r="E380" t="s">
        <v>18</v>
      </c>
      <c r="F380" t="s">
        <v>1617</v>
      </c>
      <c r="G380" t="s">
        <v>13</v>
      </c>
      <c r="H380" t="s">
        <v>345</v>
      </c>
    </row>
    <row r="381" spans="1:8" x14ac:dyDescent="0.25">
      <c r="A381">
        <v>380</v>
      </c>
      <c r="B381" t="s">
        <v>1618</v>
      </c>
      <c r="C381" t="s">
        <v>1619</v>
      </c>
      <c r="D381" t="s">
        <v>1620</v>
      </c>
      <c r="E381" t="s">
        <v>769</v>
      </c>
      <c r="F381" t="s">
        <v>1621</v>
      </c>
      <c r="G381" t="s">
        <v>13</v>
      </c>
      <c r="H381" t="s">
        <v>374</v>
      </c>
    </row>
    <row r="382" spans="1:8" x14ac:dyDescent="0.25">
      <c r="A382">
        <v>381</v>
      </c>
      <c r="B382" t="s">
        <v>1622</v>
      </c>
      <c r="C382" t="s">
        <v>1623</v>
      </c>
      <c r="D382" t="s">
        <v>1624</v>
      </c>
      <c r="E382" t="s">
        <v>18</v>
      </c>
      <c r="F382" t="s">
        <v>1625</v>
      </c>
      <c r="G382" t="s">
        <v>13</v>
      </c>
      <c r="H382" t="s">
        <v>215</v>
      </c>
    </row>
    <row r="383" spans="1:8" x14ac:dyDescent="0.25">
      <c r="A383">
        <v>382</v>
      </c>
      <c r="B383" t="s">
        <v>1626</v>
      </c>
      <c r="C383" t="s">
        <v>1627</v>
      </c>
      <c r="D383" t="s">
        <v>1628</v>
      </c>
      <c r="E383" t="s">
        <v>11</v>
      </c>
      <c r="F383" t="s">
        <v>1629</v>
      </c>
      <c r="G383" t="s">
        <v>13</v>
      </c>
      <c r="H383" t="s">
        <v>188</v>
      </c>
    </row>
    <row r="384" spans="1:8" x14ac:dyDescent="0.25">
      <c r="A384">
        <v>383</v>
      </c>
      <c r="B384" t="s">
        <v>1630</v>
      </c>
      <c r="C384" t="s">
        <v>1631</v>
      </c>
      <c r="D384" t="s">
        <v>1632</v>
      </c>
      <c r="E384" t="s">
        <v>11</v>
      </c>
      <c r="F384" t="s">
        <v>1633</v>
      </c>
      <c r="G384" t="s">
        <v>13</v>
      </c>
      <c r="H384" t="s">
        <v>1634</v>
      </c>
    </row>
    <row r="385" spans="1:8" x14ac:dyDescent="0.25">
      <c r="A385">
        <v>384</v>
      </c>
      <c r="B385" t="s">
        <v>1635</v>
      </c>
      <c r="C385" t="s">
        <v>1636</v>
      </c>
      <c r="D385" t="s">
        <v>1637</v>
      </c>
      <c r="E385" t="s">
        <v>11</v>
      </c>
      <c r="F385" t="s">
        <v>1638</v>
      </c>
      <c r="G385" t="s">
        <v>13</v>
      </c>
      <c r="H385" t="s">
        <v>91</v>
      </c>
    </row>
    <row r="386" spans="1:8" x14ac:dyDescent="0.25">
      <c r="A386">
        <v>385</v>
      </c>
      <c r="B386" t="s">
        <v>1639</v>
      </c>
      <c r="C386" t="s">
        <v>1640</v>
      </c>
      <c r="D386" t="s">
        <v>1641</v>
      </c>
      <c r="E386" t="s">
        <v>18</v>
      </c>
      <c r="F386" t="s">
        <v>1642</v>
      </c>
      <c r="G386" t="s">
        <v>13</v>
      </c>
      <c r="H386" t="s">
        <v>66</v>
      </c>
    </row>
    <row r="387" spans="1:8" x14ac:dyDescent="0.25">
      <c r="B387" t="s">
        <v>1643</v>
      </c>
      <c r="C387" t="s">
        <v>1644</v>
      </c>
      <c r="D387" t="s">
        <v>1645</v>
      </c>
      <c r="E387" t="s">
        <v>11</v>
      </c>
      <c r="F387" t="s">
        <v>1646</v>
      </c>
      <c r="G387" t="s">
        <v>13</v>
      </c>
      <c r="H387" t="s">
        <v>809</v>
      </c>
    </row>
    <row r="388" spans="1:8" x14ac:dyDescent="0.25">
      <c r="A388">
        <v>387</v>
      </c>
      <c r="B388" t="s">
        <v>1647</v>
      </c>
      <c r="C388" t="s">
        <v>1648</v>
      </c>
      <c r="D388" t="s">
        <v>1649</v>
      </c>
      <c r="E388" t="s">
        <v>18</v>
      </c>
      <c r="F388" t="s">
        <v>1650</v>
      </c>
      <c r="G388" t="s">
        <v>13</v>
      </c>
      <c r="H388" t="s">
        <v>641</v>
      </c>
    </row>
    <row r="389" spans="1:8" x14ac:dyDescent="0.25">
      <c r="A389">
        <v>388</v>
      </c>
      <c r="B389" t="s">
        <v>1651</v>
      </c>
      <c r="C389" t="s">
        <v>1652</v>
      </c>
      <c r="D389" t="s">
        <v>1653</v>
      </c>
      <c r="E389" t="s">
        <v>11</v>
      </c>
      <c r="F389" t="s">
        <v>1654</v>
      </c>
      <c r="G389" t="s">
        <v>13</v>
      </c>
      <c r="H389" t="s">
        <v>678</v>
      </c>
    </row>
    <row r="390" spans="1:8" x14ac:dyDescent="0.25">
      <c r="A390">
        <v>389</v>
      </c>
      <c r="B390" t="s">
        <v>1655</v>
      </c>
      <c r="C390" t="s">
        <v>1656</v>
      </c>
      <c r="D390" t="s">
        <v>1657</v>
      </c>
      <c r="E390" t="s">
        <v>18</v>
      </c>
      <c r="F390" t="s">
        <v>1658</v>
      </c>
      <c r="G390" t="s">
        <v>13</v>
      </c>
      <c r="H390" t="s">
        <v>252</v>
      </c>
    </row>
    <row r="391" spans="1:8" x14ac:dyDescent="0.25">
      <c r="A391">
        <v>390</v>
      </c>
      <c r="B391" t="s">
        <v>1659</v>
      </c>
      <c r="C391" t="s">
        <v>1660</v>
      </c>
      <c r="D391" t="s">
        <v>1661</v>
      </c>
      <c r="E391" t="s">
        <v>11</v>
      </c>
      <c r="F391" t="s">
        <v>1662</v>
      </c>
      <c r="G391" t="s">
        <v>13</v>
      </c>
      <c r="H391" t="s">
        <v>252</v>
      </c>
    </row>
    <row r="392" spans="1:8" x14ac:dyDescent="0.25">
      <c r="A392">
        <v>391</v>
      </c>
      <c r="B392" t="s">
        <v>1663</v>
      </c>
      <c r="C392" t="s">
        <v>1664</v>
      </c>
      <c r="D392" t="s">
        <v>1665</v>
      </c>
      <c r="E392" t="s">
        <v>11</v>
      </c>
      <c r="F392" t="s">
        <v>1666</v>
      </c>
      <c r="G392" t="s">
        <v>13</v>
      </c>
      <c r="H392" t="s">
        <v>814</v>
      </c>
    </row>
    <row r="393" spans="1:8" x14ac:dyDescent="0.25">
      <c r="A393">
        <v>392</v>
      </c>
      <c r="B393" t="s">
        <v>1667</v>
      </c>
      <c r="C393" t="s">
        <v>1668</v>
      </c>
      <c r="D393" t="s">
        <v>1669</v>
      </c>
      <c r="E393" t="s">
        <v>18</v>
      </c>
      <c r="F393" t="s">
        <v>1670</v>
      </c>
      <c r="G393" t="s">
        <v>13</v>
      </c>
      <c r="H393" t="s">
        <v>243</v>
      </c>
    </row>
    <row r="394" spans="1:8" x14ac:dyDescent="0.25">
      <c r="A394">
        <v>393</v>
      </c>
      <c r="B394" t="s">
        <v>1671</v>
      </c>
      <c r="C394" t="s">
        <v>1672</v>
      </c>
      <c r="E394" t="s">
        <v>11</v>
      </c>
      <c r="F394" t="s">
        <v>1673</v>
      </c>
      <c r="G394" t="s">
        <v>13</v>
      </c>
      <c r="H394" t="s">
        <v>86</v>
      </c>
    </row>
    <row r="395" spans="1:8" x14ac:dyDescent="0.25">
      <c r="B395" t="s">
        <v>1674</v>
      </c>
      <c r="C395" t="s">
        <v>1675</v>
      </c>
      <c r="D395" t="s">
        <v>1676</v>
      </c>
      <c r="E395" t="s">
        <v>18</v>
      </c>
      <c r="F395" t="s">
        <v>1677</v>
      </c>
      <c r="G395" t="s">
        <v>13</v>
      </c>
      <c r="H395" t="s">
        <v>183</v>
      </c>
    </row>
    <row r="396" spans="1:8" x14ac:dyDescent="0.25">
      <c r="B396" t="s">
        <v>1678</v>
      </c>
      <c r="C396" t="s">
        <v>1679</v>
      </c>
      <c r="D396" t="s">
        <v>1680</v>
      </c>
      <c r="E396" t="s">
        <v>18</v>
      </c>
      <c r="F396" t="s">
        <v>1681</v>
      </c>
      <c r="G396" t="s">
        <v>13</v>
      </c>
      <c r="H396" t="s">
        <v>487</v>
      </c>
    </row>
    <row r="397" spans="1:8" x14ac:dyDescent="0.25">
      <c r="A397">
        <v>396</v>
      </c>
      <c r="B397" t="s">
        <v>1682</v>
      </c>
      <c r="C397" t="s">
        <v>1683</v>
      </c>
      <c r="D397" t="s">
        <v>1684</v>
      </c>
      <c r="E397" t="s">
        <v>18</v>
      </c>
      <c r="F397" t="s">
        <v>1685</v>
      </c>
      <c r="G397" t="s">
        <v>13</v>
      </c>
      <c r="H397" t="s">
        <v>81</v>
      </c>
    </row>
    <row r="398" spans="1:8" x14ac:dyDescent="0.25">
      <c r="A398">
        <v>397</v>
      </c>
      <c r="B398" t="s">
        <v>1686</v>
      </c>
      <c r="C398" t="s">
        <v>1687</v>
      </c>
      <c r="D398" t="s">
        <v>1688</v>
      </c>
      <c r="E398" t="s">
        <v>18</v>
      </c>
      <c r="F398" t="s">
        <v>1689</v>
      </c>
      <c r="G398" t="s">
        <v>13</v>
      </c>
      <c r="H398" t="s">
        <v>374</v>
      </c>
    </row>
    <row r="399" spans="1:8" x14ac:dyDescent="0.25">
      <c r="A399">
        <v>398</v>
      </c>
      <c r="B399" t="s">
        <v>1690</v>
      </c>
      <c r="C399" t="s">
        <v>1691</v>
      </c>
      <c r="D399" t="s">
        <v>1692</v>
      </c>
      <c r="E399" t="s">
        <v>11</v>
      </c>
      <c r="F399" t="s">
        <v>1693</v>
      </c>
      <c r="G399" t="s">
        <v>13</v>
      </c>
      <c r="H399" t="s">
        <v>135</v>
      </c>
    </row>
    <row r="400" spans="1:8" x14ac:dyDescent="0.25">
      <c r="A400">
        <v>399</v>
      </c>
      <c r="B400" t="s">
        <v>1694</v>
      </c>
      <c r="C400" t="s">
        <v>1695</v>
      </c>
      <c r="D400" t="s">
        <v>1696</v>
      </c>
      <c r="E400" t="s">
        <v>11</v>
      </c>
      <c r="F400" t="s">
        <v>1697</v>
      </c>
      <c r="G400" t="s">
        <v>13</v>
      </c>
      <c r="H400" t="s">
        <v>168</v>
      </c>
    </row>
    <row r="401" spans="1:8" x14ac:dyDescent="0.25">
      <c r="A401">
        <v>400</v>
      </c>
      <c r="B401" t="s">
        <v>1698</v>
      </c>
      <c r="C401" t="s">
        <v>1699</v>
      </c>
      <c r="D401" t="s">
        <v>1700</v>
      </c>
      <c r="E401" t="s">
        <v>11</v>
      </c>
      <c r="F401" t="s">
        <v>1701</v>
      </c>
      <c r="G401" t="s">
        <v>13</v>
      </c>
      <c r="H401" t="s">
        <v>588</v>
      </c>
    </row>
    <row r="402" spans="1:8" x14ac:dyDescent="0.25">
      <c r="A402">
        <v>401</v>
      </c>
      <c r="B402" t="s">
        <v>1702</v>
      </c>
      <c r="C402" t="s">
        <v>1703</v>
      </c>
      <c r="D402" t="s">
        <v>1704</v>
      </c>
      <c r="E402" t="s">
        <v>18</v>
      </c>
      <c r="F402" t="s">
        <v>1705</v>
      </c>
      <c r="G402" t="s">
        <v>13</v>
      </c>
      <c r="H402" t="s">
        <v>597</v>
      </c>
    </row>
    <row r="403" spans="1:8" x14ac:dyDescent="0.25">
      <c r="A403">
        <v>402</v>
      </c>
      <c r="B403" t="s">
        <v>4027</v>
      </c>
      <c r="C403" t="s">
        <v>1707</v>
      </c>
      <c r="D403" t="s">
        <v>1708</v>
      </c>
      <c r="E403" t="s">
        <v>280</v>
      </c>
      <c r="F403" t="s">
        <v>1709</v>
      </c>
      <c r="G403" t="s">
        <v>13</v>
      </c>
      <c r="H403" t="s">
        <v>567</v>
      </c>
    </row>
    <row r="404" spans="1:8" x14ac:dyDescent="0.25">
      <c r="A404">
        <v>403</v>
      </c>
      <c r="B404" t="s">
        <v>1710</v>
      </c>
      <c r="C404" t="s">
        <v>1711</v>
      </c>
      <c r="D404" t="s">
        <v>1712</v>
      </c>
      <c r="E404" t="s">
        <v>18</v>
      </c>
      <c r="F404" t="s">
        <v>1713</v>
      </c>
      <c r="G404" t="s">
        <v>13</v>
      </c>
      <c r="H404" t="s">
        <v>1634</v>
      </c>
    </row>
    <row r="405" spans="1:8" x14ac:dyDescent="0.25">
      <c r="A405">
        <v>404</v>
      </c>
      <c r="B405" t="s">
        <v>1714</v>
      </c>
      <c r="C405" t="s">
        <v>1715</v>
      </c>
      <c r="D405" t="s">
        <v>1716</v>
      </c>
      <c r="E405" t="s">
        <v>11</v>
      </c>
      <c r="F405" t="s">
        <v>1717</v>
      </c>
      <c r="G405" t="s">
        <v>13</v>
      </c>
      <c r="H405" t="s">
        <v>252</v>
      </c>
    </row>
    <row r="406" spans="1:8" x14ac:dyDescent="0.25">
      <c r="A406">
        <v>405</v>
      </c>
      <c r="B406" t="s">
        <v>1718</v>
      </c>
      <c r="C406" t="s">
        <v>1719</v>
      </c>
      <c r="D406" t="s">
        <v>1720</v>
      </c>
      <c r="E406" t="s">
        <v>18</v>
      </c>
      <c r="F406" t="s">
        <v>1721</v>
      </c>
      <c r="G406" t="s">
        <v>13</v>
      </c>
      <c r="H406" t="s">
        <v>20</v>
      </c>
    </row>
    <row r="407" spans="1:8" x14ac:dyDescent="0.25">
      <c r="A407">
        <v>406</v>
      </c>
      <c r="B407" t="s">
        <v>1722</v>
      </c>
      <c r="C407" t="s">
        <v>1723</v>
      </c>
      <c r="D407" t="s">
        <v>1724</v>
      </c>
      <c r="E407" t="s">
        <v>274</v>
      </c>
      <c r="F407" t="s">
        <v>1725</v>
      </c>
      <c r="G407" t="s">
        <v>13</v>
      </c>
      <c r="H407" t="s">
        <v>1726</v>
      </c>
    </row>
    <row r="408" spans="1:8" x14ac:dyDescent="0.25">
      <c r="A408">
        <v>407</v>
      </c>
      <c r="B408" t="s">
        <v>1727</v>
      </c>
      <c r="C408" t="s">
        <v>1728</v>
      </c>
      <c r="D408" t="s">
        <v>1729</v>
      </c>
      <c r="E408" t="s">
        <v>18</v>
      </c>
      <c r="F408" t="s">
        <v>1730</v>
      </c>
      <c r="G408" t="s">
        <v>13</v>
      </c>
      <c r="H408" t="s">
        <v>125</v>
      </c>
    </row>
    <row r="409" spans="1:8" x14ac:dyDescent="0.25">
      <c r="B409" t="s">
        <v>1731</v>
      </c>
      <c r="C409" t="s">
        <v>1732</v>
      </c>
      <c r="D409" t="s">
        <v>1733</v>
      </c>
      <c r="E409" t="s">
        <v>18</v>
      </c>
      <c r="F409" t="s">
        <v>1734</v>
      </c>
      <c r="G409" t="s">
        <v>4033</v>
      </c>
      <c r="H409" t="s">
        <v>163</v>
      </c>
    </row>
    <row r="410" spans="1:8" x14ac:dyDescent="0.25">
      <c r="A410">
        <v>409</v>
      </c>
      <c r="B410" t="s">
        <v>1735</v>
      </c>
      <c r="C410" t="s">
        <v>1736</v>
      </c>
      <c r="D410" t="s">
        <v>1737</v>
      </c>
      <c r="E410" t="s">
        <v>11</v>
      </c>
      <c r="F410" t="s">
        <v>1738</v>
      </c>
      <c r="G410" t="s">
        <v>13</v>
      </c>
      <c r="H410" t="s">
        <v>41</v>
      </c>
    </row>
    <row r="411" spans="1:8" x14ac:dyDescent="0.25">
      <c r="A411">
        <v>410</v>
      </c>
      <c r="B411" t="s">
        <v>1739</v>
      </c>
      <c r="C411" t="s">
        <v>1740</v>
      </c>
      <c r="D411" t="s">
        <v>1741</v>
      </c>
      <c r="E411" t="s">
        <v>18</v>
      </c>
      <c r="F411" t="s">
        <v>1742</v>
      </c>
      <c r="G411" t="s">
        <v>13</v>
      </c>
      <c r="H411" t="s">
        <v>660</v>
      </c>
    </row>
    <row r="412" spans="1:8" x14ac:dyDescent="0.25">
      <c r="A412">
        <v>411</v>
      </c>
      <c r="B412" t="s">
        <v>1743</v>
      </c>
      <c r="C412" t="s">
        <v>1744</v>
      </c>
      <c r="D412" t="s">
        <v>1745</v>
      </c>
      <c r="E412" t="s">
        <v>11</v>
      </c>
      <c r="F412" t="s">
        <v>1746</v>
      </c>
      <c r="G412" t="s">
        <v>13</v>
      </c>
      <c r="H412" t="s">
        <v>25</v>
      </c>
    </row>
    <row r="413" spans="1:8" x14ac:dyDescent="0.25">
      <c r="A413">
        <v>412</v>
      </c>
      <c r="B413" t="s">
        <v>1747</v>
      </c>
      <c r="C413" t="s">
        <v>1748</v>
      </c>
      <c r="D413" t="s">
        <v>1749</v>
      </c>
      <c r="E413" t="s">
        <v>18</v>
      </c>
      <c r="F413" t="s">
        <v>1750</v>
      </c>
      <c r="G413" t="s">
        <v>13</v>
      </c>
      <c r="H413" t="s">
        <v>360</v>
      </c>
    </row>
    <row r="414" spans="1:8" x14ac:dyDescent="0.25">
      <c r="A414">
        <v>413</v>
      </c>
      <c r="B414" t="s">
        <v>1751</v>
      </c>
      <c r="C414" t="s">
        <v>1752</v>
      </c>
      <c r="D414" t="s">
        <v>1753</v>
      </c>
      <c r="E414" t="s">
        <v>274</v>
      </c>
      <c r="F414" t="s">
        <v>1754</v>
      </c>
      <c r="G414" t="s">
        <v>13</v>
      </c>
      <c r="H414" t="s">
        <v>115</v>
      </c>
    </row>
    <row r="415" spans="1:8" x14ac:dyDescent="0.25">
      <c r="A415">
        <v>414</v>
      </c>
      <c r="B415" t="s">
        <v>1755</v>
      </c>
      <c r="C415" t="s">
        <v>1756</v>
      </c>
      <c r="D415" t="s">
        <v>1757</v>
      </c>
      <c r="E415" t="s">
        <v>11</v>
      </c>
      <c r="F415" t="s">
        <v>1758</v>
      </c>
      <c r="G415" t="s">
        <v>13</v>
      </c>
      <c r="H415" t="s">
        <v>135</v>
      </c>
    </row>
    <row r="416" spans="1:8" x14ac:dyDescent="0.25">
      <c r="A416">
        <v>415</v>
      </c>
      <c r="B416" t="s">
        <v>1759</v>
      </c>
      <c r="C416" t="s">
        <v>1760</v>
      </c>
      <c r="D416" t="s">
        <v>1761</v>
      </c>
      <c r="E416" t="s">
        <v>11</v>
      </c>
      <c r="F416" t="s">
        <v>1762</v>
      </c>
      <c r="G416" t="s">
        <v>13</v>
      </c>
      <c r="H416" t="s">
        <v>101</v>
      </c>
    </row>
    <row r="417" spans="1:8" x14ac:dyDescent="0.25">
      <c r="A417">
        <v>416</v>
      </c>
      <c r="B417" t="s">
        <v>1763</v>
      </c>
      <c r="C417" t="s">
        <v>1764</v>
      </c>
      <c r="D417" t="s">
        <v>1765</v>
      </c>
      <c r="E417" t="s">
        <v>18</v>
      </c>
      <c r="F417" t="s">
        <v>1766</v>
      </c>
      <c r="G417" t="s">
        <v>13</v>
      </c>
      <c r="H417" t="s">
        <v>120</v>
      </c>
    </row>
    <row r="418" spans="1:8" x14ac:dyDescent="0.25">
      <c r="B418" t="s">
        <v>1767</v>
      </c>
      <c r="C418" t="s">
        <v>1768</v>
      </c>
      <c r="D418" t="s">
        <v>1769</v>
      </c>
      <c r="E418" t="s">
        <v>11</v>
      </c>
      <c r="F418" t="s">
        <v>1770</v>
      </c>
      <c r="G418" t="s">
        <v>13</v>
      </c>
      <c r="H418" t="s">
        <v>1771</v>
      </c>
    </row>
    <row r="419" spans="1:8" x14ac:dyDescent="0.25">
      <c r="A419">
        <v>418</v>
      </c>
      <c r="B419" t="s">
        <v>1772</v>
      </c>
      <c r="C419" t="s">
        <v>1773</v>
      </c>
      <c r="D419" t="s">
        <v>1774</v>
      </c>
      <c r="E419" t="s">
        <v>18</v>
      </c>
      <c r="F419" t="s">
        <v>1775</v>
      </c>
      <c r="G419" t="s">
        <v>13</v>
      </c>
      <c r="H419" t="s">
        <v>399</v>
      </c>
    </row>
    <row r="420" spans="1:8" x14ac:dyDescent="0.25">
      <c r="A420">
        <v>419</v>
      </c>
      <c r="B420" t="s">
        <v>1776</v>
      </c>
      <c r="C420" t="s">
        <v>1777</v>
      </c>
      <c r="D420" t="s">
        <v>1778</v>
      </c>
      <c r="E420" t="s">
        <v>18</v>
      </c>
      <c r="F420" t="s">
        <v>1779</v>
      </c>
      <c r="G420" t="s">
        <v>13</v>
      </c>
      <c r="H420" t="s">
        <v>41</v>
      </c>
    </row>
    <row r="421" spans="1:8" x14ac:dyDescent="0.25">
      <c r="A421">
        <v>420</v>
      </c>
      <c r="B421" t="s">
        <v>4028</v>
      </c>
      <c r="C421" t="s">
        <v>1780</v>
      </c>
      <c r="D421" t="s">
        <v>1781</v>
      </c>
      <c r="E421" t="s">
        <v>274</v>
      </c>
      <c r="F421" t="s">
        <v>1782</v>
      </c>
      <c r="G421" t="s">
        <v>13</v>
      </c>
      <c r="H421" t="s">
        <v>1726</v>
      </c>
    </row>
    <row r="422" spans="1:8" x14ac:dyDescent="0.25">
      <c r="B422" t="s">
        <v>1783</v>
      </c>
      <c r="C422" t="s">
        <v>1784</v>
      </c>
      <c r="D422" t="s">
        <v>1785</v>
      </c>
      <c r="E422" t="s">
        <v>11</v>
      </c>
      <c r="F422" t="s">
        <v>1786</v>
      </c>
      <c r="G422" t="s">
        <v>13</v>
      </c>
      <c r="H422" t="s">
        <v>154</v>
      </c>
    </row>
    <row r="423" spans="1:8" x14ac:dyDescent="0.25">
      <c r="A423">
        <v>422</v>
      </c>
      <c r="B423" t="s">
        <v>563</v>
      </c>
      <c r="C423" t="s">
        <v>1787</v>
      </c>
      <c r="D423" t="s">
        <v>1788</v>
      </c>
      <c r="E423" t="s">
        <v>769</v>
      </c>
      <c r="F423" t="s">
        <v>1789</v>
      </c>
      <c r="G423" t="s">
        <v>13</v>
      </c>
      <c r="H423" t="s">
        <v>61</v>
      </c>
    </row>
    <row r="424" spans="1:8" x14ac:dyDescent="0.25">
      <c r="A424">
        <v>423</v>
      </c>
      <c r="B424" t="s">
        <v>1790</v>
      </c>
      <c r="C424" t="s">
        <v>1791</v>
      </c>
      <c r="D424" t="s">
        <v>1792</v>
      </c>
      <c r="E424" t="s">
        <v>18</v>
      </c>
      <c r="F424" t="s">
        <v>1793</v>
      </c>
      <c r="G424" t="s">
        <v>13</v>
      </c>
      <c r="H424" t="s">
        <v>81</v>
      </c>
    </row>
    <row r="425" spans="1:8" x14ac:dyDescent="0.25">
      <c r="A425">
        <v>424</v>
      </c>
      <c r="B425" t="s">
        <v>1794</v>
      </c>
      <c r="C425" t="s">
        <v>1795</v>
      </c>
      <c r="D425" t="s">
        <v>1796</v>
      </c>
      <c r="E425" t="s">
        <v>11</v>
      </c>
      <c r="F425" t="s">
        <v>1797</v>
      </c>
      <c r="G425" t="s">
        <v>13</v>
      </c>
      <c r="H425" t="s">
        <v>504</v>
      </c>
    </row>
    <row r="426" spans="1:8" x14ac:dyDescent="0.25">
      <c r="A426">
        <v>425</v>
      </c>
      <c r="B426" t="s">
        <v>1798</v>
      </c>
      <c r="C426" t="s">
        <v>1799</v>
      </c>
      <c r="E426" t="s">
        <v>11</v>
      </c>
      <c r="F426" t="s">
        <v>1800</v>
      </c>
      <c r="G426" t="s">
        <v>13</v>
      </c>
      <c r="H426" t="s">
        <v>51</v>
      </c>
    </row>
    <row r="427" spans="1:8" x14ac:dyDescent="0.25">
      <c r="A427">
        <v>426</v>
      </c>
      <c r="B427" t="s">
        <v>1801</v>
      </c>
      <c r="C427" t="s">
        <v>1802</v>
      </c>
      <c r="D427" t="s">
        <v>1803</v>
      </c>
      <c r="E427" t="s">
        <v>280</v>
      </c>
      <c r="F427" t="s">
        <v>1804</v>
      </c>
      <c r="G427" t="s">
        <v>13</v>
      </c>
      <c r="H427" t="s">
        <v>276</v>
      </c>
    </row>
    <row r="428" spans="1:8" x14ac:dyDescent="0.25">
      <c r="A428">
        <v>427</v>
      </c>
      <c r="B428" t="s">
        <v>1805</v>
      </c>
      <c r="C428" t="s">
        <v>1806</v>
      </c>
      <c r="D428" t="s">
        <v>1807</v>
      </c>
      <c r="E428" t="s">
        <v>18</v>
      </c>
      <c r="F428" t="s">
        <v>1808</v>
      </c>
      <c r="G428" t="s">
        <v>13</v>
      </c>
      <c r="H428" t="s">
        <v>779</v>
      </c>
    </row>
    <row r="429" spans="1:8" x14ac:dyDescent="0.25">
      <c r="A429">
        <v>428</v>
      </c>
      <c r="B429" t="s">
        <v>1809</v>
      </c>
      <c r="C429" t="s">
        <v>1810</v>
      </c>
      <c r="D429" t="s">
        <v>1811</v>
      </c>
      <c r="E429" t="s">
        <v>18</v>
      </c>
      <c r="F429" t="s">
        <v>1812</v>
      </c>
      <c r="G429" t="s">
        <v>13</v>
      </c>
      <c r="H429" t="s">
        <v>66</v>
      </c>
    </row>
    <row r="430" spans="1:8" x14ac:dyDescent="0.25">
      <c r="A430">
        <v>429</v>
      </c>
      <c r="B430" t="s">
        <v>1813</v>
      </c>
      <c r="C430" t="s">
        <v>1814</v>
      </c>
      <c r="D430" t="s">
        <v>1815</v>
      </c>
      <c r="E430" t="s">
        <v>18</v>
      </c>
      <c r="F430" t="s">
        <v>1816</v>
      </c>
      <c r="G430" t="s">
        <v>13</v>
      </c>
      <c r="H430" t="s">
        <v>839</v>
      </c>
    </row>
    <row r="431" spans="1:8" x14ac:dyDescent="0.25">
      <c r="B431" t="s">
        <v>1817</v>
      </c>
      <c r="C431" t="s">
        <v>1818</v>
      </c>
      <c r="D431" t="s">
        <v>1819</v>
      </c>
      <c r="E431" t="s">
        <v>11</v>
      </c>
      <c r="F431" t="s">
        <v>1820</v>
      </c>
      <c r="G431" t="s">
        <v>13</v>
      </c>
      <c r="H431" t="s">
        <v>700</v>
      </c>
    </row>
    <row r="432" spans="1:8" x14ac:dyDescent="0.25">
      <c r="A432">
        <v>431</v>
      </c>
      <c r="B432" t="s">
        <v>1821</v>
      </c>
      <c r="C432" t="s">
        <v>1822</v>
      </c>
      <c r="D432" t="s">
        <v>1823</v>
      </c>
      <c r="E432" t="s">
        <v>18</v>
      </c>
      <c r="F432" t="s">
        <v>1824</v>
      </c>
      <c r="G432" t="s">
        <v>13</v>
      </c>
      <c r="H432" t="s">
        <v>210</v>
      </c>
    </row>
    <row r="433" spans="1:8" x14ac:dyDescent="0.25">
      <c r="B433" t="s">
        <v>1825</v>
      </c>
      <c r="C433" t="s">
        <v>1826</v>
      </c>
      <c r="D433" t="s">
        <v>1827</v>
      </c>
      <c r="E433" t="s">
        <v>18</v>
      </c>
      <c r="F433" t="s">
        <v>1828</v>
      </c>
      <c r="G433" t="s">
        <v>13</v>
      </c>
      <c r="H433" t="s">
        <v>673</v>
      </c>
    </row>
    <row r="434" spans="1:8" x14ac:dyDescent="0.25">
      <c r="A434">
        <v>433</v>
      </c>
      <c r="B434" t="s">
        <v>1829</v>
      </c>
      <c r="C434" t="s">
        <v>1830</v>
      </c>
      <c r="D434" t="s">
        <v>1831</v>
      </c>
      <c r="E434" t="s">
        <v>11</v>
      </c>
      <c r="F434" t="s">
        <v>1832</v>
      </c>
      <c r="G434" t="s">
        <v>13</v>
      </c>
      <c r="H434" t="s">
        <v>336</v>
      </c>
    </row>
    <row r="435" spans="1:8" x14ac:dyDescent="0.25">
      <c r="B435" t="s">
        <v>1354</v>
      </c>
      <c r="C435" t="s">
        <v>1833</v>
      </c>
      <c r="D435" t="s">
        <v>1834</v>
      </c>
      <c r="E435" t="s">
        <v>18</v>
      </c>
      <c r="F435" t="s">
        <v>1835</v>
      </c>
      <c r="G435" t="s">
        <v>13</v>
      </c>
      <c r="H435" t="s">
        <v>660</v>
      </c>
    </row>
    <row r="436" spans="1:8" x14ac:dyDescent="0.25">
      <c r="A436">
        <v>435</v>
      </c>
      <c r="B436" t="s">
        <v>1836</v>
      </c>
      <c r="C436" t="s">
        <v>1837</v>
      </c>
      <c r="D436" t="s">
        <v>1838</v>
      </c>
      <c r="E436" t="s">
        <v>18</v>
      </c>
      <c r="F436" t="s">
        <v>1839</v>
      </c>
      <c r="G436" t="s">
        <v>13</v>
      </c>
      <c r="H436" t="s">
        <v>549</v>
      </c>
    </row>
    <row r="437" spans="1:8" x14ac:dyDescent="0.25">
      <c r="A437">
        <v>436</v>
      </c>
      <c r="B437" t="s">
        <v>1840</v>
      </c>
      <c r="C437" t="s">
        <v>1841</v>
      </c>
      <c r="D437" t="s">
        <v>1842</v>
      </c>
      <c r="E437" t="s">
        <v>18</v>
      </c>
      <c r="F437" t="s">
        <v>1843</v>
      </c>
      <c r="G437" t="s">
        <v>13</v>
      </c>
      <c r="H437" t="s">
        <v>804</v>
      </c>
    </row>
    <row r="438" spans="1:8" x14ac:dyDescent="0.25">
      <c r="A438">
        <v>437</v>
      </c>
      <c r="B438" t="s">
        <v>1844</v>
      </c>
      <c r="C438" t="s">
        <v>1845</v>
      </c>
      <c r="D438" t="s">
        <v>1846</v>
      </c>
      <c r="E438" t="s">
        <v>11</v>
      </c>
      <c r="F438" t="s">
        <v>1847</v>
      </c>
      <c r="G438" t="s">
        <v>13</v>
      </c>
      <c r="H438" t="s">
        <v>1848</v>
      </c>
    </row>
    <row r="439" spans="1:8" x14ac:dyDescent="0.25">
      <c r="A439">
        <v>438</v>
      </c>
      <c r="B439" t="s">
        <v>1849</v>
      </c>
      <c r="C439" t="s">
        <v>1850</v>
      </c>
      <c r="D439" t="s">
        <v>1851</v>
      </c>
      <c r="E439" t="s">
        <v>18</v>
      </c>
      <c r="F439" t="s">
        <v>1852</v>
      </c>
      <c r="G439" t="s">
        <v>13</v>
      </c>
      <c r="H439" t="s">
        <v>678</v>
      </c>
    </row>
    <row r="440" spans="1:8" x14ac:dyDescent="0.25">
      <c r="A440">
        <v>439</v>
      </c>
      <c r="B440" t="s">
        <v>1853</v>
      </c>
      <c r="C440" t="s">
        <v>1854</v>
      </c>
      <c r="D440" t="s">
        <v>1855</v>
      </c>
      <c r="E440" t="s">
        <v>18</v>
      </c>
      <c r="F440" t="s">
        <v>1856</v>
      </c>
      <c r="G440" t="s">
        <v>13</v>
      </c>
      <c r="H440" t="s">
        <v>549</v>
      </c>
    </row>
    <row r="441" spans="1:8" x14ac:dyDescent="0.25">
      <c r="B441" t="s">
        <v>1857</v>
      </c>
      <c r="C441" t="s">
        <v>1858</v>
      </c>
      <c r="D441" t="s">
        <v>1859</v>
      </c>
      <c r="E441" t="s">
        <v>11</v>
      </c>
      <c r="F441" t="s">
        <v>1860</v>
      </c>
      <c r="G441" t="s">
        <v>13</v>
      </c>
      <c r="H441" t="s">
        <v>66</v>
      </c>
    </row>
    <row r="442" spans="1:8" x14ac:dyDescent="0.25">
      <c r="A442">
        <v>441</v>
      </c>
      <c r="B442" t="s">
        <v>1861</v>
      </c>
      <c r="C442" t="s">
        <v>1862</v>
      </c>
      <c r="D442" t="s">
        <v>1863</v>
      </c>
      <c r="E442" t="s">
        <v>18</v>
      </c>
      <c r="F442" t="s">
        <v>1864</v>
      </c>
      <c r="G442" t="s">
        <v>13</v>
      </c>
      <c r="H442" t="s">
        <v>602</v>
      </c>
    </row>
    <row r="443" spans="1:8" x14ac:dyDescent="0.25">
      <c r="A443">
        <v>442</v>
      </c>
      <c r="B443" t="s">
        <v>1865</v>
      </c>
      <c r="C443" t="s">
        <v>1866</v>
      </c>
      <c r="D443" t="s">
        <v>1867</v>
      </c>
      <c r="E443" t="s">
        <v>18</v>
      </c>
      <c r="F443" t="s">
        <v>1868</v>
      </c>
      <c r="G443" t="s">
        <v>13</v>
      </c>
      <c r="H443" t="s">
        <v>276</v>
      </c>
    </row>
    <row r="444" spans="1:8" x14ac:dyDescent="0.25">
      <c r="A444">
        <v>443</v>
      </c>
      <c r="B444" t="s">
        <v>1869</v>
      </c>
      <c r="C444" t="s">
        <v>1870</v>
      </c>
      <c r="D444" t="s">
        <v>1871</v>
      </c>
      <c r="E444" t="s">
        <v>11</v>
      </c>
      <c r="F444" t="s">
        <v>1872</v>
      </c>
      <c r="G444" t="s">
        <v>13</v>
      </c>
      <c r="H444" t="s">
        <v>14</v>
      </c>
    </row>
    <row r="445" spans="1:8" x14ac:dyDescent="0.25">
      <c r="A445">
        <v>444</v>
      </c>
      <c r="B445" t="s">
        <v>1873</v>
      </c>
      <c r="C445" t="s">
        <v>1874</v>
      </c>
      <c r="D445" t="s">
        <v>1875</v>
      </c>
      <c r="E445" t="s">
        <v>11</v>
      </c>
      <c r="F445" t="s">
        <v>1876</v>
      </c>
      <c r="G445" t="s">
        <v>13</v>
      </c>
      <c r="H445" t="s">
        <v>350</v>
      </c>
    </row>
    <row r="446" spans="1:8" x14ac:dyDescent="0.25">
      <c r="A446">
        <v>445</v>
      </c>
      <c r="B446" t="s">
        <v>1877</v>
      </c>
      <c r="C446" t="s">
        <v>1878</v>
      </c>
      <c r="D446" t="s">
        <v>1879</v>
      </c>
      <c r="E446" t="s">
        <v>228</v>
      </c>
      <c r="F446" t="s">
        <v>1880</v>
      </c>
      <c r="G446" t="s">
        <v>13</v>
      </c>
      <c r="H446" t="s">
        <v>130</v>
      </c>
    </row>
    <row r="447" spans="1:8" x14ac:dyDescent="0.25">
      <c r="A447">
        <v>446</v>
      </c>
      <c r="B447" t="s">
        <v>1881</v>
      </c>
      <c r="C447" t="s">
        <v>1882</v>
      </c>
      <c r="D447" t="s">
        <v>1883</v>
      </c>
      <c r="E447" t="s">
        <v>11</v>
      </c>
      <c r="F447" t="s">
        <v>1884</v>
      </c>
      <c r="G447" t="s">
        <v>13</v>
      </c>
      <c r="H447" t="s">
        <v>91</v>
      </c>
    </row>
    <row r="448" spans="1:8" x14ac:dyDescent="0.25">
      <c r="A448">
        <v>447</v>
      </c>
      <c r="B448" t="s">
        <v>1885</v>
      </c>
      <c r="C448" t="s">
        <v>1886</v>
      </c>
      <c r="D448" t="s">
        <v>1887</v>
      </c>
      <c r="E448" t="s">
        <v>18</v>
      </c>
      <c r="F448" t="s">
        <v>1888</v>
      </c>
      <c r="G448" t="s">
        <v>13</v>
      </c>
      <c r="H448" t="s">
        <v>1771</v>
      </c>
    </row>
    <row r="449" spans="1:8" x14ac:dyDescent="0.25">
      <c r="A449">
        <v>448</v>
      </c>
      <c r="B449" t="s">
        <v>1889</v>
      </c>
      <c r="C449" t="s">
        <v>1890</v>
      </c>
      <c r="D449" t="s">
        <v>1891</v>
      </c>
      <c r="E449" t="s">
        <v>18</v>
      </c>
      <c r="F449" t="s">
        <v>1892</v>
      </c>
      <c r="G449" t="s">
        <v>13</v>
      </c>
      <c r="H449" t="s">
        <v>809</v>
      </c>
    </row>
    <row r="450" spans="1:8" x14ac:dyDescent="0.25">
      <c r="A450">
        <v>449</v>
      </c>
      <c r="B450" t="s">
        <v>1893</v>
      </c>
      <c r="C450" t="s">
        <v>1894</v>
      </c>
      <c r="D450" t="s">
        <v>1895</v>
      </c>
      <c r="E450" t="s">
        <v>11</v>
      </c>
      <c r="F450" t="s">
        <v>1896</v>
      </c>
      <c r="G450" t="s">
        <v>13</v>
      </c>
      <c r="H450" t="s">
        <v>809</v>
      </c>
    </row>
    <row r="451" spans="1:8" x14ac:dyDescent="0.25">
      <c r="A451">
        <v>450</v>
      </c>
      <c r="B451" t="s">
        <v>1897</v>
      </c>
      <c r="C451" t="s">
        <v>1898</v>
      </c>
      <c r="D451" t="s">
        <v>1899</v>
      </c>
      <c r="E451" t="s">
        <v>11</v>
      </c>
      <c r="F451" t="s">
        <v>1900</v>
      </c>
      <c r="G451" t="s">
        <v>13</v>
      </c>
      <c r="H451" t="s">
        <v>673</v>
      </c>
    </row>
    <row r="452" spans="1:8" x14ac:dyDescent="0.25">
      <c r="B452" t="s">
        <v>1901</v>
      </c>
      <c r="C452" t="s">
        <v>1902</v>
      </c>
      <c r="E452" t="s">
        <v>11</v>
      </c>
      <c r="F452" t="s">
        <v>1903</v>
      </c>
      <c r="G452" t="s">
        <v>13</v>
      </c>
      <c r="H452" t="s">
        <v>215</v>
      </c>
    </row>
    <row r="453" spans="1:8" x14ac:dyDescent="0.25">
      <c r="A453">
        <v>452</v>
      </c>
      <c r="B453" t="s">
        <v>1904</v>
      </c>
      <c r="C453" t="s">
        <v>1905</v>
      </c>
      <c r="D453" t="s">
        <v>1906</v>
      </c>
      <c r="E453" t="s">
        <v>11</v>
      </c>
      <c r="F453" t="s">
        <v>1907</v>
      </c>
      <c r="G453" t="s">
        <v>13</v>
      </c>
      <c r="H453" t="s">
        <v>51</v>
      </c>
    </row>
    <row r="454" spans="1:8" x14ac:dyDescent="0.25">
      <c r="A454">
        <v>453</v>
      </c>
      <c r="B454" t="s">
        <v>1908</v>
      </c>
      <c r="C454" t="s">
        <v>1909</v>
      </c>
      <c r="D454" t="s">
        <v>1910</v>
      </c>
      <c r="E454" t="s">
        <v>11</v>
      </c>
      <c r="F454" t="s">
        <v>1911</v>
      </c>
      <c r="G454" t="s">
        <v>13</v>
      </c>
      <c r="H454" t="s">
        <v>1771</v>
      </c>
    </row>
    <row r="455" spans="1:8" x14ac:dyDescent="0.25">
      <c r="A455">
        <v>454</v>
      </c>
      <c r="B455" t="s">
        <v>1912</v>
      </c>
      <c r="C455" t="s">
        <v>1913</v>
      </c>
      <c r="D455" t="s">
        <v>1914</v>
      </c>
      <c r="E455" t="s">
        <v>11</v>
      </c>
      <c r="F455" t="s">
        <v>1915</v>
      </c>
      <c r="G455" t="s">
        <v>13</v>
      </c>
      <c r="H455" t="s">
        <v>120</v>
      </c>
    </row>
    <row r="456" spans="1:8" x14ac:dyDescent="0.25">
      <c r="A456">
        <v>455</v>
      </c>
      <c r="B456" t="s">
        <v>1916</v>
      </c>
      <c r="C456" t="s">
        <v>1917</v>
      </c>
      <c r="D456" t="s">
        <v>1918</v>
      </c>
      <c r="E456" t="s">
        <v>11</v>
      </c>
      <c r="F456" t="s">
        <v>1919</v>
      </c>
      <c r="G456" t="s">
        <v>13</v>
      </c>
      <c r="H456" t="s">
        <v>487</v>
      </c>
    </row>
    <row r="457" spans="1:8" x14ac:dyDescent="0.25">
      <c r="A457">
        <v>456</v>
      </c>
      <c r="B457" t="s">
        <v>1920</v>
      </c>
      <c r="C457" t="s">
        <v>1921</v>
      </c>
      <c r="D457" t="s">
        <v>1922</v>
      </c>
      <c r="E457" t="s">
        <v>18</v>
      </c>
      <c r="F457" t="s">
        <v>1923</v>
      </c>
      <c r="G457" t="s">
        <v>13</v>
      </c>
      <c r="H457" t="s">
        <v>51</v>
      </c>
    </row>
    <row r="458" spans="1:8" x14ac:dyDescent="0.25">
      <c r="A458">
        <v>457</v>
      </c>
      <c r="B458" t="s">
        <v>1924</v>
      </c>
      <c r="C458" t="s">
        <v>1925</v>
      </c>
      <c r="D458" t="s">
        <v>1926</v>
      </c>
      <c r="E458" t="s">
        <v>18</v>
      </c>
      <c r="F458" t="s">
        <v>1927</v>
      </c>
      <c r="G458" t="s">
        <v>13</v>
      </c>
      <c r="H458" t="s">
        <v>173</v>
      </c>
    </row>
    <row r="459" spans="1:8" x14ac:dyDescent="0.25">
      <c r="A459">
        <v>458</v>
      </c>
      <c r="B459" t="s">
        <v>1928</v>
      </c>
      <c r="C459" t="s">
        <v>1929</v>
      </c>
      <c r="D459" t="s">
        <v>1930</v>
      </c>
      <c r="E459" t="s">
        <v>18</v>
      </c>
      <c r="F459" t="s">
        <v>1931</v>
      </c>
      <c r="G459" t="s">
        <v>13</v>
      </c>
      <c r="H459" t="s">
        <v>210</v>
      </c>
    </row>
    <row r="460" spans="1:8" x14ac:dyDescent="0.25">
      <c r="A460">
        <v>459</v>
      </c>
      <c r="B460" t="s">
        <v>982</v>
      </c>
      <c r="C460" t="s">
        <v>1932</v>
      </c>
      <c r="D460" t="s">
        <v>1933</v>
      </c>
      <c r="E460" t="s">
        <v>11</v>
      </c>
      <c r="F460" t="s">
        <v>1934</v>
      </c>
      <c r="G460" t="s">
        <v>13</v>
      </c>
      <c r="H460" t="s">
        <v>1187</v>
      </c>
    </row>
    <row r="461" spans="1:8" x14ac:dyDescent="0.25">
      <c r="A461">
        <v>460</v>
      </c>
      <c r="B461" t="s">
        <v>1935</v>
      </c>
      <c r="C461" t="s">
        <v>922</v>
      </c>
      <c r="D461" t="s">
        <v>1936</v>
      </c>
      <c r="E461" t="s">
        <v>18</v>
      </c>
      <c r="F461" t="s">
        <v>1937</v>
      </c>
      <c r="G461" t="s">
        <v>13</v>
      </c>
      <c r="H461" t="s">
        <v>66</v>
      </c>
    </row>
    <row r="462" spans="1:8" x14ac:dyDescent="0.25">
      <c r="A462">
        <v>461</v>
      </c>
      <c r="B462" t="s">
        <v>1938</v>
      </c>
      <c r="C462" t="s">
        <v>1939</v>
      </c>
      <c r="D462" t="s">
        <v>1940</v>
      </c>
      <c r="E462" t="s">
        <v>11</v>
      </c>
      <c r="F462" t="s">
        <v>1941</v>
      </c>
      <c r="G462" t="s">
        <v>13</v>
      </c>
      <c r="H462" t="s">
        <v>101</v>
      </c>
    </row>
    <row r="463" spans="1:8" x14ac:dyDescent="0.25">
      <c r="A463">
        <v>462</v>
      </c>
      <c r="B463" t="s">
        <v>1942</v>
      </c>
      <c r="C463" t="s">
        <v>1943</v>
      </c>
      <c r="D463" t="s">
        <v>1944</v>
      </c>
      <c r="E463" t="s">
        <v>11</v>
      </c>
      <c r="F463" t="s">
        <v>1945</v>
      </c>
      <c r="G463" t="s">
        <v>13</v>
      </c>
      <c r="H463" t="s">
        <v>183</v>
      </c>
    </row>
    <row r="464" spans="1:8" x14ac:dyDescent="0.25">
      <c r="A464">
        <v>463</v>
      </c>
      <c r="B464" t="s">
        <v>1946</v>
      </c>
      <c r="C464" t="s">
        <v>1947</v>
      </c>
      <c r="D464" t="s">
        <v>1948</v>
      </c>
      <c r="E464" t="s">
        <v>11</v>
      </c>
      <c r="F464" t="s">
        <v>1949</v>
      </c>
      <c r="G464" t="s">
        <v>13</v>
      </c>
      <c r="H464" t="s">
        <v>86</v>
      </c>
    </row>
    <row r="465" spans="1:8" x14ac:dyDescent="0.25">
      <c r="A465">
        <v>464</v>
      </c>
      <c r="B465" t="s">
        <v>1950</v>
      </c>
      <c r="C465" t="s">
        <v>1951</v>
      </c>
      <c r="D465" t="s">
        <v>1952</v>
      </c>
      <c r="E465" t="s">
        <v>18</v>
      </c>
      <c r="F465" t="s">
        <v>1953</v>
      </c>
      <c r="G465" t="s">
        <v>13</v>
      </c>
      <c r="H465" t="s">
        <v>916</v>
      </c>
    </row>
    <row r="466" spans="1:8" x14ac:dyDescent="0.25">
      <c r="A466">
        <v>465</v>
      </c>
      <c r="B466" t="s">
        <v>1954</v>
      </c>
      <c r="C466" t="s">
        <v>1955</v>
      </c>
      <c r="D466" t="s">
        <v>1956</v>
      </c>
      <c r="E466" t="s">
        <v>11</v>
      </c>
      <c r="F466" t="s">
        <v>1957</v>
      </c>
      <c r="G466" t="s">
        <v>13</v>
      </c>
      <c r="H466" t="s">
        <v>287</v>
      </c>
    </row>
    <row r="467" spans="1:8" x14ac:dyDescent="0.25">
      <c r="A467">
        <v>466</v>
      </c>
      <c r="B467" t="s">
        <v>1958</v>
      </c>
      <c r="C467" t="s">
        <v>1959</v>
      </c>
      <c r="D467" t="s">
        <v>1960</v>
      </c>
      <c r="E467" t="s">
        <v>11</v>
      </c>
      <c r="F467" t="s">
        <v>1961</v>
      </c>
      <c r="G467" t="s">
        <v>13</v>
      </c>
      <c r="H467" t="s">
        <v>296</v>
      </c>
    </row>
    <row r="468" spans="1:8" x14ac:dyDescent="0.25">
      <c r="B468" t="s">
        <v>1962</v>
      </c>
      <c r="C468" t="s">
        <v>1963</v>
      </c>
      <c r="D468" t="s">
        <v>1964</v>
      </c>
      <c r="E468" t="s">
        <v>11</v>
      </c>
      <c r="F468" t="s">
        <v>1965</v>
      </c>
      <c r="G468" t="s">
        <v>13</v>
      </c>
      <c r="H468" t="s">
        <v>135</v>
      </c>
    </row>
    <row r="469" spans="1:8" x14ac:dyDescent="0.25">
      <c r="A469">
        <v>468</v>
      </c>
      <c r="B469" t="s">
        <v>1966</v>
      </c>
      <c r="C469" t="s">
        <v>1967</v>
      </c>
      <c r="D469" t="s">
        <v>1968</v>
      </c>
      <c r="E469" t="s">
        <v>18</v>
      </c>
      <c r="F469" t="s">
        <v>1969</v>
      </c>
      <c r="G469" t="s">
        <v>13</v>
      </c>
      <c r="H469" t="s">
        <v>360</v>
      </c>
    </row>
    <row r="470" spans="1:8" x14ac:dyDescent="0.25">
      <c r="A470">
        <v>469</v>
      </c>
      <c r="B470" t="s">
        <v>77</v>
      </c>
      <c r="C470" t="s">
        <v>1970</v>
      </c>
      <c r="D470" t="s">
        <v>1971</v>
      </c>
      <c r="E470" t="s">
        <v>11</v>
      </c>
      <c r="F470" t="s">
        <v>1972</v>
      </c>
      <c r="G470" t="s">
        <v>13</v>
      </c>
      <c r="H470" t="s">
        <v>20</v>
      </c>
    </row>
    <row r="471" spans="1:8" x14ac:dyDescent="0.25">
      <c r="A471">
        <v>470</v>
      </c>
      <c r="B471" t="s">
        <v>1973</v>
      </c>
      <c r="C471" t="s">
        <v>1974</v>
      </c>
      <c r="D471" t="s">
        <v>1975</v>
      </c>
      <c r="E471" t="s">
        <v>18</v>
      </c>
      <c r="F471" t="s">
        <v>1976</v>
      </c>
      <c r="G471" t="s">
        <v>13</v>
      </c>
      <c r="H471" t="s">
        <v>31</v>
      </c>
    </row>
    <row r="472" spans="1:8" x14ac:dyDescent="0.25">
      <c r="A472">
        <v>471</v>
      </c>
      <c r="B472" t="s">
        <v>1302</v>
      </c>
      <c r="C472" t="s">
        <v>1977</v>
      </c>
      <c r="D472" t="s">
        <v>1978</v>
      </c>
      <c r="E472" t="s">
        <v>11</v>
      </c>
      <c r="F472" t="s">
        <v>1979</v>
      </c>
      <c r="G472" t="s">
        <v>13</v>
      </c>
      <c r="H472" t="s">
        <v>183</v>
      </c>
    </row>
    <row r="473" spans="1:8" x14ac:dyDescent="0.25">
      <c r="B473" t="s">
        <v>1980</v>
      </c>
      <c r="C473" t="s">
        <v>1981</v>
      </c>
      <c r="D473" t="s">
        <v>1982</v>
      </c>
      <c r="E473" t="s">
        <v>11</v>
      </c>
      <c r="F473" t="s">
        <v>1983</v>
      </c>
      <c r="G473" t="s">
        <v>13</v>
      </c>
      <c r="H473" t="s">
        <v>120</v>
      </c>
    </row>
    <row r="474" spans="1:8" x14ac:dyDescent="0.25">
      <c r="A474">
        <v>473</v>
      </c>
      <c r="B474" t="s">
        <v>1984</v>
      </c>
      <c r="C474" t="s">
        <v>1985</v>
      </c>
      <c r="D474" t="s">
        <v>1986</v>
      </c>
      <c r="E474" t="s">
        <v>11</v>
      </c>
      <c r="F474" t="s">
        <v>1987</v>
      </c>
      <c r="G474" t="s">
        <v>13</v>
      </c>
      <c r="H474" t="s">
        <v>814</v>
      </c>
    </row>
    <row r="475" spans="1:8" x14ac:dyDescent="0.25">
      <c r="A475">
        <v>474</v>
      </c>
      <c r="B475" t="s">
        <v>1988</v>
      </c>
      <c r="C475" t="s">
        <v>1989</v>
      </c>
      <c r="D475" t="s">
        <v>1990</v>
      </c>
      <c r="E475" t="s">
        <v>18</v>
      </c>
      <c r="F475" t="s">
        <v>1991</v>
      </c>
      <c r="G475" t="s">
        <v>13</v>
      </c>
      <c r="H475" t="s">
        <v>71</v>
      </c>
    </row>
    <row r="476" spans="1:8" x14ac:dyDescent="0.25">
      <c r="A476">
        <v>475</v>
      </c>
      <c r="B476" t="s">
        <v>1992</v>
      </c>
      <c r="C476" t="s">
        <v>1993</v>
      </c>
      <c r="D476" t="s">
        <v>1994</v>
      </c>
      <c r="E476" t="s">
        <v>11</v>
      </c>
      <c r="F476" t="s">
        <v>1995</v>
      </c>
      <c r="G476" t="s">
        <v>13</v>
      </c>
      <c r="H476" t="s">
        <v>687</v>
      </c>
    </row>
    <row r="477" spans="1:8" x14ac:dyDescent="0.25">
      <c r="A477">
        <v>476</v>
      </c>
      <c r="B477" t="s">
        <v>1996</v>
      </c>
      <c r="C477" t="s">
        <v>1997</v>
      </c>
      <c r="D477" t="s">
        <v>1998</v>
      </c>
      <c r="E477" t="s">
        <v>18</v>
      </c>
      <c r="F477" t="s">
        <v>1999</v>
      </c>
      <c r="G477" t="s">
        <v>13</v>
      </c>
      <c r="H477" t="s">
        <v>597</v>
      </c>
    </row>
    <row r="478" spans="1:8" x14ac:dyDescent="0.25">
      <c r="A478">
        <v>477</v>
      </c>
      <c r="B478" t="s">
        <v>2000</v>
      </c>
      <c r="C478" t="s">
        <v>2001</v>
      </c>
      <c r="D478" t="s">
        <v>2002</v>
      </c>
      <c r="E478" t="s">
        <v>18</v>
      </c>
      <c r="F478" t="s">
        <v>2003</v>
      </c>
      <c r="G478" t="s">
        <v>13</v>
      </c>
      <c r="H478" t="s">
        <v>814</v>
      </c>
    </row>
    <row r="479" spans="1:8" x14ac:dyDescent="0.25">
      <c r="A479">
        <v>478</v>
      </c>
      <c r="B479" t="s">
        <v>2004</v>
      </c>
      <c r="C479" t="s">
        <v>2005</v>
      </c>
      <c r="E479" t="s">
        <v>769</v>
      </c>
      <c r="F479" t="s">
        <v>2006</v>
      </c>
      <c r="G479" t="s">
        <v>13</v>
      </c>
      <c r="H479" t="s">
        <v>399</v>
      </c>
    </row>
    <row r="480" spans="1:8" x14ac:dyDescent="0.25">
      <c r="A480">
        <v>479</v>
      </c>
      <c r="B480" t="s">
        <v>2007</v>
      </c>
      <c r="C480" t="s">
        <v>2008</v>
      </c>
      <c r="D480" t="s">
        <v>2009</v>
      </c>
      <c r="E480" t="s">
        <v>18</v>
      </c>
      <c r="F480" t="s">
        <v>2010</v>
      </c>
      <c r="G480" t="s">
        <v>13</v>
      </c>
      <c r="H480" t="s">
        <v>210</v>
      </c>
    </row>
    <row r="481" spans="1:8" x14ac:dyDescent="0.25">
      <c r="A481">
        <v>480</v>
      </c>
      <c r="B481" t="s">
        <v>2011</v>
      </c>
      <c r="C481" t="s">
        <v>2012</v>
      </c>
      <c r="D481" t="s">
        <v>2013</v>
      </c>
      <c r="E481" t="s">
        <v>18</v>
      </c>
      <c r="F481" t="s">
        <v>2014</v>
      </c>
      <c r="G481" t="s">
        <v>13</v>
      </c>
      <c r="H481" t="s">
        <v>173</v>
      </c>
    </row>
    <row r="482" spans="1:8" x14ac:dyDescent="0.25">
      <c r="A482">
        <v>481</v>
      </c>
      <c r="B482" t="s">
        <v>467</v>
      </c>
      <c r="C482" t="s">
        <v>2015</v>
      </c>
      <c r="D482" t="s">
        <v>2016</v>
      </c>
      <c r="E482" t="s">
        <v>18</v>
      </c>
      <c r="F482" t="s">
        <v>2017</v>
      </c>
      <c r="G482" t="s">
        <v>4035</v>
      </c>
      <c r="H482" t="s">
        <v>101</v>
      </c>
    </row>
    <row r="483" spans="1:8" x14ac:dyDescent="0.25">
      <c r="A483">
        <v>482</v>
      </c>
      <c r="B483" t="s">
        <v>2018</v>
      </c>
      <c r="C483" t="s">
        <v>2019</v>
      </c>
      <c r="D483" t="s">
        <v>2020</v>
      </c>
      <c r="E483" t="s">
        <v>11</v>
      </c>
      <c r="F483" t="s">
        <v>2021</v>
      </c>
      <c r="G483" t="s">
        <v>13</v>
      </c>
      <c r="H483" t="s">
        <v>1017</v>
      </c>
    </row>
    <row r="484" spans="1:8" x14ac:dyDescent="0.25">
      <c r="A484">
        <v>483</v>
      </c>
      <c r="B484" t="s">
        <v>2022</v>
      </c>
      <c r="C484" t="s">
        <v>2023</v>
      </c>
      <c r="D484" t="s">
        <v>2024</v>
      </c>
      <c r="E484" t="s">
        <v>18</v>
      </c>
      <c r="F484" t="s">
        <v>2025</v>
      </c>
      <c r="G484" t="s">
        <v>13</v>
      </c>
      <c r="H484" t="s">
        <v>641</v>
      </c>
    </row>
    <row r="485" spans="1:8" x14ac:dyDescent="0.25">
      <c r="A485">
        <v>484</v>
      </c>
      <c r="B485" t="s">
        <v>2026</v>
      </c>
      <c r="C485" t="s">
        <v>2027</v>
      </c>
      <c r="D485" t="s">
        <v>2028</v>
      </c>
      <c r="E485" t="s">
        <v>11</v>
      </c>
      <c r="F485" t="s">
        <v>2029</v>
      </c>
      <c r="G485" t="s">
        <v>13</v>
      </c>
      <c r="H485" t="s">
        <v>404</v>
      </c>
    </row>
    <row r="486" spans="1:8" x14ac:dyDescent="0.25">
      <c r="A486">
        <v>485</v>
      </c>
      <c r="B486" t="s">
        <v>2030</v>
      </c>
      <c r="C486" t="s">
        <v>2031</v>
      </c>
      <c r="D486" t="s">
        <v>2032</v>
      </c>
      <c r="E486" t="s">
        <v>18</v>
      </c>
      <c r="F486" t="s">
        <v>2033</v>
      </c>
      <c r="G486" t="s">
        <v>13</v>
      </c>
      <c r="H486" t="s">
        <v>549</v>
      </c>
    </row>
    <row r="487" spans="1:8" x14ac:dyDescent="0.25">
      <c r="A487">
        <v>486</v>
      </c>
      <c r="B487" t="s">
        <v>2034</v>
      </c>
      <c r="C487" t="s">
        <v>2035</v>
      </c>
      <c r="D487" t="s">
        <v>2036</v>
      </c>
      <c r="E487" t="s">
        <v>18</v>
      </c>
      <c r="F487" t="s">
        <v>2037</v>
      </c>
      <c r="G487" t="s">
        <v>13</v>
      </c>
      <c r="H487" t="s">
        <v>360</v>
      </c>
    </row>
    <row r="488" spans="1:8" x14ac:dyDescent="0.25">
      <c r="B488" t="s">
        <v>2038</v>
      </c>
      <c r="C488" t="s">
        <v>2039</v>
      </c>
      <c r="D488" t="s">
        <v>2040</v>
      </c>
      <c r="E488" t="s">
        <v>18</v>
      </c>
      <c r="F488" t="s">
        <v>2041</v>
      </c>
      <c r="G488" t="s">
        <v>13</v>
      </c>
      <c r="H488" t="s">
        <v>705</v>
      </c>
    </row>
    <row r="489" spans="1:8" x14ac:dyDescent="0.25">
      <c r="A489">
        <v>488</v>
      </c>
      <c r="B489" t="s">
        <v>2042</v>
      </c>
      <c r="C489" t="s">
        <v>2043</v>
      </c>
      <c r="D489" t="s">
        <v>2044</v>
      </c>
      <c r="E489" t="s">
        <v>11</v>
      </c>
      <c r="F489" t="s">
        <v>2045</v>
      </c>
      <c r="G489" t="s">
        <v>13</v>
      </c>
      <c r="H489" t="s">
        <v>602</v>
      </c>
    </row>
    <row r="490" spans="1:8" x14ac:dyDescent="0.25">
      <c r="A490">
        <v>489</v>
      </c>
      <c r="B490" t="s">
        <v>2046</v>
      </c>
      <c r="C490" t="s">
        <v>2047</v>
      </c>
      <c r="D490" t="s">
        <v>2048</v>
      </c>
      <c r="E490" t="s">
        <v>18</v>
      </c>
      <c r="F490" t="s">
        <v>2049</v>
      </c>
      <c r="G490" t="s">
        <v>13</v>
      </c>
      <c r="H490" t="s">
        <v>135</v>
      </c>
    </row>
    <row r="491" spans="1:8" x14ac:dyDescent="0.25">
      <c r="A491">
        <v>490</v>
      </c>
      <c r="B491" t="s">
        <v>2050</v>
      </c>
      <c r="C491" t="s">
        <v>2051</v>
      </c>
      <c r="D491" t="s">
        <v>2052</v>
      </c>
      <c r="E491" t="s">
        <v>18</v>
      </c>
      <c r="F491" t="s">
        <v>2053</v>
      </c>
      <c r="G491" t="s">
        <v>13</v>
      </c>
      <c r="H491" t="s">
        <v>178</v>
      </c>
    </row>
    <row r="492" spans="1:8" x14ac:dyDescent="0.25">
      <c r="A492">
        <v>491</v>
      </c>
      <c r="B492" t="s">
        <v>2054</v>
      </c>
      <c r="C492" t="s">
        <v>2055</v>
      </c>
      <c r="D492" t="s">
        <v>2056</v>
      </c>
      <c r="E492" t="s">
        <v>18</v>
      </c>
      <c r="F492" t="s">
        <v>2057</v>
      </c>
      <c r="G492" t="s">
        <v>13</v>
      </c>
      <c r="H492" t="s">
        <v>149</v>
      </c>
    </row>
    <row r="493" spans="1:8" x14ac:dyDescent="0.25">
      <c r="A493">
        <v>492</v>
      </c>
      <c r="B493" t="s">
        <v>2058</v>
      </c>
      <c r="C493" t="s">
        <v>2059</v>
      </c>
      <c r="D493" t="s">
        <v>2060</v>
      </c>
      <c r="E493" t="s">
        <v>11</v>
      </c>
      <c r="F493" t="s">
        <v>2061</v>
      </c>
      <c r="G493" t="s">
        <v>13</v>
      </c>
      <c r="H493" t="s">
        <v>230</v>
      </c>
    </row>
    <row r="494" spans="1:8" x14ac:dyDescent="0.25">
      <c r="B494" t="s">
        <v>2062</v>
      </c>
      <c r="C494" t="s">
        <v>2063</v>
      </c>
      <c r="D494" t="s">
        <v>2064</v>
      </c>
      <c r="E494" t="s">
        <v>11</v>
      </c>
      <c r="F494" t="s">
        <v>2065</v>
      </c>
      <c r="G494" t="s">
        <v>13</v>
      </c>
      <c r="H494" t="s">
        <v>814</v>
      </c>
    </row>
    <row r="495" spans="1:8" x14ac:dyDescent="0.25">
      <c r="A495">
        <v>494</v>
      </c>
      <c r="B495" t="s">
        <v>2066</v>
      </c>
      <c r="C495" t="s">
        <v>2067</v>
      </c>
      <c r="D495" t="s">
        <v>2068</v>
      </c>
      <c r="E495" t="s">
        <v>18</v>
      </c>
      <c r="F495" t="s">
        <v>2069</v>
      </c>
      <c r="G495" t="s">
        <v>13</v>
      </c>
      <c r="H495" t="s">
        <v>308</v>
      </c>
    </row>
    <row r="496" spans="1:8" x14ac:dyDescent="0.25">
      <c r="A496">
        <v>495</v>
      </c>
      <c r="B496" t="s">
        <v>2070</v>
      </c>
      <c r="C496" t="s">
        <v>2071</v>
      </c>
      <c r="D496" t="s">
        <v>2072</v>
      </c>
      <c r="E496" t="s">
        <v>280</v>
      </c>
      <c r="F496" t="s">
        <v>2073</v>
      </c>
      <c r="G496" t="s">
        <v>13</v>
      </c>
      <c r="H496" t="s">
        <v>322</v>
      </c>
    </row>
    <row r="497" spans="1:8" x14ac:dyDescent="0.25">
      <c r="A497">
        <v>496</v>
      </c>
      <c r="B497" t="s">
        <v>2074</v>
      </c>
      <c r="C497" t="s">
        <v>2075</v>
      </c>
      <c r="D497" t="s">
        <v>2076</v>
      </c>
      <c r="E497" t="s">
        <v>18</v>
      </c>
      <c r="F497" t="s">
        <v>2077</v>
      </c>
      <c r="G497" t="s">
        <v>13</v>
      </c>
      <c r="H497" t="s">
        <v>20</v>
      </c>
    </row>
    <row r="498" spans="1:8" x14ac:dyDescent="0.25">
      <c r="A498">
        <v>497</v>
      </c>
      <c r="B498" t="s">
        <v>2078</v>
      </c>
      <c r="C498" t="s">
        <v>2079</v>
      </c>
      <c r="D498" t="s">
        <v>2080</v>
      </c>
      <c r="E498" t="s">
        <v>11</v>
      </c>
      <c r="F498" t="s">
        <v>2081</v>
      </c>
      <c r="G498" t="s">
        <v>13</v>
      </c>
      <c r="H498" t="s">
        <v>1187</v>
      </c>
    </row>
    <row r="499" spans="1:8" x14ac:dyDescent="0.25">
      <c r="A499">
        <v>498</v>
      </c>
      <c r="B499" t="s">
        <v>2082</v>
      </c>
      <c r="C499" t="s">
        <v>2083</v>
      </c>
      <c r="D499" t="s">
        <v>2084</v>
      </c>
      <c r="E499" t="s">
        <v>11</v>
      </c>
      <c r="F499" t="s">
        <v>2085</v>
      </c>
      <c r="G499" t="s">
        <v>13</v>
      </c>
      <c r="H499" t="s">
        <v>1634</v>
      </c>
    </row>
    <row r="500" spans="1:8" x14ac:dyDescent="0.25">
      <c r="B500" t="s">
        <v>2086</v>
      </c>
      <c r="C500" t="s">
        <v>2087</v>
      </c>
      <c r="D500" t="s">
        <v>2088</v>
      </c>
      <c r="E500" t="s">
        <v>11</v>
      </c>
      <c r="F500" t="s">
        <v>2089</v>
      </c>
      <c r="G500" t="s">
        <v>13</v>
      </c>
      <c r="H500" t="s">
        <v>154</v>
      </c>
    </row>
    <row r="501" spans="1:8" x14ac:dyDescent="0.25">
      <c r="B501" t="s">
        <v>2090</v>
      </c>
      <c r="C501" t="s">
        <v>2091</v>
      </c>
      <c r="D501" t="s">
        <v>2092</v>
      </c>
      <c r="E501" t="s">
        <v>18</v>
      </c>
      <c r="F501" t="s">
        <v>2093</v>
      </c>
      <c r="G501" t="s">
        <v>13</v>
      </c>
      <c r="H501" t="s">
        <v>125</v>
      </c>
    </row>
    <row r="502" spans="1:8" x14ac:dyDescent="0.25">
      <c r="A502">
        <v>501</v>
      </c>
      <c r="B502" t="s">
        <v>1626</v>
      </c>
      <c r="C502" t="s">
        <v>2094</v>
      </c>
      <c r="D502" t="s">
        <v>2095</v>
      </c>
      <c r="E502" t="s">
        <v>11</v>
      </c>
      <c r="F502" t="s">
        <v>2096</v>
      </c>
      <c r="G502" t="s">
        <v>13</v>
      </c>
      <c r="H502" t="s">
        <v>14</v>
      </c>
    </row>
    <row r="503" spans="1:8" x14ac:dyDescent="0.25">
      <c r="A503">
        <v>502</v>
      </c>
      <c r="B503" t="s">
        <v>2097</v>
      </c>
      <c r="C503" t="s">
        <v>2098</v>
      </c>
      <c r="D503" t="s">
        <v>2099</v>
      </c>
      <c r="E503" t="s">
        <v>18</v>
      </c>
      <c r="F503" t="s">
        <v>2100</v>
      </c>
      <c r="G503" t="s">
        <v>13</v>
      </c>
      <c r="H503" t="s">
        <v>135</v>
      </c>
    </row>
    <row r="504" spans="1:8" x14ac:dyDescent="0.25">
      <c r="A504">
        <v>503</v>
      </c>
      <c r="B504" t="s">
        <v>2101</v>
      </c>
      <c r="C504" t="s">
        <v>2102</v>
      </c>
      <c r="D504" t="s">
        <v>2103</v>
      </c>
      <c r="E504" t="s">
        <v>18</v>
      </c>
      <c r="F504" t="s">
        <v>2104</v>
      </c>
      <c r="G504" t="s">
        <v>13</v>
      </c>
      <c r="H504" t="s">
        <v>71</v>
      </c>
    </row>
    <row r="505" spans="1:8" x14ac:dyDescent="0.25">
      <c r="A505">
        <v>504</v>
      </c>
      <c r="B505" t="s">
        <v>2105</v>
      </c>
      <c r="C505" t="s">
        <v>2106</v>
      </c>
      <c r="D505" t="s">
        <v>2107</v>
      </c>
      <c r="E505" t="s">
        <v>18</v>
      </c>
      <c r="F505" t="s">
        <v>2108</v>
      </c>
      <c r="G505" t="s">
        <v>13</v>
      </c>
      <c r="H505" t="s">
        <v>125</v>
      </c>
    </row>
    <row r="506" spans="1:8" x14ac:dyDescent="0.25">
      <c r="A506">
        <v>505</v>
      </c>
      <c r="B506" t="s">
        <v>2109</v>
      </c>
      <c r="C506" t="s">
        <v>2110</v>
      </c>
      <c r="D506" t="s">
        <v>2111</v>
      </c>
      <c r="E506" t="s">
        <v>11</v>
      </c>
      <c r="F506" t="s">
        <v>2112</v>
      </c>
      <c r="G506" t="s">
        <v>13</v>
      </c>
      <c r="H506" t="s">
        <v>779</v>
      </c>
    </row>
    <row r="507" spans="1:8" x14ac:dyDescent="0.25">
      <c r="A507">
        <v>506</v>
      </c>
      <c r="B507" t="s">
        <v>2113</v>
      </c>
      <c r="C507" t="s">
        <v>2114</v>
      </c>
      <c r="D507" t="s">
        <v>2115</v>
      </c>
      <c r="E507" t="s">
        <v>18</v>
      </c>
      <c r="F507" t="s">
        <v>2116</v>
      </c>
      <c r="G507" t="s">
        <v>13</v>
      </c>
      <c r="H507" t="s">
        <v>687</v>
      </c>
    </row>
    <row r="508" spans="1:8" x14ac:dyDescent="0.25">
      <c r="A508">
        <v>507</v>
      </c>
      <c r="B508" t="s">
        <v>2117</v>
      </c>
      <c r="C508" t="s">
        <v>2118</v>
      </c>
      <c r="D508" t="s">
        <v>2119</v>
      </c>
      <c r="E508" t="s">
        <v>274</v>
      </c>
      <c r="F508" t="s">
        <v>2120</v>
      </c>
      <c r="G508" t="s">
        <v>13</v>
      </c>
      <c r="H508" t="s">
        <v>673</v>
      </c>
    </row>
    <row r="509" spans="1:8" x14ac:dyDescent="0.25">
      <c r="A509">
        <v>508</v>
      </c>
      <c r="B509" t="s">
        <v>2121</v>
      </c>
      <c r="C509" t="s">
        <v>2122</v>
      </c>
      <c r="D509" t="s">
        <v>2123</v>
      </c>
      <c r="E509" t="s">
        <v>274</v>
      </c>
      <c r="F509" t="s">
        <v>2124</v>
      </c>
      <c r="G509" t="s">
        <v>13</v>
      </c>
      <c r="H509" t="s">
        <v>135</v>
      </c>
    </row>
    <row r="510" spans="1:8" x14ac:dyDescent="0.25">
      <c r="A510">
        <v>509</v>
      </c>
      <c r="B510" t="s">
        <v>2125</v>
      </c>
      <c r="C510" t="s">
        <v>2126</v>
      </c>
      <c r="D510" t="s">
        <v>2127</v>
      </c>
      <c r="E510" t="s">
        <v>358</v>
      </c>
      <c r="F510" t="s">
        <v>2128</v>
      </c>
      <c r="G510" t="s">
        <v>13</v>
      </c>
      <c r="H510" t="s">
        <v>215</v>
      </c>
    </row>
    <row r="511" spans="1:8" x14ac:dyDescent="0.25">
      <c r="A511">
        <v>510</v>
      </c>
      <c r="B511" t="s">
        <v>2129</v>
      </c>
      <c r="C511" t="s">
        <v>2130</v>
      </c>
      <c r="D511" t="s">
        <v>2131</v>
      </c>
      <c r="E511" t="s">
        <v>18</v>
      </c>
      <c r="F511" t="s">
        <v>2132</v>
      </c>
      <c r="G511" t="s">
        <v>13</v>
      </c>
      <c r="H511" t="s">
        <v>399</v>
      </c>
    </row>
    <row r="512" spans="1:8" x14ac:dyDescent="0.25">
      <c r="A512">
        <v>511</v>
      </c>
      <c r="B512" t="s">
        <v>2133</v>
      </c>
      <c r="C512" t="s">
        <v>2134</v>
      </c>
      <c r="D512" t="s">
        <v>2135</v>
      </c>
      <c r="E512" t="s">
        <v>18</v>
      </c>
      <c r="F512" t="s">
        <v>2136</v>
      </c>
      <c r="G512" t="s">
        <v>13</v>
      </c>
      <c r="H512" t="s">
        <v>379</v>
      </c>
    </row>
    <row r="513" spans="1:8" x14ac:dyDescent="0.25">
      <c r="A513">
        <v>512</v>
      </c>
      <c r="B513" t="s">
        <v>2137</v>
      </c>
      <c r="C513" t="s">
        <v>2138</v>
      </c>
      <c r="D513" t="s">
        <v>2139</v>
      </c>
      <c r="E513" t="s">
        <v>11</v>
      </c>
      <c r="F513" t="s">
        <v>2140</v>
      </c>
      <c r="G513" t="s">
        <v>13</v>
      </c>
      <c r="H513" t="s">
        <v>374</v>
      </c>
    </row>
    <row r="514" spans="1:8" x14ac:dyDescent="0.25">
      <c r="A514">
        <v>513</v>
      </c>
      <c r="B514" t="s">
        <v>2141</v>
      </c>
      <c r="C514" t="s">
        <v>2142</v>
      </c>
      <c r="E514" t="s">
        <v>18</v>
      </c>
      <c r="F514" t="s">
        <v>2143</v>
      </c>
      <c r="G514" t="s">
        <v>13</v>
      </c>
      <c r="H514" t="s">
        <v>86</v>
      </c>
    </row>
    <row r="515" spans="1:8" x14ac:dyDescent="0.25">
      <c r="B515" t="s">
        <v>2144</v>
      </c>
      <c r="C515" t="s">
        <v>2145</v>
      </c>
      <c r="D515" t="s">
        <v>2146</v>
      </c>
      <c r="E515" t="s">
        <v>18</v>
      </c>
      <c r="F515" t="s">
        <v>2147</v>
      </c>
      <c r="G515" t="s">
        <v>13</v>
      </c>
      <c r="H515" t="s">
        <v>276</v>
      </c>
    </row>
    <row r="516" spans="1:8" x14ac:dyDescent="0.25">
      <c r="A516">
        <v>515</v>
      </c>
      <c r="B516" t="s">
        <v>2148</v>
      </c>
      <c r="C516" t="s">
        <v>2149</v>
      </c>
      <c r="D516" t="s">
        <v>2150</v>
      </c>
      <c r="E516" t="s">
        <v>18</v>
      </c>
      <c r="F516" t="s">
        <v>2151</v>
      </c>
      <c r="G516" t="s">
        <v>13</v>
      </c>
      <c r="H516" t="s">
        <v>804</v>
      </c>
    </row>
    <row r="517" spans="1:8" x14ac:dyDescent="0.25">
      <c r="A517">
        <v>516</v>
      </c>
      <c r="B517" t="s">
        <v>2152</v>
      </c>
      <c r="C517" t="s">
        <v>2153</v>
      </c>
      <c r="D517" t="s">
        <v>2154</v>
      </c>
      <c r="E517" t="s">
        <v>18</v>
      </c>
      <c r="F517" t="s">
        <v>2155</v>
      </c>
      <c r="G517" t="s">
        <v>13</v>
      </c>
      <c r="H517" t="s">
        <v>91</v>
      </c>
    </row>
    <row r="518" spans="1:8" x14ac:dyDescent="0.25">
      <c r="A518">
        <v>517</v>
      </c>
      <c r="B518" t="s">
        <v>2156</v>
      </c>
      <c r="C518" t="s">
        <v>2157</v>
      </c>
      <c r="D518" t="s">
        <v>2158</v>
      </c>
      <c r="E518" t="s">
        <v>11</v>
      </c>
      <c r="F518" t="s">
        <v>2159</v>
      </c>
      <c r="G518" t="s">
        <v>13</v>
      </c>
      <c r="H518" t="s">
        <v>71</v>
      </c>
    </row>
    <row r="519" spans="1:8" x14ac:dyDescent="0.25">
      <c r="A519">
        <v>518</v>
      </c>
      <c r="B519" t="s">
        <v>2160</v>
      </c>
      <c r="C519" t="s">
        <v>2161</v>
      </c>
      <c r="D519" t="s">
        <v>2162</v>
      </c>
      <c r="E519" t="s">
        <v>18</v>
      </c>
      <c r="F519" t="s">
        <v>2163</v>
      </c>
      <c r="G519" t="s">
        <v>13</v>
      </c>
      <c r="H519" t="s">
        <v>814</v>
      </c>
    </row>
    <row r="520" spans="1:8" x14ac:dyDescent="0.25">
      <c r="A520">
        <v>519</v>
      </c>
      <c r="B520" t="s">
        <v>2164</v>
      </c>
      <c r="C520" t="s">
        <v>2165</v>
      </c>
      <c r="D520" t="s">
        <v>2166</v>
      </c>
      <c r="E520" t="s">
        <v>11</v>
      </c>
      <c r="F520" t="s">
        <v>2167</v>
      </c>
      <c r="G520" t="s">
        <v>13</v>
      </c>
      <c r="H520" t="s">
        <v>224</v>
      </c>
    </row>
    <row r="521" spans="1:8" x14ac:dyDescent="0.25">
      <c r="A521">
        <v>520</v>
      </c>
      <c r="B521" t="s">
        <v>2168</v>
      </c>
      <c r="C521" t="s">
        <v>2169</v>
      </c>
      <c r="D521" t="s">
        <v>2170</v>
      </c>
      <c r="E521" t="s">
        <v>11</v>
      </c>
      <c r="F521" t="s">
        <v>2171</v>
      </c>
      <c r="G521" t="s">
        <v>13</v>
      </c>
      <c r="H521" t="s">
        <v>140</v>
      </c>
    </row>
    <row r="522" spans="1:8" x14ac:dyDescent="0.25">
      <c r="A522">
        <v>521</v>
      </c>
      <c r="B522" t="s">
        <v>2172</v>
      </c>
      <c r="C522" t="s">
        <v>2173</v>
      </c>
      <c r="D522" t="s">
        <v>2174</v>
      </c>
      <c r="E522" t="s">
        <v>11</v>
      </c>
      <c r="F522" t="s">
        <v>2175</v>
      </c>
      <c r="G522" t="s">
        <v>13</v>
      </c>
      <c r="H522" t="s">
        <v>365</v>
      </c>
    </row>
    <row r="523" spans="1:8" x14ac:dyDescent="0.25">
      <c r="A523">
        <v>522</v>
      </c>
      <c r="B523" t="s">
        <v>2176</v>
      </c>
      <c r="C523" t="s">
        <v>1091</v>
      </c>
      <c r="D523" t="s">
        <v>2177</v>
      </c>
      <c r="E523" t="s">
        <v>18</v>
      </c>
      <c r="F523" t="s">
        <v>2178</v>
      </c>
      <c r="G523" t="s">
        <v>13</v>
      </c>
      <c r="H523" t="s">
        <v>597</v>
      </c>
    </row>
    <row r="524" spans="1:8" x14ac:dyDescent="0.25">
      <c r="A524">
        <v>523</v>
      </c>
      <c r="B524" t="s">
        <v>2179</v>
      </c>
      <c r="C524" t="s">
        <v>2180</v>
      </c>
      <c r="D524" t="s">
        <v>2181</v>
      </c>
      <c r="E524" t="s">
        <v>18</v>
      </c>
      <c r="F524" t="s">
        <v>2182</v>
      </c>
      <c r="G524" t="s">
        <v>13</v>
      </c>
      <c r="H524" t="s">
        <v>1432</v>
      </c>
    </row>
    <row r="525" spans="1:8" x14ac:dyDescent="0.25">
      <c r="A525">
        <v>524</v>
      </c>
      <c r="B525" t="s">
        <v>2183</v>
      </c>
      <c r="C525" t="s">
        <v>2184</v>
      </c>
      <c r="D525" t="s">
        <v>2185</v>
      </c>
      <c r="E525" t="s">
        <v>11</v>
      </c>
      <c r="F525" t="s">
        <v>2186</v>
      </c>
      <c r="G525" t="s">
        <v>13</v>
      </c>
      <c r="H525" t="s">
        <v>655</v>
      </c>
    </row>
    <row r="526" spans="1:8" x14ac:dyDescent="0.25">
      <c r="B526" t="s">
        <v>2187</v>
      </c>
      <c r="C526" t="s">
        <v>2188</v>
      </c>
      <c r="D526" t="s">
        <v>2189</v>
      </c>
      <c r="E526" t="s">
        <v>11</v>
      </c>
      <c r="F526" t="s">
        <v>2190</v>
      </c>
      <c r="G526" t="s">
        <v>13</v>
      </c>
      <c r="H526" t="s">
        <v>163</v>
      </c>
    </row>
    <row r="527" spans="1:8" x14ac:dyDescent="0.25">
      <c r="A527">
        <v>526</v>
      </c>
      <c r="B527" t="s">
        <v>2191</v>
      </c>
      <c r="C527" t="s">
        <v>2192</v>
      </c>
      <c r="D527" t="s">
        <v>2193</v>
      </c>
      <c r="E527" t="s">
        <v>18</v>
      </c>
      <c r="F527" t="s">
        <v>2194</v>
      </c>
      <c r="G527" t="s">
        <v>13</v>
      </c>
      <c r="H527" t="s">
        <v>425</v>
      </c>
    </row>
    <row r="528" spans="1:8" x14ac:dyDescent="0.25">
      <c r="A528">
        <v>527</v>
      </c>
      <c r="B528" t="s">
        <v>2195</v>
      </c>
      <c r="C528" t="s">
        <v>2196</v>
      </c>
      <c r="D528" t="s">
        <v>2197</v>
      </c>
      <c r="E528" t="s">
        <v>18</v>
      </c>
      <c r="F528" t="s">
        <v>2198</v>
      </c>
      <c r="G528" t="s">
        <v>13</v>
      </c>
      <c r="H528" t="s">
        <v>76</v>
      </c>
    </row>
    <row r="529" spans="1:8" x14ac:dyDescent="0.25">
      <c r="A529">
        <v>528</v>
      </c>
      <c r="B529" t="s">
        <v>2199</v>
      </c>
      <c r="C529" t="s">
        <v>2200</v>
      </c>
      <c r="D529" t="s">
        <v>2201</v>
      </c>
      <c r="E529" t="s">
        <v>18</v>
      </c>
      <c r="F529" t="s">
        <v>2202</v>
      </c>
      <c r="G529" t="s">
        <v>13</v>
      </c>
      <c r="H529" t="s">
        <v>322</v>
      </c>
    </row>
    <row r="530" spans="1:8" x14ac:dyDescent="0.25">
      <c r="A530">
        <v>529</v>
      </c>
      <c r="B530" t="s">
        <v>2203</v>
      </c>
      <c r="C530" t="s">
        <v>2204</v>
      </c>
      <c r="D530" t="s">
        <v>2205</v>
      </c>
      <c r="E530" t="s">
        <v>11</v>
      </c>
      <c r="F530" t="s">
        <v>2206</v>
      </c>
      <c r="G530" t="s">
        <v>13</v>
      </c>
      <c r="H530" t="s">
        <v>809</v>
      </c>
    </row>
    <row r="531" spans="1:8" x14ac:dyDescent="0.25">
      <c r="A531">
        <v>530</v>
      </c>
      <c r="B531" t="s">
        <v>2207</v>
      </c>
      <c r="C531" t="s">
        <v>2208</v>
      </c>
      <c r="D531" t="s">
        <v>2209</v>
      </c>
      <c r="E531" t="s">
        <v>18</v>
      </c>
      <c r="F531" t="s">
        <v>2210</v>
      </c>
      <c r="G531" t="s">
        <v>13</v>
      </c>
      <c r="H531" t="s">
        <v>215</v>
      </c>
    </row>
    <row r="532" spans="1:8" x14ac:dyDescent="0.25">
      <c r="A532">
        <v>531</v>
      </c>
      <c r="B532" t="s">
        <v>2211</v>
      </c>
      <c r="C532" t="s">
        <v>2212</v>
      </c>
      <c r="D532" t="s">
        <v>2213</v>
      </c>
      <c r="E532" t="s">
        <v>18</v>
      </c>
      <c r="F532" t="s">
        <v>2214</v>
      </c>
      <c r="G532" t="s">
        <v>13</v>
      </c>
      <c r="H532" t="s">
        <v>655</v>
      </c>
    </row>
    <row r="533" spans="1:8" x14ac:dyDescent="0.25">
      <c r="A533">
        <v>532</v>
      </c>
      <c r="B533" t="s">
        <v>2215</v>
      </c>
      <c r="C533" t="s">
        <v>2216</v>
      </c>
      <c r="D533" t="s">
        <v>2217</v>
      </c>
      <c r="E533" t="s">
        <v>18</v>
      </c>
      <c r="F533" t="s">
        <v>2218</v>
      </c>
      <c r="G533" t="s">
        <v>13</v>
      </c>
      <c r="H533" t="s">
        <v>655</v>
      </c>
    </row>
    <row r="534" spans="1:8" x14ac:dyDescent="0.25">
      <c r="A534">
        <v>533</v>
      </c>
      <c r="B534" t="s">
        <v>2219</v>
      </c>
      <c r="C534" t="s">
        <v>2220</v>
      </c>
      <c r="D534" t="s">
        <v>2221</v>
      </c>
      <c r="E534" t="s">
        <v>18</v>
      </c>
      <c r="F534" t="s">
        <v>2222</v>
      </c>
      <c r="G534" t="s">
        <v>13</v>
      </c>
      <c r="H534" t="s">
        <v>243</v>
      </c>
    </row>
    <row r="535" spans="1:8" x14ac:dyDescent="0.25">
      <c r="A535">
        <v>534</v>
      </c>
      <c r="B535" t="s">
        <v>2223</v>
      </c>
      <c r="C535" t="s">
        <v>2224</v>
      </c>
      <c r="D535" t="s">
        <v>2225</v>
      </c>
      <c r="E535" t="s">
        <v>11</v>
      </c>
      <c r="F535" t="s">
        <v>2226</v>
      </c>
      <c r="G535" t="s">
        <v>13</v>
      </c>
      <c r="H535" t="s">
        <v>183</v>
      </c>
    </row>
    <row r="536" spans="1:8" x14ac:dyDescent="0.25">
      <c r="A536">
        <v>535</v>
      </c>
      <c r="B536" t="s">
        <v>1739</v>
      </c>
      <c r="C536" t="s">
        <v>2227</v>
      </c>
      <c r="D536" t="s">
        <v>2228</v>
      </c>
      <c r="E536" t="s">
        <v>18</v>
      </c>
      <c r="F536" t="s">
        <v>2229</v>
      </c>
      <c r="G536" t="s">
        <v>13</v>
      </c>
      <c r="H536" t="s">
        <v>404</v>
      </c>
    </row>
    <row r="537" spans="1:8" x14ac:dyDescent="0.25">
      <c r="A537">
        <v>536</v>
      </c>
      <c r="B537" t="s">
        <v>2230</v>
      </c>
      <c r="C537" t="s">
        <v>2231</v>
      </c>
      <c r="D537" t="s">
        <v>2232</v>
      </c>
      <c r="E537" t="s">
        <v>11</v>
      </c>
      <c r="F537" t="s">
        <v>2233</v>
      </c>
      <c r="G537" t="s">
        <v>13</v>
      </c>
      <c r="H537" t="s">
        <v>261</v>
      </c>
    </row>
    <row r="538" spans="1:8" x14ac:dyDescent="0.25">
      <c r="B538" t="s">
        <v>2234</v>
      </c>
      <c r="C538" t="s">
        <v>2235</v>
      </c>
      <c r="D538" t="s">
        <v>2236</v>
      </c>
      <c r="E538" t="s">
        <v>11</v>
      </c>
      <c r="F538" t="s">
        <v>2237</v>
      </c>
      <c r="G538" t="s">
        <v>13</v>
      </c>
      <c r="H538" t="s">
        <v>183</v>
      </c>
    </row>
    <row r="539" spans="1:8" x14ac:dyDescent="0.25">
      <c r="A539">
        <v>538</v>
      </c>
      <c r="B539" t="s">
        <v>2238</v>
      </c>
      <c r="C539" t="s">
        <v>2239</v>
      </c>
      <c r="D539" t="s">
        <v>2240</v>
      </c>
      <c r="E539" t="s">
        <v>18</v>
      </c>
      <c r="F539" t="s">
        <v>2241</v>
      </c>
      <c r="G539" t="s">
        <v>13</v>
      </c>
      <c r="H539" t="s">
        <v>31</v>
      </c>
    </row>
    <row r="540" spans="1:8" x14ac:dyDescent="0.25">
      <c r="A540">
        <v>539</v>
      </c>
      <c r="B540" t="s">
        <v>2242</v>
      </c>
      <c r="C540" t="s">
        <v>2243</v>
      </c>
      <c r="D540" t="s">
        <v>2244</v>
      </c>
      <c r="E540" t="s">
        <v>18</v>
      </c>
      <c r="F540" t="s">
        <v>2245</v>
      </c>
      <c r="G540" t="s">
        <v>13</v>
      </c>
      <c r="H540" t="s">
        <v>804</v>
      </c>
    </row>
    <row r="541" spans="1:8" x14ac:dyDescent="0.25">
      <c r="A541">
        <v>540</v>
      </c>
      <c r="B541" t="s">
        <v>1441</v>
      </c>
      <c r="C541" t="s">
        <v>2246</v>
      </c>
      <c r="D541" t="s">
        <v>2247</v>
      </c>
      <c r="E541" t="s">
        <v>11</v>
      </c>
      <c r="F541" t="s">
        <v>2248</v>
      </c>
      <c r="G541" t="s">
        <v>13</v>
      </c>
      <c r="H541" t="s">
        <v>20</v>
      </c>
    </row>
    <row r="542" spans="1:8" x14ac:dyDescent="0.25">
      <c r="A542">
        <v>541</v>
      </c>
      <c r="B542" t="s">
        <v>2249</v>
      </c>
      <c r="C542" t="s">
        <v>2250</v>
      </c>
      <c r="D542" t="s">
        <v>2251</v>
      </c>
      <c r="E542" t="s">
        <v>11</v>
      </c>
      <c r="F542" t="s">
        <v>2252</v>
      </c>
      <c r="G542" t="s">
        <v>13</v>
      </c>
      <c r="H542" t="s">
        <v>660</v>
      </c>
    </row>
    <row r="543" spans="1:8" x14ac:dyDescent="0.25">
      <c r="A543">
        <v>542</v>
      </c>
      <c r="B543" t="s">
        <v>2253</v>
      </c>
      <c r="C543" t="s">
        <v>2254</v>
      </c>
      <c r="D543" t="s">
        <v>2255</v>
      </c>
      <c r="E543" t="s">
        <v>11</v>
      </c>
      <c r="F543" t="s">
        <v>2256</v>
      </c>
      <c r="G543" t="s">
        <v>13</v>
      </c>
      <c r="H543" t="s">
        <v>404</v>
      </c>
    </row>
    <row r="544" spans="1:8" x14ac:dyDescent="0.25">
      <c r="A544">
        <v>543</v>
      </c>
      <c r="B544" t="s">
        <v>2257</v>
      </c>
      <c r="C544" t="s">
        <v>2258</v>
      </c>
      <c r="E544" t="s">
        <v>11</v>
      </c>
      <c r="F544" t="s">
        <v>2259</v>
      </c>
      <c r="G544" t="s">
        <v>13</v>
      </c>
      <c r="H544" t="s">
        <v>282</v>
      </c>
    </row>
    <row r="545" spans="1:8" x14ac:dyDescent="0.25">
      <c r="A545">
        <v>544</v>
      </c>
      <c r="B545" t="s">
        <v>2260</v>
      </c>
      <c r="C545" t="s">
        <v>2261</v>
      </c>
      <c r="D545" t="s">
        <v>2262</v>
      </c>
      <c r="E545" t="s">
        <v>18</v>
      </c>
      <c r="F545" t="s">
        <v>2263</v>
      </c>
      <c r="G545" t="s">
        <v>13</v>
      </c>
      <c r="H545" t="s">
        <v>183</v>
      </c>
    </row>
    <row r="546" spans="1:8" x14ac:dyDescent="0.25">
      <c r="A546">
        <v>545</v>
      </c>
      <c r="B546" t="s">
        <v>2264</v>
      </c>
      <c r="C546" t="s">
        <v>2265</v>
      </c>
      <c r="D546" t="s">
        <v>2266</v>
      </c>
      <c r="E546" t="s">
        <v>11</v>
      </c>
      <c r="F546" t="s">
        <v>2267</v>
      </c>
      <c r="G546" t="s">
        <v>13</v>
      </c>
      <c r="H546" t="s">
        <v>282</v>
      </c>
    </row>
    <row r="547" spans="1:8" x14ac:dyDescent="0.25">
      <c r="A547">
        <v>546</v>
      </c>
      <c r="B547" t="s">
        <v>42</v>
      </c>
      <c r="C547" t="s">
        <v>2268</v>
      </c>
      <c r="D547" t="s">
        <v>2269</v>
      </c>
      <c r="E547" t="s">
        <v>11</v>
      </c>
      <c r="F547" t="s">
        <v>2270</v>
      </c>
      <c r="G547" t="s">
        <v>13</v>
      </c>
      <c r="H547" t="s">
        <v>115</v>
      </c>
    </row>
    <row r="548" spans="1:8" x14ac:dyDescent="0.25">
      <c r="A548">
        <v>547</v>
      </c>
      <c r="B548" t="s">
        <v>1400</v>
      </c>
      <c r="C548" t="s">
        <v>2271</v>
      </c>
      <c r="D548" t="s">
        <v>2272</v>
      </c>
      <c r="E548" t="s">
        <v>18</v>
      </c>
      <c r="F548" t="s">
        <v>2273</v>
      </c>
      <c r="G548" t="s">
        <v>13</v>
      </c>
      <c r="H548" t="s">
        <v>61</v>
      </c>
    </row>
    <row r="549" spans="1:8" x14ac:dyDescent="0.25">
      <c r="A549">
        <v>548</v>
      </c>
      <c r="B549" t="s">
        <v>2274</v>
      </c>
      <c r="C549" t="s">
        <v>2275</v>
      </c>
      <c r="D549" t="s">
        <v>2276</v>
      </c>
      <c r="E549" t="s">
        <v>11</v>
      </c>
      <c r="F549" t="s">
        <v>2277</v>
      </c>
      <c r="G549" t="s">
        <v>13</v>
      </c>
      <c r="H549" t="s">
        <v>96</v>
      </c>
    </row>
    <row r="550" spans="1:8" x14ac:dyDescent="0.25">
      <c r="A550">
        <v>549</v>
      </c>
      <c r="B550" t="s">
        <v>2278</v>
      </c>
      <c r="C550" t="s">
        <v>2279</v>
      </c>
      <c r="D550" t="s">
        <v>2280</v>
      </c>
      <c r="E550" t="s">
        <v>11</v>
      </c>
      <c r="F550" t="s">
        <v>2281</v>
      </c>
      <c r="G550" t="s">
        <v>13</v>
      </c>
      <c r="H550" t="s">
        <v>839</v>
      </c>
    </row>
    <row r="551" spans="1:8" x14ac:dyDescent="0.25">
      <c r="A551">
        <v>550</v>
      </c>
      <c r="B551" t="s">
        <v>1131</v>
      </c>
      <c r="C551" t="s">
        <v>2282</v>
      </c>
      <c r="D551" t="s">
        <v>2283</v>
      </c>
      <c r="E551" t="s">
        <v>18</v>
      </c>
      <c r="F551" t="s">
        <v>2284</v>
      </c>
      <c r="G551" t="s">
        <v>13</v>
      </c>
      <c r="H551" t="s">
        <v>504</v>
      </c>
    </row>
    <row r="552" spans="1:8" x14ac:dyDescent="0.25">
      <c r="A552">
        <v>551</v>
      </c>
      <c r="B552" t="s">
        <v>2285</v>
      </c>
      <c r="C552" t="s">
        <v>2286</v>
      </c>
      <c r="D552" t="s">
        <v>2287</v>
      </c>
      <c r="E552" t="s">
        <v>18</v>
      </c>
      <c r="F552" t="s">
        <v>2288</v>
      </c>
      <c r="G552" t="s">
        <v>13</v>
      </c>
      <c r="H552" t="s">
        <v>210</v>
      </c>
    </row>
    <row r="553" spans="1:8" x14ac:dyDescent="0.25">
      <c r="A553">
        <v>552</v>
      </c>
      <c r="B553" t="s">
        <v>2289</v>
      </c>
      <c r="C553" t="s">
        <v>2290</v>
      </c>
      <c r="D553" t="s">
        <v>2291</v>
      </c>
      <c r="E553" t="s">
        <v>18</v>
      </c>
      <c r="F553" t="s">
        <v>2292</v>
      </c>
      <c r="G553" t="s">
        <v>13</v>
      </c>
      <c r="H553" t="s">
        <v>379</v>
      </c>
    </row>
    <row r="554" spans="1:8" x14ac:dyDescent="0.25">
      <c r="A554">
        <v>553</v>
      </c>
      <c r="B554" t="s">
        <v>2293</v>
      </c>
      <c r="C554" t="s">
        <v>2294</v>
      </c>
      <c r="D554" t="s">
        <v>2295</v>
      </c>
      <c r="E554" t="s">
        <v>11</v>
      </c>
      <c r="F554" t="s">
        <v>2296</v>
      </c>
      <c r="G554" t="s">
        <v>13</v>
      </c>
      <c r="H554" t="s">
        <v>215</v>
      </c>
    </row>
    <row r="555" spans="1:8" x14ac:dyDescent="0.25">
      <c r="A555">
        <v>554</v>
      </c>
      <c r="B555" t="s">
        <v>2297</v>
      </c>
      <c r="C555" t="s">
        <v>2298</v>
      </c>
      <c r="D555" t="s">
        <v>2299</v>
      </c>
      <c r="E555" t="s">
        <v>18</v>
      </c>
      <c r="F555" t="s">
        <v>2300</v>
      </c>
      <c r="G555" t="s">
        <v>13</v>
      </c>
      <c r="H555" t="s">
        <v>178</v>
      </c>
    </row>
    <row r="556" spans="1:8" x14ac:dyDescent="0.25">
      <c r="A556">
        <v>555</v>
      </c>
      <c r="B556" t="s">
        <v>2301</v>
      </c>
      <c r="C556" t="s">
        <v>2302</v>
      </c>
      <c r="D556" t="s">
        <v>2303</v>
      </c>
      <c r="E556" t="s">
        <v>18</v>
      </c>
      <c r="F556" t="s">
        <v>2304</v>
      </c>
      <c r="G556" t="s">
        <v>13</v>
      </c>
      <c r="H556" t="s">
        <v>66</v>
      </c>
    </row>
    <row r="557" spans="1:8" x14ac:dyDescent="0.25">
      <c r="A557">
        <v>556</v>
      </c>
      <c r="B557" t="s">
        <v>2305</v>
      </c>
      <c r="C557" t="s">
        <v>2306</v>
      </c>
      <c r="D557" t="s">
        <v>2307</v>
      </c>
      <c r="E557" t="s">
        <v>18</v>
      </c>
      <c r="F557" t="s">
        <v>2308</v>
      </c>
      <c r="G557" t="s">
        <v>13</v>
      </c>
      <c r="H557" t="s">
        <v>266</v>
      </c>
    </row>
    <row r="558" spans="1:8" x14ac:dyDescent="0.25">
      <c r="A558">
        <v>557</v>
      </c>
      <c r="B558" t="s">
        <v>2309</v>
      </c>
      <c r="C558" t="s">
        <v>2310</v>
      </c>
      <c r="D558" t="s">
        <v>2311</v>
      </c>
      <c r="E558" t="s">
        <v>18</v>
      </c>
      <c r="F558" t="s">
        <v>2312</v>
      </c>
      <c r="G558" t="s">
        <v>13</v>
      </c>
      <c r="H558" t="s">
        <v>61</v>
      </c>
    </row>
    <row r="559" spans="1:8" x14ac:dyDescent="0.25">
      <c r="A559">
        <v>558</v>
      </c>
      <c r="B559" t="s">
        <v>2313</v>
      </c>
      <c r="C559" t="s">
        <v>2314</v>
      </c>
      <c r="D559" t="s">
        <v>2315</v>
      </c>
      <c r="E559" t="s">
        <v>18</v>
      </c>
      <c r="F559" t="s">
        <v>2316</v>
      </c>
      <c r="G559" t="s">
        <v>13</v>
      </c>
      <c r="H559" t="s">
        <v>261</v>
      </c>
    </row>
    <row r="560" spans="1:8" x14ac:dyDescent="0.25">
      <c r="A560">
        <v>559</v>
      </c>
      <c r="B560" t="s">
        <v>2317</v>
      </c>
      <c r="C560" t="s">
        <v>2318</v>
      </c>
      <c r="D560" t="s">
        <v>2319</v>
      </c>
      <c r="E560" t="s">
        <v>280</v>
      </c>
      <c r="F560" t="s">
        <v>2320</v>
      </c>
      <c r="G560" t="s">
        <v>13</v>
      </c>
      <c r="H560" t="s">
        <v>168</v>
      </c>
    </row>
    <row r="561" spans="1:8" x14ac:dyDescent="0.25">
      <c r="A561">
        <v>560</v>
      </c>
      <c r="B561" t="s">
        <v>2321</v>
      </c>
      <c r="C561" t="s">
        <v>2322</v>
      </c>
      <c r="D561" t="s">
        <v>2323</v>
      </c>
      <c r="E561" t="s">
        <v>18</v>
      </c>
      <c r="F561" t="s">
        <v>2324</v>
      </c>
      <c r="G561" t="s">
        <v>13</v>
      </c>
      <c r="H561" t="s">
        <v>163</v>
      </c>
    </row>
    <row r="562" spans="1:8" x14ac:dyDescent="0.25">
      <c r="A562">
        <v>561</v>
      </c>
      <c r="B562" t="s">
        <v>2325</v>
      </c>
      <c r="C562" t="s">
        <v>2326</v>
      </c>
      <c r="D562" t="s">
        <v>2327</v>
      </c>
      <c r="E562" t="s">
        <v>11</v>
      </c>
      <c r="F562" t="s">
        <v>2328</v>
      </c>
      <c r="G562" t="s">
        <v>13</v>
      </c>
      <c r="H562" t="s">
        <v>673</v>
      </c>
    </row>
    <row r="563" spans="1:8" x14ac:dyDescent="0.25">
      <c r="A563">
        <v>562</v>
      </c>
      <c r="B563" t="s">
        <v>2329</v>
      </c>
      <c r="C563" t="s">
        <v>2330</v>
      </c>
      <c r="D563" t="s">
        <v>2331</v>
      </c>
      <c r="E563" t="s">
        <v>11</v>
      </c>
      <c r="F563" t="s">
        <v>2332</v>
      </c>
      <c r="G563" t="s">
        <v>13</v>
      </c>
      <c r="H563" t="s">
        <v>125</v>
      </c>
    </row>
    <row r="564" spans="1:8" x14ac:dyDescent="0.25">
      <c r="A564">
        <v>563</v>
      </c>
      <c r="B564" t="s">
        <v>2333</v>
      </c>
      <c r="C564" t="s">
        <v>2334</v>
      </c>
      <c r="D564" t="s">
        <v>2335</v>
      </c>
      <c r="E564" t="s">
        <v>11</v>
      </c>
      <c r="F564" t="s">
        <v>2336</v>
      </c>
      <c r="G564" t="s">
        <v>13</v>
      </c>
      <c r="H564" t="s">
        <v>1017</v>
      </c>
    </row>
    <row r="565" spans="1:8" x14ac:dyDescent="0.25">
      <c r="A565">
        <v>564</v>
      </c>
      <c r="B565" t="s">
        <v>2337</v>
      </c>
      <c r="C565" t="s">
        <v>2338</v>
      </c>
      <c r="D565" t="s">
        <v>2339</v>
      </c>
      <c r="E565" t="s">
        <v>18</v>
      </c>
      <c r="F565" t="s">
        <v>2340</v>
      </c>
      <c r="G565" t="s">
        <v>13</v>
      </c>
      <c r="H565" t="s">
        <v>183</v>
      </c>
    </row>
    <row r="566" spans="1:8" x14ac:dyDescent="0.25">
      <c r="A566">
        <v>565</v>
      </c>
      <c r="B566" t="s">
        <v>2341</v>
      </c>
      <c r="C566" t="s">
        <v>2342</v>
      </c>
      <c r="D566" t="s">
        <v>2343</v>
      </c>
      <c r="E566" t="s">
        <v>18</v>
      </c>
      <c r="F566" t="s">
        <v>2344</v>
      </c>
      <c r="G566" t="s">
        <v>13</v>
      </c>
      <c r="H566" t="s">
        <v>804</v>
      </c>
    </row>
    <row r="567" spans="1:8" x14ac:dyDescent="0.25">
      <c r="A567">
        <v>566</v>
      </c>
      <c r="B567" t="s">
        <v>2345</v>
      </c>
      <c r="C567" t="s">
        <v>2346</v>
      </c>
      <c r="D567" t="s">
        <v>2347</v>
      </c>
      <c r="E567" t="s">
        <v>18</v>
      </c>
      <c r="F567" t="s">
        <v>2348</v>
      </c>
      <c r="G567" t="s">
        <v>13</v>
      </c>
      <c r="H567" t="s">
        <v>399</v>
      </c>
    </row>
    <row r="568" spans="1:8" x14ac:dyDescent="0.25">
      <c r="B568" t="s">
        <v>2349</v>
      </c>
      <c r="C568" t="s">
        <v>2350</v>
      </c>
      <c r="D568" t="s">
        <v>2351</v>
      </c>
      <c r="E568" t="s">
        <v>11</v>
      </c>
      <c r="F568" t="s">
        <v>2352</v>
      </c>
      <c r="G568" t="s">
        <v>13</v>
      </c>
      <c r="H568" t="s">
        <v>20</v>
      </c>
    </row>
    <row r="569" spans="1:8" x14ac:dyDescent="0.25">
      <c r="A569">
        <v>568</v>
      </c>
      <c r="B569" t="s">
        <v>2353</v>
      </c>
      <c r="C569" t="s">
        <v>2354</v>
      </c>
      <c r="D569" t="s">
        <v>2355</v>
      </c>
      <c r="E569" t="s">
        <v>18</v>
      </c>
      <c r="F569" t="s">
        <v>2356</v>
      </c>
      <c r="G569" t="s">
        <v>13</v>
      </c>
      <c r="H569" t="s">
        <v>188</v>
      </c>
    </row>
    <row r="570" spans="1:8" x14ac:dyDescent="0.25">
      <c r="A570">
        <v>569</v>
      </c>
      <c r="B570" t="s">
        <v>2357</v>
      </c>
      <c r="C570" t="s">
        <v>2358</v>
      </c>
      <c r="D570" t="s">
        <v>2359</v>
      </c>
      <c r="E570" t="s">
        <v>18</v>
      </c>
      <c r="F570" t="s">
        <v>2360</v>
      </c>
      <c r="G570" t="s">
        <v>13</v>
      </c>
      <c r="H570" t="s">
        <v>101</v>
      </c>
    </row>
    <row r="571" spans="1:8" x14ac:dyDescent="0.25">
      <c r="A571">
        <v>570</v>
      </c>
      <c r="B571" t="s">
        <v>2361</v>
      </c>
      <c r="C571" t="s">
        <v>2362</v>
      </c>
      <c r="D571" t="s">
        <v>2363</v>
      </c>
      <c r="E571" t="s">
        <v>11</v>
      </c>
      <c r="F571" t="s">
        <v>2364</v>
      </c>
      <c r="G571" t="s">
        <v>13</v>
      </c>
      <c r="H571" t="s">
        <v>504</v>
      </c>
    </row>
    <row r="572" spans="1:8" x14ac:dyDescent="0.25">
      <c r="A572">
        <v>571</v>
      </c>
      <c r="B572" t="s">
        <v>2365</v>
      </c>
      <c r="C572" t="s">
        <v>2366</v>
      </c>
      <c r="D572" t="s">
        <v>2367</v>
      </c>
      <c r="E572" t="s">
        <v>18</v>
      </c>
      <c r="F572" t="s">
        <v>2368</v>
      </c>
      <c r="G572" t="s">
        <v>13</v>
      </c>
      <c r="H572" t="s">
        <v>96</v>
      </c>
    </row>
    <row r="573" spans="1:8" x14ac:dyDescent="0.25">
      <c r="A573">
        <v>572</v>
      </c>
      <c r="B573" t="s">
        <v>1946</v>
      </c>
      <c r="C573" t="s">
        <v>2369</v>
      </c>
      <c r="D573" t="s">
        <v>2370</v>
      </c>
      <c r="E573" t="s">
        <v>11</v>
      </c>
      <c r="F573" t="s">
        <v>2371</v>
      </c>
      <c r="G573" t="s">
        <v>13</v>
      </c>
      <c r="H573" t="s">
        <v>110</v>
      </c>
    </row>
    <row r="574" spans="1:8" x14ac:dyDescent="0.25">
      <c r="B574" t="s">
        <v>2372</v>
      </c>
      <c r="C574" t="s">
        <v>2373</v>
      </c>
      <c r="D574" t="s">
        <v>2374</v>
      </c>
      <c r="E574" t="s">
        <v>11</v>
      </c>
      <c r="F574" t="s">
        <v>2375</v>
      </c>
      <c r="G574" t="s">
        <v>13</v>
      </c>
      <c r="H574" t="s">
        <v>296</v>
      </c>
    </row>
    <row r="575" spans="1:8" x14ac:dyDescent="0.25">
      <c r="A575">
        <v>574</v>
      </c>
      <c r="B575" t="s">
        <v>1606</v>
      </c>
      <c r="C575" t="s">
        <v>2376</v>
      </c>
      <c r="D575" t="s">
        <v>2377</v>
      </c>
      <c r="E575" t="s">
        <v>18</v>
      </c>
      <c r="F575" t="s">
        <v>2378</v>
      </c>
      <c r="G575" t="s">
        <v>13</v>
      </c>
      <c r="H575" t="s">
        <v>779</v>
      </c>
    </row>
    <row r="576" spans="1:8" x14ac:dyDescent="0.25">
      <c r="A576">
        <v>575</v>
      </c>
      <c r="B576" t="s">
        <v>2379</v>
      </c>
      <c r="C576" t="s">
        <v>2380</v>
      </c>
      <c r="D576" t="s">
        <v>2381</v>
      </c>
      <c r="E576" t="s">
        <v>18</v>
      </c>
      <c r="F576" t="s">
        <v>2382</v>
      </c>
      <c r="G576" t="s">
        <v>13</v>
      </c>
      <c r="H576" t="s">
        <v>36</v>
      </c>
    </row>
    <row r="577" spans="1:8" x14ac:dyDescent="0.25">
      <c r="A577">
        <v>576</v>
      </c>
      <c r="B577" t="s">
        <v>2383</v>
      </c>
      <c r="C577" t="s">
        <v>2384</v>
      </c>
      <c r="E577" t="s">
        <v>11</v>
      </c>
      <c r="F577" t="s">
        <v>2385</v>
      </c>
      <c r="G577" t="s">
        <v>13</v>
      </c>
      <c r="H577" t="s">
        <v>36</v>
      </c>
    </row>
    <row r="578" spans="1:8" x14ac:dyDescent="0.25">
      <c r="A578">
        <v>577</v>
      </c>
      <c r="B578" t="s">
        <v>2386</v>
      </c>
      <c r="C578" t="s">
        <v>2387</v>
      </c>
      <c r="D578" t="s">
        <v>2388</v>
      </c>
      <c r="E578" t="s">
        <v>11</v>
      </c>
      <c r="F578" t="s">
        <v>2389</v>
      </c>
      <c r="G578" t="s">
        <v>13</v>
      </c>
      <c r="H578" t="s">
        <v>91</v>
      </c>
    </row>
    <row r="579" spans="1:8" x14ac:dyDescent="0.25">
      <c r="A579">
        <v>578</v>
      </c>
      <c r="B579" t="s">
        <v>2242</v>
      </c>
      <c r="C579" t="s">
        <v>2390</v>
      </c>
      <c r="D579" t="s">
        <v>2391</v>
      </c>
      <c r="E579" t="s">
        <v>18</v>
      </c>
      <c r="F579" t="s">
        <v>2392</v>
      </c>
      <c r="G579" t="s">
        <v>13</v>
      </c>
      <c r="H579" t="s">
        <v>308</v>
      </c>
    </row>
    <row r="580" spans="1:8" x14ac:dyDescent="0.25">
      <c r="A580">
        <v>579</v>
      </c>
      <c r="B580" t="s">
        <v>2393</v>
      </c>
      <c r="C580" t="s">
        <v>2394</v>
      </c>
      <c r="D580" t="s">
        <v>2395</v>
      </c>
      <c r="E580" t="s">
        <v>18</v>
      </c>
      <c r="F580" t="s">
        <v>2396</v>
      </c>
      <c r="G580" t="s">
        <v>13</v>
      </c>
      <c r="H580" t="s">
        <v>76</v>
      </c>
    </row>
    <row r="581" spans="1:8" x14ac:dyDescent="0.25">
      <c r="A581">
        <v>580</v>
      </c>
      <c r="B581" t="s">
        <v>2397</v>
      </c>
      <c r="C581" t="s">
        <v>2398</v>
      </c>
      <c r="D581" t="s">
        <v>2399</v>
      </c>
      <c r="E581" t="s">
        <v>11</v>
      </c>
      <c r="F581" t="s">
        <v>2400</v>
      </c>
      <c r="G581" t="s">
        <v>13</v>
      </c>
      <c r="H581" t="s">
        <v>438</v>
      </c>
    </row>
    <row r="582" spans="1:8" x14ac:dyDescent="0.25">
      <c r="A582">
        <v>581</v>
      </c>
      <c r="B582" t="s">
        <v>2401</v>
      </c>
      <c r="C582" t="s">
        <v>2402</v>
      </c>
      <c r="D582" t="s">
        <v>2403</v>
      </c>
      <c r="E582" t="s">
        <v>11</v>
      </c>
      <c r="F582" t="s">
        <v>2404</v>
      </c>
      <c r="G582" t="s">
        <v>13</v>
      </c>
      <c r="H582" t="s">
        <v>252</v>
      </c>
    </row>
    <row r="583" spans="1:8" x14ac:dyDescent="0.25">
      <c r="A583">
        <v>582</v>
      </c>
      <c r="B583" t="s">
        <v>2405</v>
      </c>
      <c r="C583" t="s">
        <v>2406</v>
      </c>
      <c r="D583" t="s">
        <v>2407</v>
      </c>
      <c r="E583" t="s">
        <v>18</v>
      </c>
      <c r="F583" t="s">
        <v>2408</v>
      </c>
      <c r="G583" t="s">
        <v>13</v>
      </c>
      <c r="H583" t="s">
        <v>705</v>
      </c>
    </row>
    <row r="584" spans="1:8" x14ac:dyDescent="0.25">
      <c r="A584">
        <v>583</v>
      </c>
      <c r="B584" t="s">
        <v>2409</v>
      </c>
      <c r="C584" t="s">
        <v>2410</v>
      </c>
      <c r="D584" t="s">
        <v>2411</v>
      </c>
      <c r="E584" t="s">
        <v>18</v>
      </c>
      <c r="F584" t="s">
        <v>2412</v>
      </c>
      <c r="G584" t="s">
        <v>13</v>
      </c>
      <c r="H584" t="s">
        <v>804</v>
      </c>
    </row>
    <row r="585" spans="1:8" x14ac:dyDescent="0.25">
      <c r="A585">
        <v>584</v>
      </c>
      <c r="B585" t="s">
        <v>2413</v>
      </c>
      <c r="C585" t="s">
        <v>2414</v>
      </c>
      <c r="D585" t="s">
        <v>2415</v>
      </c>
      <c r="E585" t="s">
        <v>18</v>
      </c>
      <c r="F585" t="s">
        <v>2416</v>
      </c>
      <c r="G585" t="s">
        <v>13</v>
      </c>
      <c r="H585" t="s">
        <v>1848</v>
      </c>
    </row>
    <row r="586" spans="1:8" x14ac:dyDescent="0.25">
      <c r="A586">
        <v>585</v>
      </c>
      <c r="B586" t="s">
        <v>2417</v>
      </c>
      <c r="C586" t="s">
        <v>2418</v>
      </c>
      <c r="D586" t="s">
        <v>2419</v>
      </c>
      <c r="E586" t="s">
        <v>228</v>
      </c>
      <c r="F586" t="s">
        <v>2420</v>
      </c>
      <c r="G586" t="s">
        <v>13</v>
      </c>
      <c r="H586" t="s">
        <v>31</v>
      </c>
    </row>
    <row r="587" spans="1:8" x14ac:dyDescent="0.25">
      <c r="A587">
        <v>586</v>
      </c>
      <c r="B587" t="s">
        <v>2421</v>
      </c>
      <c r="C587" t="s">
        <v>2422</v>
      </c>
      <c r="D587" t="s">
        <v>2423</v>
      </c>
      <c r="E587" t="s">
        <v>18</v>
      </c>
      <c r="F587" t="s">
        <v>2424</v>
      </c>
      <c r="G587" t="s">
        <v>13</v>
      </c>
      <c r="H587" t="s">
        <v>374</v>
      </c>
    </row>
    <row r="588" spans="1:8" x14ac:dyDescent="0.25">
      <c r="A588">
        <v>587</v>
      </c>
      <c r="B588" t="s">
        <v>2425</v>
      </c>
      <c r="C588" t="s">
        <v>2426</v>
      </c>
      <c r="D588" t="s">
        <v>2427</v>
      </c>
      <c r="E588" t="s">
        <v>11</v>
      </c>
      <c r="F588" t="s">
        <v>2428</v>
      </c>
      <c r="G588" t="s">
        <v>13</v>
      </c>
      <c r="H588" t="s">
        <v>700</v>
      </c>
    </row>
    <row r="589" spans="1:8" x14ac:dyDescent="0.25">
      <c r="A589">
        <v>588</v>
      </c>
      <c r="B589" t="s">
        <v>2429</v>
      </c>
      <c r="C589" t="s">
        <v>2430</v>
      </c>
      <c r="D589" t="s">
        <v>2431</v>
      </c>
      <c r="E589" t="s">
        <v>18</v>
      </c>
      <c r="F589" t="s">
        <v>2432</v>
      </c>
      <c r="G589" t="s">
        <v>13</v>
      </c>
      <c r="H589" t="s">
        <v>178</v>
      </c>
    </row>
    <row r="590" spans="1:8" x14ac:dyDescent="0.25">
      <c r="A590">
        <v>589</v>
      </c>
      <c r="B590" t="s">
        <v>2433</v>
      </c>
      <c r="C590" t="s">
        <v>2434</v>
      </c>
      <c r="D590" t="s">
        <v>2435</v>
      </c>
      <c r="E590" t="s">
        <v>11</v>
      </c>
      <c r="F590" t="s">
        <v>2436</v>
      </c>
      <c r="G590" t="s">
        <v>13</v>
      </c>
      <c r="H590" t="s">
        <v>71</v>
      </c>
    </row>
    <row r="591" spans="1:8" x14ac:dyDescent="0.25">
      <c r="A591">
        <v>590</v>
      </c>
      <c r="B591" t="s">
        <v>2437</v>
      </c>
      <c r="C591" t="s">
        <v>2438</v>
      </c>
      <c r="D591" t="s">
        <v>2439</v>
      </c>
      <c r="E591" t="s">
        <v>11</v>
      </c>
      <c r="F591" t="s">
        <v>2440</v>
      </c>
      <c r="G591" t="s">
        <v>13</v>
      </c>
      <c r="H591" t="s">
        <v>1634</v>
      </c>
    </row>
    <row r="592" spans="1:8" x14ac:dyDescent="0.25">
      <c r="B592" t="s">
        <v>2441</v>
      </c>
      <c r="C592" t="s">
        <v>2442</v>
      </c>
      <c r="D592" t="s">
        <v>2443</v>
      </c>
      <c r="E592" t="s">
        <v>18</v>
      </c>
      <c r="F592" t="s">
        <v>2444</v>
      </c>
      <c r="G592" t="s">
        <v>13</v>
      </c>
      <c r="H592" t="s">
        <v>276</v>
      </c>
    </row>
    <row r="593" spans="1:8" x14ac:dyDescent="0.25">
      <c r="A593">
        <v>592</v>
      </c>
      <c r="B593" t="s">
        <v>2445</v>
      </c>
      <c r="C593" t="s">
        <v>2446</v>
      </c>
      <c r="D593" t="s">
        <v>2447</v>
      </c>
      <c r="E593" t="s">
        <v>11</v>
      </c>
      <c r="F593" t="s">
        <v>2448</v>
      </c>
      <c r="G593" t="s">
        <v>13</v>
      </c>
      <c r="H593" t="s">
        <v>120</v>
      </c>
    </row>
    <row r="594" spans="1:8" x14ac:dyDescent="0.25">
      <c r="A594">
        <v>593</v>
      </c>
      <c r="B594" t="s">
        <v>2449</v>
      </c>
      <c r="C594" t="s">
        <v>2450</v>
      </c>
      <c r="D594" t="s">
        <v>2451</v>
      </c>
      <c r="E594" t="s">
        <v>11</v>
      </c>
      <c r="F594" t="s">
        <v>2452</v>
      </c>
      <c r="G594" t="s">
        <v>13</v>
      </c>
      <c r="H594" t="s">
        <v>71</v>
      </c>
    </row>
    <row r="595" spans="1:8" x14ac:dyDescent="0.25">
      <c r="A595">
        <v>594</v>
      </c>
      <c r="B595" t="s">
        <v>2453</v>
      </c>
      <c r="C595" t="s">
        <v>2454</v>
      </c>
      <c r="D595" t="s">
        <v>2455</v>
      </c>
      <c r="E595" t="s">
        <v>18</v>
      </c>
      <c r="F595" t="s">
        <v>2456</v>
      </c>
      <c r="G595" t="s">
        <v>13</v>
      </c>
      <c r="H595" t="s">
        <v>1848</v>
      </c>
    </row>
    <row r="596" spans="1:8" x14ac:dyDescent="0.25">
      <c r="A596">
        <v>595</v>
      </c>
      <c r="B596" t="s">
        <v>2457</v>
      </c>
      <c r="C596" t="s">
        <v>2458</v>
      </c>
      <c r="D596" t="s">
        <v>2459</v>
      </c>
      <c r="E596" t="s">
        <v>769</v>
      </c>
      <c r="F596" t="s">
        <v>2460</v>
      </c>
      <c r="G596" t="s">
        <v>13</v>
      </c>
      <c r="H596" t="s">
        <v>110</v>
      </c>
    </row>
    <row r="597" spans="1:8" x14ac:dyDescent="0.25">
      <c r="A597">
        <v>596</v>
      </c>
      <c r="B597" t="s">
        <v>2461</v>
      </c>
      <c r="C597" t="s">
        <v>2462</v>
      </c>
      <c r="D597" t="s">
        <v>2463</v>
      </c>
      <c r="E597" t="s">
        <v>358</v>
      </c>
      <c r="F597" t="s">
        <v>2464</v>
      </c>
      <c r="G597" t="s">
        <v>13</v>
      </c>
      <c r="H597" t="s">
        <v>287</v>
      </c>
    </row>
    <row r="598" spans="1:8" x14ac:dyDescent="0.25">
      <c r="A598">
        <v>597</v>
      </c>
      <c r="B598" t="s">
        <v>2465</v>
      </c>
      <c r="C598" t="s">
        <v>2466</v>
      </c>
      <c r="D598" t="s">
        <v>2467</v>
      </c>
      <c r="E598" t="s">
        <v>18</v>
      </c>
      <c r="F598" t="s">
        <v>2468</v>
      </c>
      <c r="G598" t="s">
        <v>13</v>
      </c>
      <c r="H598" t="s">
        <v>365</v>
      </c>
    </row>
    <row r="599" spans="1:8" x14ac:dyDescent="0.25">
      <c r="A599">
        <v>598</v>
      </c>
      <c r="B599" t="s">
        <v>2469</v>
      </c>
      <c r="C599" t="s">
        <v>2470</v>
      </c>
      <c r="D599" t="s">
        <v>2471</v>
      </c>
      <c r="E599" t="s">
        <v>11</v>
      </c>
      <c r="F599" t="s">
        <v>2472</v>
      </c>
      <c r="G599" t="s">
        <v>13</v>
      </c>
      <c r="H599" t="s">
        <v>81</v>
      </c>
    </row>
    <row r="600" spans="1:8" x14ac:dyDescent="0.25">
      <c r="A600">
        <v>599</v>
      </c>
      <c r="B600" t="s">
        <v>2473</v>
      </c>
      <c r="C600" t="s">
        <v>2474</v>
      </c>
      <c r="D600" t="s">
        <v>2475</v>
      </c>
      <c r="E600" t="s">
        <v>11</v>
      </c>
      <c r="F600" t="s">
        <v>2476</v>
      </c>
      <c r="G600" t="s">
        <v>13</v>
      </c>
      <c r="H600" t="s">
        <v>101</v>
      </c>
    </row>
    <row r="601" spans="1:8" x14ac:dyDescent="0.25">
      <c r="B601" t="s">
        <v>2477</v>
      </c>
      <c r="C601" t="s">
        <v>2478</v>
      </c>
      <c r="D601" t="s">
        <v>2479</v>
      </c>
      <c r="E601" t="s">
        <v>18</v>
      </c>
      <c r="F601" t="s">
        <v>2480</v>
      </c>
      <c r="G601" t="s">
        <v>13</v>
      </c>
      <c r="H601" t="s">
        <v>66</v>
      </c>
    </row>
    <row r="602" spans="1:8" x14ac:dyDescent="0.25">
      <c r="A602">
        <v>601</v>
      </c>
      <c r="B602" t="s">
        <v>2481</v>
      </c>
      <c r="C602" t="s">
        <v>2482</v>
      </c>
      <c r="D602" t="s">
        <v>2483</v>
      </c>
      <c r="E602" t="s">
        <v>11</v>
      </c>
      <c r="F602" t="s">
        <v>2484</v>
      </c>
      <c r="G602" t="s">
        <v>13</v>
      </c>
      <c r="H602" t="s">
        <v>243</v>
      </c>
    </row>
    <row r="603" spans="1:8" x14ac:dyDescent="0.25">
      <c r="A603">
        <v>602</v>
      </c>
      <c r="B603" t="s">
        <v>2485</v>
      </c>
      <c r="C603" t="s">
        <v>2486</v>
      </c>
      <c r="D603" t="s">
        <v>2487</v>
      </c>
      <c r="E603" t="s">
        <v>11</v>
      </c>
      <c r="F603" t="s">
        <v>2488</v>
      </c>
      <c r="G603" t="s">
        <v>13</v>
      </c>
      <c r="H603" t="s">
        <v>76</v>
      </c>
    </row>
    <row r="604" spans="1:8" x14ac:dyDescent="0.25">
      <c r="B604" t="s">
        <v>2489</v>
      </c>
      <c r="C604" t="s">
        <v>2490</v>
      </c>
      <c r="D604" t="s">
        <v>2491</v>
      </c>
      <c r="E604" t="s">
        <v>769</v>
      </c>
      <c r="F604" t="s">
        <v>2492</v>
      </c>
      <c r="G604" t="s">
        <v>13</v>
      </c>
      <c r="H604" t="s">
        <v>705</v>
      </c>
    </row>
    <row r="605" spans="1:8" x14ac:dyDescent="0.25">
      <c r="A605">
        <v>604</v>
      </c>
      <c r="B605" t="s">
        <v>2493</v>
      </c>
      <c r="C605" t="s">
        <v>2494</v>
      </c>
      <c r="D605" t="s">
        <v>2495</v>
      </c>
      <c r="E605" t="s">
        <v>18</v>
      </c>
      <c r="F605" t="s">
        <v>2496</v>
      </c>
      <c r="G605" t="s">
        <v>13</v>
      </c>
      <c r="H605" t="s">
        <v>350</v>
      </c>
    </row>
    <row r="606" spans="1:8" x14ac:dyDescent="0.25">
      <c r="A606">
        <v>605</v>
      </c>
      <c r="B606" t="s">
        <v>2497</v>
      </c>
      <c r="C606" t="s">
        <v>2498</v>
      </c>
      <c r="D606" t="s">
        <v>2499</v>
      </c>
      <c r="E606" t="s">
        <v>18</v>
      </c>
      <c r="F606" t="s">
        <v>2500</v>
      </c>
      <c r="G606" t="s">
        <v>13</v>
      </c>
      <c r="H606" t="s">
        <v>81</v>
      </c>
    </row>
    <row r="607" spans="1:8" x14ac:dyDescent="0.25">
      <c r="A607">
        <v>606</v>
      </c>
      <c r="B607" t="s">
        <v>2501</v>
      </c>
      <c r="C607" t="s">
        <v>2502</v>
      </c>
      <c r="D607" t="s">
        <v>2503</v>
      </c>
      <c r="E607" t="s">
        <v>11</v>
      </c>
      <c r="F607" t="s">
        <v>2504</v>
      </c>
      <c r="G607" t="s">
        <v>13</v>
      </c>
      <c r="H607" t="s">
        <v>549</v>
      </c>
    </row>
    <row r="608" spans="1:8" x14ac:dyDescent="0.25">
      <c r="B608" t="s">
        <v>2505</v>
      </c>
      <c r="C608" t="s">
        <v>2506</v>
      </c>
      <c r="D608" t="s">
        <v>2507</v>
      </c>
      <c r="E608" t="s">
        <v>11</v>
      </c>
      <c r="F608" t="s">
        <v>2508</v>
      </c>
      <c r="G608" t="s">
        <v>13</v>
      </c>
      <c r="H608" t="s">
        <v>425</v>
      </c>
    </row>
    <row r="609" spans="1:8" x14ac:dyDescent="0.25">
      <c r="A609">
        <v>608</v>
      </c>
      <c r="B609" t="s">
        <v>2509</v>
      </c>
      <c r="C609" t="s">
        <v>2510</v>
      </c>
      <c r="D609" t="s">
        <v>2511</v>
      </c>
      <c r="E609" t="s">
        <v>11</v>
      </c>
      <c r="F609" t="s">
        <v>2512</v>
      </c>
      <c r="G609" t="s">
        <v>13</v>
      </c>
      <c r="H609" t="s">
        <v>687</v>
      </c>
    </row>
    <row r="610" spans="1:8" x14ac:dyDescent="0.25">
      <c r="A610">
        <v>609</v>
      </c>
      <c r="B610" t="s">
        <v>2513</v>
      </c>
      <c r="C610" t="s">
        <v>2514</v>
      </c>
      <c r="D610" t="s">
        <v>2515</v>
      </c>
      <c r="E610" t="s">
        <v>11</v>
      </c>
      <c r="F610" t="s">
        <v>2516</v>
      </c>
      <c r="G610" t="s">
        <v>13</v>
      </c>
      <c r="H610" t="s">
        <v>1225</v>
      </c>
    </row>
    <row r="611" spans="1:8" x14ac:dyDescent="0.25">
      <c r="A611">
        <v>610</v>
      </c>
      <c r="B611" t="s">
        <v>2517</v>
      </c>
      <c r="C611" t="s">
        <v>2518</v>
      </c>
      <c r="D611" t="s">
        <v>2519</v>
      </c>
      <c r="E611" t="s">
        <v>274</v>
      </c>
      <c r="F611" t="s">
        <v>2520</v>
      </c>
      <c r="G611" t="s">
        <v>13</v>
      </c>
      <c r="H611" t="s">
        <v>1432</v>
      </c>
    </row>
    <row r="612" spans="1:8" x14ac:dyDescent="0.25">
      <c r="A612">
        <v>611</v>
      </c>
      <c r="B612" t="s">
        <v>2521</v>
      </c>
      <c r="C612" t="s">
        <v>2522</v>
      </c>
      <c r="D612" t="s">
        <v>2523</v>
      </c>
      <c r="E612" t="s">
        <v>18</v>
      </c>
      <c r="F612" t="s">
        <v>2524</v>
      </c>
      <c r="G612" t="s">
        <v>13</v>
      </c>
      <c r="H612" t="s">
        <v>46</v>
      </c>
    </row>
    <row r="613" spans="1:8" x14ac:dyDescent="0.25">
      <c r="A613">
        <v>612</v>
      </c>
      <c r="B613" t="s">
        <v>2525</v>
      </c>
      <c r="C613" t="s">
        <v>2526</v>
      </c>
      <c r="D613" t="s">
        <v>2527</v>
      </c>
      <c r="E613" t="s">
        <v>18</v>
      </c>
      <c r="F613" t="s">
        <v>2528</v>
      </c>
      <c r="G613" t="s">
        <v>13</v>
      </c>
      <c r="H613" t="s">
        <v>322</v>
      </c>
    </row>
    <row r="614" spans="1:8" x14ac:dyDescent="0.25">
      <c r="B614" t="s">
        <v>2529</v>
      </c>
      <c r="C614" t="s">
        <v>2530</v>
      </c>
      <c r="D614" t="s">
        <v>2531</v>
      </c>
      <c r="E614" t="s">
        <v>18</v>
      </c>
      <c r="F614" t="s">
        <v>2532</v>
      </c>
      <c r="G614" t="s">
        <v>13</v>
      </c>
      <c r="H614" t="s">
        <v>71</v>
      </c>
    </row>
    <row r="615" spans="1:8" x14ac:dyDescent="0.25">
      <c r="A615">
        <v>614</v>
      </c>
      <c r="B615" t="s">
        <v>2533</v>
      </c>
      <c r="C615" t="s">
        <v>2534</v>
      </c>
      <c r="D615" t="s">
        <v>2535</v>
      </c>
      <c r="E615" t="s">
        <v>11</v>
      </c>
      <c r="F615" t="s">
        <v>2536</v>
      </c>
      <c r="G615" t="s">
        <v>13</v>
      </c>
      <c r="H615" t="s">
        <v>814</v>
      </c>
    </row>
    <row r="616" spans="1:8" x14ac:dyDescent="0.25">
      <c r="A616">
        <v>615</v>
      </c>
      <c r="B616" t="s">
        <v>2537</v>
      </c>
      <c r="C616" t="s">
        <v>2538</v>
      </c>
      <c r="D616" t="s">
        <v>2539</v>
      </c>
      <c r="E616" t="s">
        <v>11</v>
      </c>
      <c r="F616" t="s">
        <v>2540</v>
      </c>
      <c r="G616" t="s">
        <v>13</v>
      </c>
      <c r="H616" t="s">
        <v>619</v>
      </c>
    </row>
    <row r="617" spans="1:8" x14ac:dyDescent="0.25">
      <c r="A617">
        <v>616</v>
      </c>
      <c r="B617" t="s">
        <v>2541</v>
      </c>
      <c r="C617" t="s">
        <v>2542</v>
      </c>
      <c r="D617" t="s">
        <v>2543</v>
      </c>
      <c r="E617" t="s">
        <v>11</v>
      </c>
      <c r="F617" t="s">
        <v>2544</v>
      </c>
      <c r="G617" t="s">
        <v>13</v>
      </c>
      <c r="H617" t="s">
        <v>125</v>
      </c>
    </row>
    <row r="618" spans="1:8" x14ac:dyDescent="0.25">
      <c r="A618">
        <v>617</v>
      </c>
      <c r="B618" t="s">
        <v>2545</v>
      </c>
      <c r="C618" t="s">
        <v>2546</v>
      </c>
      <c r="D618" t="s">
        <v>2547</v>
      </c>
      <c r="E618" t="s">
        <v>18</v>
      </c>
      <c r="F618" t="s">
        <v>2548</v>
      </c>
      <c r="G618" t="s">
        <v>13</v>
      </c>
      <c r="H618" t="s">
        <v>71</v>
      </c>
    </row>
    <row r="619" spans="1:8" x14ac:dyDescent="0.25">
      <c r="A619">
        <v>618</v>
      </c>
      <c r="B619" t="s">
        <v>2549</v>
      </c>
      <c r="C619" t="s">
        <v>2550</v>
      </c>
      <c r="D619" t="s">
        <v>2551</v>
      </c>
      <c r="E619" t="s">
        <v>11</v>
      </c>
      <c r="F619" t="s">
        <v>2552</v>
      </c>
      <c r="G619" t="s">
        <v>13</v>
      </c>
      <c r="H619" t="s">
        <v>125</v>
      </c>
    </row>
    <row r="620" spans="1:8" x14ac:dyDescent="0.25">
      <c r="A620">
        <v>619</v>
      </c>
      <c r="B620" t="s">
        <v>2553</v>
      </c>
      <c r="C620" t="s">
        <v>2554</v>
      </c>
      <c r="D620" t="s">
        <v>2555</v>
      </c>
      <c r="E620" t="s">
        <v>18</v>
      </c>
      <c r="F620" t="s">
        <v>2556</v>
      </c>
      <c r="G620" t="s">
        <v>13</v>
      </c>
      <c r="H620" t="s">
        <v>588</v>
      </c>
    </row>
    <row r="621" spans="1:8" x14ac:dyDescent="0.25">
      <c r="A621">
        <v>620</v>
      </c>
      <c r="B621" t="s">
        <v>2557</v>
      </c>
      <c r="C621" t="s">
        <v>2558</v>
      </c>
      <c r="D621" t="s">
        <v>2559</v>
      </c>
      <c r="E621" t="s">
        <v>11</v>
      </c>
      <c r="F621" t="s">
        <v>2560</v>
      </c>
      <c r="G621" t="s">
        <v>13</v>
      </c>
      <c r="H621" t="s">
        <v>779</v>
      </c>
    </row>
    <row r="622" spans="1:8" x14ac:dyDescent="0.25">
      <c r="B622" t="s">
        <v>2561</v>
      </c>
      <c r="C622" t="s">
        <v>2562</v>
      </c>
      <c r="D622" t="s">
        <v>2563</v>
      </c>
      <c r="E622" t="s">
        <v>18</v>
      </c>
      <c r="F622" t="s">
        <v>2564</v>
      </c>
      <c r="G622" t="s">
        <v>13</v>
      </c>
      <c r="H622" t="s">
        <v>56</v>
      </c>
    </row>
    <row r="623" spans="1:8" x14ac:dyDescent="0.25">
      <c r="A623">
        <v>622</v>
      </c>
      <c r="B623" t="s">
        <v>2215</v>
      </c>
      <c r="C623" t="s">
        <v>2565</v>
      </c>
      <c r="D623" t="s">
        <v>2566</v>
      </c>
      <c r="E623" t="s">
        <v>18</v>
      </c>
      <c r="F623" t="s">
        <v>2567</v>
      </c>
      <c r="G623" t="s">
        <v>13</v>
      </c>
      <c r="H623" t="s">
        <v>296</v>
      </c>
    </row>
    <row r="624" spans="1:8" x14ac:dyDescent="0.25">
      <c r="A624">
        <v>623</v>
      </c>
      <c r="B624" t="s">
        <v>2568</v>
      </c>
      <c r="C624" t="s">
        <v>2569</v>
      </c>
      <c r="D624" t="s">
        <v>2570</v>
      </c>
      <c r="E624" t="s">
        <v>11</v>
      </c>
      <c r="F624" t="s">
        <v>2571</v>
      </c>
      <c r="G624" t="s">
        <v>13</v>
      </c>
      <c r="H624" t="s">
        <v>81</v>
      </c>
    </row>
    <row r="625" spans="1:8" x14ac:dyDescent="0.25">
      <c r="A625">
        <v>624</v>
      </c>
      <c r="B625" t="s">
        <v>2572</v>
      </c>
      <c r="C625" t="s">
        <v>2573</v>
      </c>
      <c r="D625" t="s">
        <v>2574</v>
      </c>
      <c r="E625" t="s">
        <v>11</v>
      </c>
      <c r="F625" t="s">
        <v>2575</v>
      </c>
      <c r="G625" t="s">
        <v>13</v>
      </c>
      <c r="H625" t="s">
        <v>81</v>
      </c>
    </row>
    <row r="626" spans="1:8" x14ac:dyDescent="0.25">
      <c r="A626">
        <v>625</v>
      </c>
      <c r="B626" t="s">
        <v>2576</v>
      </c>
      <c r="C626" t="s">
        <v>2577</v>
      </c>
      <c r="D626" t="s">
        <v>2578</v>
      </c>
      <c r="E626" t="s">
        <v>11</v>
      </c>
      <c r="F626" t="s">
        <v>2579</v>
      </c>
      <c r="G626" t="s">
        <v>13</v>
      </c>
      <c r="H626" t="s">
        <v>487</v>
      </c>
    </row>
    <row r="627" spans="1:8" x14ac:dyDescent="0.25">
      <c r="B627" t="s">
        <v>2580</v>
      </c>
      <c r="C627" t="s">
        <v>2581</v>
      </c>
      <c r="D627" t="s">
        <v>2582</v>
      </c>
      <c r="E627" t="s">
        <v>18</v>
      </c>
      <c r="F627" t="s">
        <v>2583</v>
      </c>
      <c r="G627" t="s">
        <v>13</v>
      </c>
      <c r="H627" t="s">
        <v>261</v>
      </c>
    </row>
    <row r="628" spans="1:8" x14ac:dyDescent="0.25">
      <c r="A628">
        <v>627</v>
      </c>
      <c r="B628" t="s">
        <v>2584</v>
      </c>
      <c r="C628" t="s">
        <v>2585</v>
      </c>
      <c r="D628" t="s">
        <v>2586</v>
      </c>
      <c r="E628" t="s">
        <v>18</v>
      </c>
      <c r="F628" t="s">
        <v>2587</v>
      </c>
      <c r="G628" t="s">
        <v>13</v>
      </c>
      <c r="H628" t="s">
        <v>655</v>
      </c>
    </row>
    <row r="629" spans="1:8" x14ac:dyDescent="0.25">
      <c r="A629">
        <v>628</v>
      </c>
      <c r="B629" t="s">
        <v>2588</v>
      </c>
      <c r="C629" t="s">
        <v>2589</v>
      </c>
      <c r="D629" t="s">
        <v>2590</v>
      </c>
      <c r="E629" t="s">
        <v>11</v>
      </c>
      <c r="F629" t="s">
        <v>2591</v>
      </c>
      <c r="G629" t="s">
        <v>13</v>
      </c>
      <c r="H629" t="s">
        <v>61</v>
      </c>
    </row>
    <row r="630" spans="1:8" x14ac:dyDescent="0.25">
      <c r="A630">
        <v>629</v>
      </c>
      <c r="B630" t="s">
        <v>2592</v>
      </c>
      <c r="C630" t="s">
        <v>2593</v>
      </c>
      <c r="D630" t="s">
        <v>2594</v>
      </c>
      <c r="E630" t="s">
        <v>29</v>
      </c>
      <c r="F630" t="s">
        <v>2595</v>
      </c>
      <c r="G630" t="s">
        <v>13</v>
      </c>
      <c r="H630" t="s">
        <v>56</v>
      </c>
    </row>
    <row r="631" spans="1:8" x14ac:dyDescent="0.25">
      <c r="A631">
        <v>630</v>
      </c>
      <c r="B631" t="s">
        <v>2596</v>
      </c>
      <c r="C631" t="s">
        <v>2597</v>
      </c>
      <c r="D631" t="s">
        <v>2598</v>
      </c>
      <c r="E631" t="s">
        <v>18</v>
      </c>
      <c r="F631" t="s">
        <v>2599</v>
      </c>
      <c r="G631" t="s">
        <v>13</v>
      </c>
      <c r="H631" t="s">
        <v>350</v>
      </c>
    </row>
    <row r="632" spans="1:8" x14ac:dyDescent="0.25">
      <c r="A632">
        <v>631</v>
      </c>
      <c r="B632" t="s">
        <v>2600</v>
      </c>
      <c r="C632" t="s">
        <v>2601</v>
      </c>
      <c r="D632" t="s">
        <v>2602</v>
      </c>
      <c r="E632" t="s">
        <v>11</v>
      </c>
      <c r="F632" t="s">
        <v>2603</v>
      </c>
      <c r="G632" t="s">
        <v>13</v>
      </c>
      <c r="H632" t="s">
        <v>282</v>
      </c>
    </row>
    <row r="633" spans="1:8" x14ac:dyDescent="0.25">
      <c r="A633">
        <v>632</v>
      </c>
      <c r="B633" t="s">
        <v>2604</v>
      </c>
      <c r="C633" t="s">
        <v>2605</v>
      </c>
      <c r="D633" t="s">
        <v>2606</v>
      </c>
      <c r="E633" t="s">
        <v>280</v>
      </c>
      <c r="F633" t="s">
        <v>2607</v>
      </c>
      <c r="G633" t="s">
        <v>13</v>
      </c>
      <c r="H633" t="s">
        <v>660</v>
      </c>
    </row>
    <row r="634" spans="1:8" x14ac:dyDescent="0.25">
      <c r="A634">
        <v>633</v>
      </c>
      <c r="B634" t="s">
        <v>2608</v>
      </c>
      <c r="C634" t="s">
        <v>2609</v>
      </c>
      <c r="D634" t="s">
        <v>2610</v>
      </c>
      <c r="E634" t="s">
        <v>11</v>
      </c>
      <c r="F634" t="s">
        <v>2611</v>
      </c>
      <c r="G634" t="s">
        <v>13</v>
      </c>
      <c r="H634" t="s">
        <v>46</v>
      </c>
    </row>
    <row r="635" spans="1:8" x14ac:dyDescent="0.25">
      <c r="A635">
        <v>634</v>
      </c>
      <c r="B635" t="s">
        <v>2612</v>
      </c>
      <c r="C635" t="s">
        <v>2613</v>
      </c>
      <c r="E635" t="s">
        <v>18</v>
      </c>
      <c r="F635" t="s">
        <v>2614</v>
      </c>
      <c r="G635" t="s">
        <v>13</v>
      </c>
      <c r="H635" t="s">
        <v>331</v>
      </c>
    </row>
    <row r="636" spans="1:8" x14ac:dyDescent="0.25">
      <c r="A636">
        <v>635</v>
      </c>
      <c r="B636" t="s">
        <v>2615</v>
      </c>
      <c r="C636" t="s">
        <v>2616</v>
      </c>
      <c r="D636" t="s">
        <v>2617</v>
      </c>
      <c r="E636" t="s">
        <v>18</v>
      </c>
      <c r="F636" t="s">
        <v>2618</v>
      </c>
      <c r="G636" t="s">
        <v>13</v>
      </c>
      <c r="H636" t="s">
        <v>839</v>
      </c>
    </row>
    <row r="637" spans="1:8" x14ac:dyDescent="0.25">
      <c r="A637">
        <v>636</v>
      </c>
      <c r="B637" t="s">
        <v>2619</v>
      </c>
      <c r="C637" t="s">
        <v>2620</v>
      </c>
      <c r="D637" t="s">
        <v>2621</v>
      </c>
      <c r="E637" t="s">
        <v>11</v>
      </c>
      <c r="F637" t="s">
        <v>2622</v>
      </c>
      <c r="G637" t="s">
        <v>13</v>
      </c>
      <c r="H637" t="s">
        <v>125</v>
      </c>
    </row>
    <row r="638" spans="1:8" x14ac:dyDescent="0.25">
      <c r="A638">
        <v>637</v>
      </c>
      <c r="B638" t="s">
        <v>2623</v>
      </c>
      <c r="C638" t="s">
        <v>2624</v>
      </c>
      <c r="D638" t="s">
        <v>2625</v>
      </c>
      <c r="E638" t="s">
        <v>11</v>
      </c>
      <c r="F638" t="s">
        <v>2626</v>
      </c>
      <c r="G638" t="s">
        <v>13</v>
      </c>
      <c r="H638" t="s">
        <v>61</v>
      </c>
    </row>
    <row r="639" spans="1:8" x14ac:dyDescent="0.25">
      <c r="B639" t="s">
        <v>2627</v>
      </c>
      <c r="C639" t="s">
        <v>2628</v>
      </c>
      <c r="D639" t="s">
        <v>2629</v>
      </c>
      <c r="E639" t="s">
        <v>11</v>
      </c>
      <c r="F639" t="s">
        <v>2630</v>
      </c>
      <c r="G639" t="s">
        <v>13</v>
      </c>
      <c r="H639" t="s">
        <v>700</v>
      </c>
    </row>
    <row r="640" spans="1:8" x14ac:dyDescent="0.25">
      <c r="A640">
        <v>639</v>
      </c>
      <c r="B640" t="s">
        <v>2631</v>
      </c>
      <c r="C640" t="s">
        <v>2632</v>
      </c>
      <c r="D640" t="s">
        <v>2633</v>
      </c>
      <c r="E640" t="s">
        <v>18</v>
      </c>
      <c r="F640" t="s">
        <v>2634</v>
      </c>
      <c r="G640" t="s">
        <v>13</v>
      </c>
      <c r="H640" t="s">
        <v>374</v>
      </c>
    </row>
    <row r="641" spans="1:8" x14ac:dyDescent="0.25">
      <c r="A641">
        <v>640</v>
      </c>
      <c r="B641" t="s">
        <v>2635</v>
      </c>
      <c r="C641" t="s">
        <v>2636</v>
      </c>
      <c r="D641" t="s">
        <v>2637</v>
      </c>
      <c r="E641" t="s">
        <v>11</v>
      </c>
      <c r="F641" t="s">
        <v>2638</v>
      </c>
      <c r="G641" t="s">
        <v>13</v>
      </c>
      <c r="H641" t="s">
        <v>678</v>
      </c>
    </row>
    <row r="642" spans="1:8" x14ac:dyDescent="0.25">
      <c r="A642">
        <v>641</v>
      </c>
      <c r="B642" t="s">
        <v>2639</v>
      </c>
      <c r="C642" t="s">
        <v>2640</v>
      </c>
      <c r="D642" t="s">
        <v>2641</v>
      </c>
      <c r="E642" t="s">
        <v>11</v>
      </c>
      <c r="F642" t="s">
        <v>2642</v>
      </c>
      <c r="G642" t="s">
        <v>13</v>
      </c>
      <c r="H642" t="s">
        <v>700</v>
      </c>
    </row>
    <row r="643" spans="1:8" x14ac:dyDescent="0.25">
      <c r="A643">
        <v>642</v>
      </c>
      <c r="B643" t="s">
        <v>2643</v>
      </c>
      <c r="C643" t="s">
        <v>2644</v>
      </c>
      <c r="D643" t="s">
        <v>2645</v>
      </c>
      <c r="E643" t="s">
        <v>11</v>
      </c>
      <c r="F643" t="s">
        <v>2646</v>
      </c>
      <c r="G643" t="s">
        <v>13</v>
      </c>
      <c r="H643" t="s">
        <v>700</v>
      </c>
    </row>
    <row r="644" spans="1:8" x14ac:dyDescent="0.25">
      <c r="A644">
        <v>643</v>
      </c>
      <c r="B644" t="s">
        <v>852</v>
      </c>
      <c r="C644" t="s">
        <v>2647</v>
      </c>
      <c r="D644" t="s">
        <v>2648</v>
      </c>
      <c r="E644" t="s">
        <v>11</v>
      </c>
      <c r="F644" t="s">
        <v>2649</v>
      </c>
      <c r="G644" t="s">
        <v>13</v>
      </c>
      <c r="H644" t="s">
        <v>224</v>
      </c>
    </row>
    <row r="645" spans="1:8" x14ac:dyDescent="0.25">
      <c r="A645">
        <v>644</v>
      </c>
      <c r="B645" t="s">
        <v>1783</v>
      </c>
      <c r="C645" t="s">
        <v>2650</v>
      </c>
      <c r="D645" t="s">
        <v>2651</v>
      </c>
      <c r="E645" t="s">
        <v>11</v>
      </c>
      <c r="F645" t="s">
        <v>2652</v>
      </c>
      <c r="G645" t="s">
        <v>13</v>
      </c>
      <c r="H645" t="s">
        <v>365</v>
      </c>
    </row>
    <row r="646" spans="1:8" x14ac:dyDescent="0.25">
      <c r="A646">
        <v>645</v>
      </c>
      <c r="B646" t="s">
        <v>2653</v>
      </c>
      <c r="C646" t="s">
        <v>2654</v>
      </c>
      <c r="D646" t="s">
        <v>2655</v>
      </c>
      <c r="E646" t="s">
        <v>18</v>
      </c>
      <c r="F646" t="s">
        <v>2656</v>
      </c>
      <c r="G646" t="s">
        <v>13</v>
      </c>
      <c r="H646" t="s">
        <v>154</v>
      </c>
    </row>
    <row r="647" spans="1:8" x14ac:dyDescent="0.25">
      <c r="A647">
        <v>646</v>
      </c>
      <c r="B647" t="s">
        <v>2657</v>
      </c>
      <c r="C647" t="s">
        <v>2658</v>
      </c>
      <c r="D647" t="s">
        <v>2659</v>
      </c>
      <c r="E647" t="s">
        <v>11</v>
      </c>
      <c r="F647" t="s">
        <v>2660</v>
      </c>
      <c r="G647" t="s">
        <v>13</v>
      </c>
      <c r="H647" t="s">
        <v>14</v>
      </c>
    </row>
    <row r="648" spans="1:8" x14ac:dyDescent="0.25">
      <c r="A648">
        <v>647</v>
      </c>
      <c r="B648" t="s">
        <v>2661</v>
      </c>
      <c r="C648" t="s">
        <v>2662</v>
      </c>
      <c r="D648" t="s">
        <v>2663</v>
      </c>
      <c r="E648" t="s">
        <v>18</v>
      </c>
      <c r="F648" t="s">
        <v>2664</v>
      </c>
      <c r="G648" t="s">
        <v>13</v>
      </c>
      <c r="H648" t="s">
        <v>331</v>
      </c>
    </row>
    <row r="649" spans="1:8" x14ac:dyDescent="0.25">
      <c r="A649">
        <v>648</v>
      </c>
      <c r="B649" t="s">
        <v>1767</v>
      </c>
      <c r="C649" t="s">
        <v>2665</v>
      </c>
      <c r="D649" t="s">
        <v>2666</v>
      </c>
      <c r="E649" t="s">
        <v>11</v>
      </c>
      <c r="F649" t="s">
        <v>2667</v>
      </c>
      <c r="G649" t="s">
        <v>13</v>
      </c>
      <c r="H649" t="s">
        <v>96</v>
      </c>
    </row>
    <row r="650" spans="1:8" x14ac:dyDescent="0.25">
      <c r="A650">
        <v>649</v>
      </c>
      <c r="B650" t="s">
        <v>2668</v>
      </c>
      <c r="C650" t="s">
        <v>2669</v>
      </c>
      <c r="D650" t="s">
        <v>2670</v>
      </c>
      <c r="E650" t="s">
        <v>18</v>
      </c>
      <c r="F650" t="s">
        <v>2671</v>
      </c>
      <c r="G650" t="s">
        <v>13</v>
      </c>
      <c r="H650" t="s">
        <v>1225</v>
      </c>
    </row>
    <row r="651" spans="1:8" x14ac:dyDescent="0.25">
      <c r="A651">
        <v>650</v>
      </c>
      <c r="B651" t="s">
        <v>2672</v>
      </c>
      <c r="C651" t="s">
        <v>2673</v>
      </c>
      <c r="D651" t="s">
        <v>2674</v>
      </c>
      <c r="E651" t="s">
        <v>11</v>
      </c>
      <c r="F651" t="s">
        <v>2675</v>
      </c>
      <c r="G651" t="s">
        <v>13</v>
      </c>
      <c r="H651" t="s">
        <v>399</v>
      </c>
    </row>
    <row r="652" spans="1:8" x14ac:dyDescent="0.25">
      <c r="A652">
        <v>651</v>
      </c>
      <c r="B652" t="s">
        <v>2676</v>
      </c>
      <c r="C652" t="s">
        <v>2677</v>
      </c>
      <c r="D652" t="s">
        <v>2678</v>
      </c>
      <c r="E652" t="s">
        <v>11</v>
      </c>
      <c r="F652" t="s">
        <v>2679</v>
      </c>
      <c r="G652" t="s">
        <v>13</v>
      </c>
      <c r="H652" t="s">
        <v>252</v>
      </c>
    </row>
    <row r="653" spans="1:8" x14ac:dyDescent="0.25">
      <c r="A653">
        <v>652</v>
      </c>
      <c r="B653" t="s">
        <v>2680</v>
      </c>
      <c r="C653" t="s">
        <v>2681</v>
      </c>
      <c r="D653" t="s">
        <v>2682</v>
      </c>
      <c r="E653" t="s">
        <v>18</v>
      </c>
      <c r="F653" t="s">
        <v>2683</v>
      </c>
      <c r="G653" t="s">
        <v>13</v>
      </c>
      <c r="H653" t="s">
        <v>287</v>
      </c>
    </row>
    <row r="654" spans="1:8" x14ac:dyDescent="0.25">
      <c r="A654">
        <v>653</v>
      </c>
      <c r="B654" t="s">
        <v>2285</v>
      </c>
      <c r="C654" t="s">
        <v>2684</v>
      </c>
      <c r="D654" t="s">
        <v>2685</v>
      </c>
      <c r="E654" t="s">
        <v>18</v>
      </c>
      <c r="F654" t="s">
        <v>2686</v>
      </c>
      <c r="G654" t="s">
        <v>13</v>
      </c>
      <c r="H654" t="s">
        <v>655</v>
      </c>
    </row>
    <row r="655" spans="1:8" x14ac:dyDescent="0.25">
      <c r="A655">
        <v>654</v>
      </c>
      <c r="B655" t="s">
        <v>1912</v>
      </c>
      <c r="C655" t="s">
        <v>2687</v>
      </c>
      <c r="D655" t="s">
        <v>2688</v>
      </c>
      <c r="E655" t="s">
        <v>11</v>
      </c>
      <c r="F655" t="s">
        <v>2689</v>
      </c>
      <c r="G655" t="s">
        <v>13</v>
      </c>
      <c r="H655" t="s">
        <v>404</v>
      </c>
    </row>
    <row r="656" spans="1:8" x14ac:dyDescent="0.25">
      <c r="A656">
        <v>655</v>
      </c>
      <c r="B656" t="s">
        <v>2690</v>
      </c>
      <c r="C656" t="s">
        <v>2691</v>
      </c>
      <c r="D656" t="s">
        <v>2692</v>
      </c>
      <c r="E656" t="s">
        <v>11</v>
      </c>
      <c r="F656" t="s">
        <v>2693</v>
      </c>
      <c r="G656" t="s">
        <v>13</v>
      </c>
      <c r="H656" t="s">
        <v>687</v>
      </c>
    </row>
    <row r="657" spans="1:8" x14ac:dyDescent="0.25">
      <c r="A657">
        <v>656</v>
      </c>
      <c r="B657" t="s">
        <v>2694</v>
      </c>
      <c r="C657" t="s">
        <v>2695</v>
      </c>
      <c r="D657" t="s">
        <v>2696</v>
      </c>
      <c r="E657" t="s">
        <v>11</v>
      </c>
      <c r="F657" t="s">
        <v>2697</v>
      </c>
      <c r="G657" t="s">
        <v>13</v>
      </c>
      <c r="H657" t="s">
        <v>322</v>
      </c>
    </row>
    <row r="658" spans="1:8" x14ac:dyDescent="0.25">
      <c r="A658">
        <v>657</v>
      </c>
      <c r="B658" t="s">
        <v>2698</v>
      </c>
      <c r="C658" t="s">
        <v>2699</v>
      </c>
      <c r="D658" t="s">
        <v>2700</v>
      </c>
      <c r="E658" t="s">
        <v>11</v>
      </c>
      <c r="F658" t="s">
        <v>2701</v>
      </c>
      <c r="G658" t="s">
        <v>13</v>
      </c>
      <c r="H658" t="s">
        <v>135</v>
      </c>
    </row>
    <row r="659" spans="1:8" x14ac:dyDescent="0.25">
      <c r="A659">
        <v>658</v>
      </c>
      <c r="B659" t="s">
        <v>2702</v>
      </c>
      <c r="C659" t="s">
        <v>2703</v>
      </c>
      <c r="D659" t="s">
        <v>2704</v>
      </c>
      <c r="E659" t="s">
        <v>11</v>
      </c>
      <c r="F659" t="s">
        <v>2705</v>
      </c>
      <c r="G659" t="s">
        <v>13</v>
      </c>
      <c r="H659" t="s">
        <v>205</v>
      </c>
    </row>
    <row r="660" spans="1:8" x14ac:dyDescent="0.25">
      <c r="A660">
        <v>659</v>
      </c>
      <c r="B660" t="s">
        <v>2706</v>
      </c>
      <c r="C660" t="s">
        <v>2707</v>
      </c>
      <c r="D660" t="s">
        <v>2708</v>
      </c>
      <c r="E660" t="s">
        <v>18</v>
      </c>
      <c r="F660" t="s">
        <v>2709</v>
      </c>
      <c r="G660" t="s">
        <v>13</v>
      </c>
      <c r="H660" t="s">
        <v>101</v>
      </c>
    </row>
    <row r="661" spans="1:8" x14ac:dyDescent="0.25">
      <c r="A661">
        <v>660</v>
      </c>
      <c r="B661" t="s">
        <v>2710</v>
      </c>
      <c r="C661" t="s">
        <v>2711</v>
      </c>
      <c r="D661" t="s">
        <v>2712</v>
      </c>
      <c r="E661" t="s">
        <v>228</v>
      </c>
      <c r="F661" t="s">
        <v>2713</v>
      </c>
      <c r="G661" t="s">
        <v>13</v>
      </c>
      <c r="H661" t="s">
        <v>641</v>
      </c>
    </row>
    <row r="662" spans="1:8" x14ac:dyDescent="0.25">
      <c r="A662">
        <v>661</v>
      </c>
      <c r="B662" t="s">
        <v>2714</v>
      </c>
      <c r="C662" t="s">
        <v>2715</v>
      </c>
      <c r="D662" t="s">
        <v>2716</v>
      </c>
      <c r="E662" t="s">
        <v>11</v>
      </c>
      <c r="F662" t="s">
        <v>2717</v>
      </c>
      <c r="G662" t="s">
        <v>13</v>
      </c>
      <c r="H662" t="s">
        <v>125</v>
      </c>
    </row>
    <row r="663" spans="1:8" x14ac:dyDescent="0.25">
      <c r="B663" t="s">
        <v>2718</v>
      </c>
      <c r="C663" t="s">
        <v>2719</v>
      </c>
      <c r="D663" t="s">
        <v>2720</v>
      </c>
      <c r="E663" t="s">
        <v>769</v>
      </c>
      <c r="F663" t="s">
        <v>2721</v>
      </c>
      <c r="G663" t="s">
        <v>13</v>
      </c>
      <c r="H663" t="s">
        <v>163</v>
      </c>
    </row>
    <row r="664" spans="1:8" x14ac:dyDescent="0.25">
      <c r="A664">
        <v>663</v>
      </c>
      <c r="B664" t="s">
        <v>2722</v>
      </c>
      <c r="C664" t="s">
        <v>2723</v>
      </c>
      <c r="D664" t="s">
        <v>2724</v>
      </c>
      <c r="E664" t="s">
        <v>11</v>
      </c>
      <c r="F664" t="s">
        <v>2725</v>
      </c>
      <c r="G664" t="s">
        <v>13</v>
      </c>
      <c r="H664" t="s">
        <v>115</v>
      </c>
    </row>
    <row r="665" spans="1:8" x14ac:dyDescent="0.25">
      <c r="A665">
        <v>664</v>
      </c>
      <c r="B665" t="s">
        <v>2726</v>
      </c>
      <c r="C665" t="s">
        <v>2727</v>
      </c>
      <c r="D665" t="s">
        <v>2728</v>
      </c>
      <c r="E665" t="s">
        <v>11</v>
      </c>
      <c r="F665" t="s">
        <v>2729</v>
      </c>
      <c r="G665" t="s">
        <v>13</v>
      </c>
      <c r="H665" t="s">
        <v>804</v>
      </c>
    </row>
    <row r="666" spans="1:8" x14ac:dyDescent="0.25">
      <c r="A666">
        <v>665</v>
      </c>
      <c r="B666" t="s">
        <v>2730</v>
      </c>
      <c r="C666" t="s">
        <v>2731</v>
      </c>
      <c r="D666" t="s">
        <v>2732</v>
      </c>
      <c r="E666" t="s">
        <v>18</v>
      </c>
      <c r="F666" t="s">
        <v>2733</v>
      </c>
      <c r="G666" t="s">
        <v>13</v>
      </c>
      <c r="H666" t="s">
        <v>839</v>
      </c>
    </row>
    <row r="667" spans="1:8" x14ac:dyDescent="0.25">
      <c r="A667">
        <v>666</v>
      </c>
      <c r="B667" t="s">
        <v>2734</v>
      </c>
      <c r="C667" t="s">
        <v>2735</v>
      </c>
      <c r="D667" t="s">
        <v>2736</v>
      </c>
      <c r="E667" t="s">
        <v>11</v>
      </c>
      <c r="F667" t="s">
        <v>2737</v>
      </c>
      <c r="G667" t="s">
        <v>13</v>
      </c>
      <c r="H667" t="s">
        <v>110</v>
      </c>
    </row>
    <row r="668" spans="1:8" x14ac:dyDescent="0.25">
      <c r="A668">
        <v>667</v>
      </c>
      <c r="B668" t="s">
        <v>2738</v>
      </c>
      <c r="C668" t="s">
        <v>2739</v>
      </c>
      <c r="D668" t="s">
        <v>2740</v>
      </c>
      <c r="E668" t="s">
        <v>228</v>
      </c>
      <c r="F668" t="s">
        <v>2741</v>
      </c>
      <c r="G668" t="s">
        <v>13</v>
      </c>
      <c r="H668" t="s">
        <v>487</v>
      </c>
    </row>
    <row r="669" spans="1:8" x14ac:dyDescent="0.25">
      <c r="A669">
        <v>668</v>
      </c>
      <c r="B669" t="s">
        <v>2742</v>
      </c>
      <c r="C669" t="s">
        <v>2743</v>
      </c>
      <c r="D669" t="s">
        <v>2744</v>
      </c>
      <c r="E669" t="s">
        <v>18</v>
      </c>
      <c r="F669" t="s">
        <v>2745</v>
      </c>
      <c r="G669" t="s">
        <v>13</v>
      </c>
      <c r="H669" t="s">
        <v>365</v>
      </c>
    </row>
    <row r="670" spans="1:8" x14ac:dyDescent="0.25">
      <c r="A670">
        <v>669</v>
      </c>
      <c r="B670" t="s">
        <v>2746</v>
      </c>
      <c r="C670" t="s">
        <v>2747</v>
      </c>
      <c r="D670" t="s">
        <v>2748</v>
      </c>
      <c r="E670" t="s">
        <v>769</v>
      </c>
      <c r="F670" t="s">
        <v>2749</v>
      </c>
      <c r="G670" t="s">
        <v>13</v>
      </c>
      <c r="H670" t="s">
        <v>163</v>
      </c>
    </row>
    <row r="671" spans="1:8" x14ac:dyDescent="0.25">
      <c r="A671">
        <v>670</v>
      </c>
      <c r="B671" t="s">
        <v>2750</v>
      </c>
      <c r="C671" t="s">
        <v>2751</v>
      </c>
      <c r="D671" t="s">
        <v>2752</v>
      </c>
      <c r="E671" t="s">
        <v>18</v>
      </c>
      <c r="F671" t="s">
        <v>2753</v>
      </c>
      <c r="G671" t="s">
        <v>13</v>
      </c>
      <c r="H671" t="s">
        <v>916</v>
      </c>
    </row>
    <row r="672" spans="1:8" x14ac:dyDescent="0.25">
      <c r="A672">
        <v>671</v>
      </c>
      <c r="B672" t="s">
        <v>2754</v>
      </c>
      <c r="C672" t="s">
        <v>2755</v>
      </c>
      <c r="D672" t="s">
        <v>2756</v>
      </c>
      <c r="E672" t="s">
        <v>11</v>
      </c>
      <c r="F672" t="s">
        <v>2757</v>
      </c>
      <c r="G672" t="s">
        <v>13</v>
      </c>
      <c r="H672" t="s">
        <v>266</v>
      </c>
    </row>
    <row r="673" spans="1:8" x14ac:dyDescent="0.25">
      <c r="A673">
        <v>672</v>
      </c>
      <c r="B673" t="s">
        <v>2758</v>
      </c>
      <c r="C673" t="s">
        <v>2759</v>
      </c>
      <c r="D673" t="s">
        <v>2760</v>
      </c>
      <c r="E673" t="s">
        <v>11</v>
      </c>
      <c r="F673" t="s">
        <v>2761</v>
      </c>
      <c r="G673" t="s">
        <v>13</v>
      </c>
      <c r="H673" t="s">
        <v>687</v>
      </c>
    </row>
    <row r="674" spans="1:8" x14ac:dyDescent="0.25">
      <c r="A674">
        <v>673</v>
      </c>
      <c r="B674" t="s">
        <v>2762</v>
      </c>
      <c r="C674" t="s">
        <v>2763</v>
      </c>
      <c r="D674" t="s">
        <v>2764</v>
      </c>
      <c r="E674" t="s">
        <v>18</v>
      </c>
      <c r="F674" t="s">
        <v>2765</v>
      </c>
      <c r="G674" t="s">
        <v>13</v>
      </c>
      <c r="H674" t="s">
        <v>700</v>
      </c>
    </row>
    <row r="675" spans="1:8" x14ac:dyDescent="0.25">
      <c r="A675">
        <v>674</v>
      </c>
      <c r="B675" t="s">
        <v>2766</v>
      </c>
      <c r="C675" t="s">
        <v>2767</v>
      </c>
      <c r="D675" t="s">
        <v>2768</v>
      </c>
      <c r="E675" t="s">
        <v>11</v>
      </c>
      <c r="F675" t="s">
        <v>2769</v>
      </c>
      <c r="G675" t="s">
        <v>13</v>
      </c>
      <c r="H675" t="s">
        <v>438</v>
      </c>
    </row>
    <row r="676" spans="1:8" x14ac:dyDescent="0.25">
      <c r="A676">
        <v>675</v>
      </c>
      <c r="B676" t="s">
        <v>2770</v>
      </c>
      <c r="C676" t="s">
        <v>2771</v>
      </c>
      <c r="D676" t="s">
        <v>2772</v>
      </c>
      <c r="E676" t="s">
        <v>18</v>
      </c>
      <c r="F676" t="s">
        <v>2773</v>
      </c>
      <c r="G676" t="s">
        <v>13</v>
      </c>
      <c r="H676" t="s">
        <v>188</v>
      </c>
    </row>
    <row r="677" spans="1:8" x14ac:dyDescent="0.25">
      <c r="A677">
        <v>676</v>
      </c>
      <c r="B677" t="s">
        <v>2774</v>
      </c>
      <c r="C677" t="s">
        <v>2775</v>
      </c>
      <c r="D677" t="s">
        <v>2776</v>
      </c>
      <c r="E677" t="s">
        <v>11</v>
      </c>
      <c r="F677" t="s">
        <v>2777</v>
      </c>
      <c r="G677" t="s">
        <v>13</v>
      </c>
      <c r="H677" t="s">
        <v>178</v>
      </c>
    </row>
    <row r="678" spans="1:8" x14ac:dyDescent="0.25">
      <c r="A678">
        <v>677</v>
      </c>
      <c r="B678" t="s">
        <v>2778</v>
      </c>
      <c r="C678" t="s">
        <v>2779</v>
      </c>
      <c r="D678" t="s">
        <v>2780</v>
      </c>
      <c r="E678" t="s">
        <v>11</v>
      </c>
      <c r="F678" t="s">
        <v>2781</v>
      </c>
      <c r="G678" t="s">
        <v>13</v>
      </c>
      <c r="H678" t="s">
        <v>115</v>
      </c>
    </row>
    <row r="679" spans="1:8" x14ac:dyDescent="0.25">
      <c r="A679">
        <v>678</v>
      </c>
      <c r="B679" t="s">
        <v>1759</v>
      </c>
      <c r="C679" t="s">
        <v>2782</v>
      </c>
      <c r="D679" t="s">
        <v>2783</v>
      </c>
      <c r="E679" t="s">
        <v>11</v>
      </c>
      <c r="F679" t="s">
        <v>2784</v>
      </c>
      <c r="G679" t="s">
        <v>13</v>
      </c>
      <c r="H679" t="s">
        <v>1771</v>
      </c>
    </row>
    <row r="680" spans="1:8" x14ac:dyDescent="0.25">
      <c r="A680">
        <v>679</v>
      </c>
      <c r="B680" t="s">
        <v>2785</v>
      </c>
      <c r="C680" t="s">
        <v>2786</v>
      </c>
      <c r="D680" t="s">
        <v>2787</v>
      </c>
      <c r="E680" t="s">
        <v>11</v>
      </c>
      <c r="F680" t="s">
        <v>2788</v>
      </c>
      <c r="G680" t="s">
        <v>13</v>
      </c>
      <c r="H680" t="s">
        <v>365</v>
      </c>
    </row>
    <row r="681" spans="1:8" x14ac:dyDescent="0.25">
      <c r="B681" t="s">
        <v>1358</v>
      </c>
      <c r="C681" t="s">
        <v>2789</v>
      </c>
      <c r="D681" t="s">
        <v>2790</v>
      </c>
      <c r="E681" t="s">
        <v>274</v>
      </c>
      <c r="F681" t="s">
        <v>2791</v>
      </c>
      <c r="G681" t="s">
        <v>13</v>
      </c>
      <c r="H681" t="s">
        <v>296</v>
      </c>
    </row>
    <row r="682" spans="1:8" x14ac:dyDescent="0.25">
      <c r="A682">
        <v>681</v>
      </c>
      <c r="B682" t="s">
        <v>2792</v>
      </c>
      <c r="C682" t="s">
        <v>2793</v>
      </c>
      <c r="D682" t="s">
        <v>2794</v>
      </c>
      <c r="E682" t="s">
        <v>11</v>
      </c>
      <c r="F682" t="s">
        <v>2795</v>
      </c>
      <c r="G682" t="s">
        <v>13</v>
      </c>
      <c r="H682" t="s">
        <v>438</v>
      </c>
    </row>
    <row r="683" spans="1:8" x14ac:dyDescent="0.25">
      <c r="A683">
        <v>682</v>
      </c>
      <c r="B683" t="s">
        <v>2796</v>
      </c>
      <c r="C683" t="s">
        <v>2797</v>
      </c>
      <c r="D683" t="s">
        <v>2798</v>
      </c>
      <c r="E683" t="s">
        <v>18</v>
      </c>
      <c r="F683" t="s">
        <v>2799</v>
      </c>
      <c r="G683" t="s">
        <v>13</v>
      </c>
      <c r="H683" t="s">
        <v>374</v>
      </c>
    </row>
    <row r="684" spans="1:8" x14ac:dyDescent="0.25">
      <c r="A684">
        <v>683</v>
      </c>
      <c r="B684" t="s">
        <v>2800</v>
      </c>
      <c r="C684" t="s">
        <v>2801</v>
      </c>
      <c r="D684" t="s">
        <v>2802</v>
      </c>
      <c r="E684" t="s">
        <v>11</v>
      </c>
      <c r="F684" t="s">
        <v>2803</v>
      </c>
      <c r="G684" t="s">
        <v>13</v>
      </c>
      <c r="H684" t="s">
        <v>41</v>
      </c>
    </row>
    <row r="685" spans="1:8" x14ac:dyDescent="0.25">
      <c r="A685">
        <v>684</v>
      </c>
      <c r="B685" t="s">
        <v>2804</v>
      </c>
      <c r="C685" t="s">
        <v>2805</v>
      </c>
      <c r="D685" t="s">
        <v>2806</v>
      </c>
      <c r="E685" t="s">
        <v>280</v>
      </c>
      <c r="F685" t="s">
        <v>2807</v>
      </c>
      <c r="G685" t="s">
        <v>13</v>
      </c>
      <c r="H685" t="s">
        <v>1017</v>
      </c>
    </row>
    <row r="686" spans="1:8" x14ac:dyDescent="0.25">
      <c r="A686">
        <v>685</v>
      </c>
      <c r="B686" t="s">
        <v>2808</v>
      </c>
      <c r="C686" t="s">
        <v>2809</v>
      </c>
      <c r="D686" t="s">
        <v>2810</v>
      </c>
      <c r="E686" t="s">
        <v>18</v>
      </c>
      <c r="F686" t="s">
        <v>2811</v>
      </c>
      <c r="G686" t="s">
        <v>13</v>
      </c>
      <c r="H686" t="s">
        <v>56</v>
      </c>
    </row>
    <row r="687" spans="1:8" x14ac:dyDescent="0.25">
      <c r="A687">
        <v>686</v>
      </c>
      <c r="B687" t="s">
        <v>2812</v>
      </c>
      <c r="C687" t="s">
        <v>2813</v>
      </c>
      <c r="D687" t="s">
        <v>2814</v>
      </c>
      <c r="E687" t="s">
        <v>18</v>
      </c>
      <c r="F687" t="s">
        <v>2815</v>
      </c>
      <c r="G687" t="s">
        <v>13</v>
      </c>
      <c r="H687" t="s">
        <v>425</v>
      </c>
    </row>
    <row r="688" spans="1:8" x14ac:dyDescent="0.25">
      <c r="B688" t="s">
        <v>2816</v>
      </c>
      <c r="C688" t="s">
        <v>2817</v>
      </c>
      <c r="D688" t="s">
        <v>2818</v>
      </c>
      <c r="E688" t="s">
        <v>11</v>
      </c>
      <c r="F688" t="s">
        <v>2819</v>
      </c>
      <c r="G688" t="s">
        <v>13</v>
      </c>
      <c r="H688" t="s">
        <v>336</v>
      </c>
    </row>
    <row r="689" spans="1:8" x14ac:dyDescent="0.25">
      <c r="A689">
        <v>688</v>
      </c>
      <c r="B689" t="s">
        <v>2820</v>
      </c>
      <c r="C689" t="s">
        <v>2821</v>
      </c>
      <c r="D689" t="s">
        <v>2822</v>
      </c>
      <c r="E689" t="s">
        <v>18</v>
      </c>
      <c r="F689" t="s">
        <v>2823</v>
      </c>
      <c r="G689" t="s">
        <v>13</v>
      </c>
      <c r="H689" t="s">
        <v>252</v>
      </c>
    </row>
    <row r="690" spans="1:8" x14ac:dyDescent="0.25">
      <c r="A690">
        <v>689</v>
      </c>
      <c r="B690" t="s">
        <v>2824</v>
      </c>
      <c r="C690" t="s">
        <v>2825</v>
      </c>
      <c r="D690" t="s">
        <v>2826</v>
      </c>
      <c r="E690" t="s">
        <v>11</v>
      </c>
      <c r="F690" t="s">
        <v>2827</v>
      </c>
      <c r="G690" t="s">
        <v>13</v>
      </c>
      <c r="H690" t="s">
        <v>365</v>
      </c>
    </row>
    <row r="691" spans="1:8" x14ac:dyDescent="0.25">
      <c r="A691">
        <v>690</v>
      </c>
      <c r="B691" t="s">
        <v>2828</v>
      </c>
      <c r="C691" t="s">
        <v>2829</v>
      </c>
      <c r="D691" t="s">
        <v>2830</v>
      </c>
      <c r="E691" t="s">
        <v>18</v>
      </c>
      <c r="F691" t="s">
        <v>2831</v>
      </c>
      <c r="G691" t="s">
        <v>13</v>
      </c>
      <c r="H691" t="s">
        <v>51</v>
      </c>
    </row>
    <row r="692" spans="1:8" x14ac:dyDescent="0.25">
      <c r="A692">
        <v>691</v>
      </c>
      <c r="B692" t="s">
        <v>2832</v>
      </c>
      <c r="C692" t="s">
        <v>2833</v>
      </c>
      <c r="E692" t="s">
        <v>18</v>
      </c>
      <c r="F692" t="s">
        <v>2834</v>
      </c>
      <c r="G692" t="s">
        <v>13</v>
      </c>
      <c r="H692" t="s">
        <v>379</v>
      </c>
    </row>
    <row r="693" spans="1:8" x14ac:dyDescent="0.25">
      <c r="A693">
        <v>692</v>
      </c>
      <c r="B693" t="s">
        <v>2835</v>
      </c>
      <c r="C693" t="s">
        <v>2836</v>
      </c>
      <c r="D693" t="s">
        <v>2837</v>
      </c>
      <c r="E693" t="s">
        <v>18</v>
      </c>
      <c r="F693" t="s">
        <v>2838</v>
      </c>
      <c r="G693" t="s">
        <v>13</v>
      </c>
      <c r="H693" t="s">
        <v>916</v>
      </c>
    </row>
    <row r="694" spans="1:8" x14ac:dyDescent="0.25">
      <c r="A694">
        <v>693</v>
      </c>
      <c r="B694" t="s">
        <v>2839</v>
      </c>
      <c r="C694" t="s">
        <v>2840</v>
      </c>
      <c r="D694" t="s">
        <v>2841</v>
      </c>
      <c r="E694" t="s">
        <v>11</v>
      </c>
      <c r="F694" t="s">
        <v>2842</v>
      </c>
      <c r="G694" t="s">
        <v>13</v>
      </c>
      <c r="H694" t="s">
        <v>1634</v>
      </c>
    </row>
    <row r="695" spans="1:8" x14ac:dyDescent="0.25">
      <c r="A695">
        <v>694</v>
      </c>
      <c r="B695" t="s">
        <v>2843</v>
      </c>
      <c r="C695" t="s">
        <v>2844</v>
      </c>
      <c r="D695" t="s">
        <v>2845</v>
      </c>
      <c r="E695" t="s">
        <v>18</v>
      </c>
      <c r="F695" t="s">
        <v>2846</v>
      </c>
      <c r="G695" t="s">
        <v>13</v>
      </c>
      <c r="H695" t="s">
        <v>308</v>
      </c>
    </row>
    <row r="696" spans="1:8" x14ac:dyDescent="0.25">
      <c r="A696">
        <v>695</v>
      </c>
      <c r="B696" t="s">
        <v>2847</v>
      </c>
      <c r="C696" t="s">
        <v>2848</v>
      </c>
      <c r="D696" t="s">
        <v>2849</v>
      </c>
      <c r="E696" t="s">
        <v>18</v>
      </c>
      <c r="F696" t="s">
        <v>2850</v>
      </c>
      <c r="G696" t="s">
        <v>13</v>
      </c>
      <c r="H696" t="s">
        <v>308</v>
      </c>
    </row>
    <row r="697" spans="1:8" x14ac:dyDescent="0.25">
      <c r="A697">
        <v>696</v>
      </c>
      <c r="B697" t="s">
        <v>2851</v>
      </c>
      <c r="C697" t="s">
        <v>2852</v>
      </c>
      <c r="D697" t="s">
        <v>2853</v>
      </c>
      <c r="E697" t="s">
        <v>11</v>
      </c>
      <c r="F697" t="s">
        <v>2854</v>
      </c>
      <c r="G697" t="s">
        <v>13</v>
      </c>
      <c r="H697" t="s">
        <v>700</v>
      </c>
    </row>
    <row r="698" spans="1:8" x14ac:dyDescent="0.25">
      <c r="B698" t="s">
        <v>2855</v>
      </c>
      <c r="C698" t="s">
        <v>2856</v>
      </c>
      <c r="D698" t="s">
        <v>2857</v>
      </c>
      <c r="E698" t="s">
        <v>18</v>
      </c>
      <c r="F698" t="s">
        <v>2858</v>
      </c>
      <c r="G698" t="s">
        <v>13</v>
      </c>
      <c r="H698" t="s">
        <v>379</v>
      </c>
    </row>
    <row r="699" spans="1:8" x14ac:dyDescent="0.25">
      <c r="A699">
        <v>698</v>
      </c>
      <c r="B699" t="s">
        <v>2859</v>
      </c>
      <c r="C699" t="s">
        <v>2860</v>
      </c>
      <c r="D699" t="s">
        <v>2861</v>
      </c>
      <c r="E699" t="s">
        <v>18</v>
      </c>
      <c r="F699" t="s">
        <v>2862</v>
      </c>
      <c r="G699" t="s">
        <v>13</v>
      </c>
      <c r="H699" t="s">
        <v>101</v>
      </c>
    </row>
    <row r="700" spans="1:8" x14ac:dyDescent="0.25">
      <c r="A700">
        <v>699</v>
      </c>
      <c r="B700" t="s">
        <v>2863</v>
      </c>
      <c r="C700" t="s">
        <v>2864</v>
      </c>
      <c r="D700" t="s">
        <v>2865</v>
      </c>
      <c r="E700" t="s">
        <v>11</v>
      </c>
      <c r="F700" t="s">
        <v>2866</v>
      </c>
      <c r="G700" t="s">
        <v>13</v>
      </c>
      <c r="H700" t="s">
        <v>597</v>
      </c>
    </row>
    <row r="701" spans="1:8" x14ac:dyDescent="0.25">
      <c r="B701" t="s">
        <v>2867</v>
      </c>
      <c r="C701" t="s">
        <v>2868</v>
      </c>
      <c r="D701" t="s">
        <v>2869</v>
      </c>
      <c r="E701" t="s">
        <v>18</v>
      </c>
      <c r="F701" t="s">
        <v>2870</v>
      </c>
      <c r="G701" t="s">
        <v>13</v>
      </c>
      <c r="H701" t="s">
        <v>602</v>
      </c>
    </row>
    <row r="702" spans="1:8" x14ac:dyDescent="0.25">
      <c r="A702">
        <v>701</v>
      </c>
      <c r="B702" t="s">
        <v>2871</v>
      </c>
      <c r="C702" t="s">
        <v>2872</v>
      </c>
      <c r="D702" t="s">
        <v>2873</v>
      </c>
      <c r="E702" t="s">
        <v>280</v>
      </c>
      <c r="F702" t="s">
        <v>2874</v>
      </c>
      <c r="G702" t="s">
        <v>13</v>
      </c>
      <c r="H702" t="s">
        <v>839</v>
      </c>
    </row>
    <row r="703" spans="1:8" x14ac:dyDescent="0.25">
      <c r="A703">
        <v>702</v>
      </c>
      <c r="B703" t="s">
        <v>2875</v>
      </c>
      <c r="C703" t="s">
        <v>2876</v>
      </c>
      <c r="D703" t="s">
        <v>2877</v>
      </c>
      <c r="E703" t="s">
        <v>11</v>
      </c>
      <c r="F703" t="s">
        <v>2878</v>
      </c>
      <c r="G703" t="s">
        <v>13</v>
      </c>
      <c r="H703" t="s">
        <v>641</v>
      </c>
    </row>
    <row r="704" spans="1:8" x14ac:dyDescent="0.25">
      <c r="A704">
        <v>703</v>
      </c>
      <c r="B704" t="s">
        <v>2879</v>
      </c>
      <c r="C704" t="s">
        <v>2204</v>
      </c>
      <c r="D704" t="s">
        <v>2880</v>
      </c>
      <c r="E704" t="s">
        <v>769</v>
      </c>
      <c r="F704" t="s">
        <v>2881</v>
      </c>
      <c r="G704" t="s">
        <v>13</v>
      </c>
      <c r="H704" t="s">
        <v>125</v>
      </c>
    </row>
    <row r="705" spans="1:8" x14ac:dyDescent="0.25">
      <c r="A705">
        <v>704</v>
      </c>
      <c r="B705" t="s">
        <v>2882</v>
      </c>
      <c r="C705" t="s">
        <v>2883</v>
      </c>
      <c r="D705" t="s">
        <v>2884</v>
      </c>
      <c r="E705" t="s">
        <v>18</v>
      </c>
      <c r="F705" t="s">
        <v>2885</v>
      </c>
      <c r="G705" t="s">
        <v>13</v>
      </c>
      <c r="H705" t="s">
        <v>567</v>
      </c>
    </row>
    <row r="706" spans="1:8" x14ac:dyDescent="0.25">
      <c r="A706">
        <v>705</v>
      </c>
      <c r="B706" t="s">
        <v>2886</v>
      </c>
      <c r="C706" t="s">
        <v>2887</v>
      </c>
      <c r="D706" t="s">
        <v>2888</v>
      </c>
      <c r="E706" t="s">
        <v>18</v>
      </c>
      <c r="F706" t="s">
        <v>2889</v>
      </c>
      <c r="G706" t="s">
        <v>13</v>
      </c>
      <c r="H706" t="s">
        <v>205</v>
      </c>
    </row>
    <row r="707" spans="1:8" x14ac:dyDescent="0.25">
      <c r="A707">
        <v>706</v>
      </c>
      <c r="B707" t="s">
        <v>2890</v>
      </c>
      <c r="C707" t="s">
        <v>2891</v>
      </c>
      <c r="D707" t="s">
        <v>2892</v>
      </c>
      <c r="E707" t="s">
        <v>29</v>
      </c>
      <c r="F707" t="s">
        <v>2893</v>
      </c>
      <c r="G707" t="s">
        <v>13</v>
      </c>
      <c r="H707" t="s">
        <v>379</v>
      </c>
    </row>
    <row r="708" spans="1:8" x14ac:dyDescent="0.25">
      <c r="A708">
        <v>707</v>
      </c>
      <c r="B708" t="s">
        <v>2894</v>
      </c>
      <c r="C708" t="s">
        <v>2895</v>
      </c>
      <c r="D708" t="s">
        <v>2896</v>
      </c>
      <c r="E708" t="s">
        <v>18</v>
      </c>
      <c r="F708" t="s">
        <v>2897</v>
      </c>
      <c r="G708" t="s">
        <v>13</v>
      </c>
      <c r="H708" t="s">
        <v>276</v>
      </c>
    </row>
    <row r="709" spans="1:8" x14ac:dyDescent="0.25">
      <c r="A709">
        <v>708</v>
      </c>
      <c r="B709" t="s">
        <v>1090</v>
      </c>
      <c r="C709" t="s">
        <v>2898</v>
      </c>
      <c r="D709" t="s">
        <v>2899</v>
      </c>
      <c r="E709" t="s">
        <v>18</v>
      </c>
      <c r="F709" t="s">
        <v>2900</v>
      </c>
      <c r="G709" t="s">
        <v>13</v>
      </c>
      <c r="H709" t="s">
        <v>1106</v>
      </c>
    </row>
    <row r="710" spans="1:8" x14ac:dyDescent="0.25">
      <c r="A710">
        <v>709</v>
      </c>
      <c r="B710" t="s">
        <v>2901</v>
      </c>
      <c r="C710" t="s">
        <v>2902</v>
      </c>
      <c r="D710" t="s">
        <v>2903</v>
      </c>
      <c r="E710" t="s">
        <v>11</v>
      </c>
      <c r="F710" t="s">
        <v>2904</v>
      </c>
      <c r="G710" t="s">
        <v>13</v>
      </c>
      <c r="H710" t="s">
        <v>71</v>
      </c>
    </row>
    <row r="711" spans="1:8" x14ac:dyDescent="0.25">
      <c r="A711">
        <v>710</v>
      </c>
      <c r="B711" t="s">
        <v>2905</v>
      </c>
      <c r="C711" t="s">
        <v>2906</v>
      </c>
      <c r="D711" t="s">
        <v>2907</v>
      </c>
      <c r="E711" t="s">
        <v>18</v>
      </c>
      <c r="F711" t="s">
        <v>2908</v>
      </c>
      <c r="G711" t="s">
        <v>13</v>
      </c>
      <c r="H711" t="s">
        <v>350</v>
      </c>
    </row>
    <row r="712" spans="1:8" x14ac:dyDescent="0.25">
      <c r="A712">
        <v>711</v>
      </c>
      <c r="B712" t="s">
        <v>2909</v>
      </c>
      <c r="C712" t="s">
        <v>2910</v>
      </c>
      <c r="D712" t="s">
        <v>2911</v>
      </c>
      <c r="E712" t="s">
        <v>18</v>
      </c>
      <c r="F712" t="s">
        <v>2912</v>
      </c>
      <c r="G712" t="s">
        <v>13</v>
      </c>
      <c r="H712" t="s">
        <v>1848</v>
      </c>
    </row>
    <row r="713" spans="1:8" x14ac:dyDescent="0.25">
      <c r="A713">
        <v>712</v>
      </c>
      <c r="B713" t="s">
        <v>2913</v>
      </c>
      <c r="C713" t="s">
        <v>2914</v>
      </c>
      <c r="D713" t="s">
        <v>2915</v>
      </c>
      <c r="E713" t="s">
        <v>18</v>
      </c>
      <c r="F713" t="s">
        <v>2916</v>
      </c>
      <c r="G713" t="s">
        <v>13</v>
      </c>
      <c r="H713" t="s">
        <v>839</v>
      </c>
    </row>
    <row r="714" spans="1:8" x14ac:dyDescent="0.25">
      <c r="A714">
        <v>713</v>
      </c>
      <c r="B714" t="s">
        <v>2917</v>
      </c>
      <c r="C714" t="s">
        <v>2918</v>
      </c>
      <c r="D714" t="s">
        <v>2919</v>
      </c>
      <c r="E714" t="s">
        <v>11</v>
      </c>
      <c r="F714" t="s">
        <v>2920</v>
      </c>
      <c r="G714" t="s">
        <v>13</v>
      </c>
      <c r="H714" t="s">
        <v>641</v>
      </c>
    </row>
    <row r="715" spans="1:8" x14ac:dyDescent="0.25">
      <c r="A715">
        <v>714</v>
      </c>
      <c r="B715" t="s">
        <v>2921</v>
      </c>
      <c r="C715" t="s">
        <v>2922</v>
      </c>
      <c r="D715" t="s">
        <v>2923</v>
      </c>
      <c r="E715" t="s">
        <v>18</v>
      </c>
      <c r="F715" t="s">
        <v>2924</v>
      </c>
      <c r="G715" t="s">
        <v>13</v>
      </c>
      <c r="H715" t="s">
        <v>173</v>
      </c>
    </row>
    <row r="716" spans="1:8" x14ac:dyDescent="0.25">
      <c r="A716">
        <v>715</v>
      </c>
      <c r="B716" t="s">
        <v>2925</v>
      </c>
      <c r="C716" t="s">
        <v>2926</v>
      </c>
      <c r="D716" t="s">
        <v>2927</v>
      </c>
      <c r="E716" t="s">
        <v>11</v>
      </c>
      <c r="F716" t="s">
        <v>2928</v>
      </c>
      <c r="G716" t="s">
        <v>13</v>
      </c>
      <c r="H716" t="s">
        <v>287</v>
      </c>
    </row>
    <row r="717" spans="1:8" x14ac:dyDescent="0.25">
      <c r="B717" t="s">
        <v>2929</v>
      </c>
      <c r="C717" t="s">
        <v>2930</v>
      </c>
      <c r="D717" t="s">
        <v>2931</v>
      </c>
      <c r="E717" t="s">
        <v>18</v>
      </c>
      <c r="F717" t="s">
        <v>2932</v>
      </c>
      <c r="G717" t="s">
        <v>13</v>
      </c>
      <c r="H717" t="s">
        <v>628</v>
      </c>
    </row>
    <row r="718" spans="1:8" x14ac:dyDescent="0.25">
      <c r="A718">
        <v>717</v>
      </c>
      <c r="B718" t="s">
        <v>2933</v>
      </c>
      <c r="C718" t="s">
        <v>2934</v>
      </c>
      <c r="D718" t="s">
        <v>2935</v>
      </c>
      <c r="E718" t="s">
        <v>11</v>
      </c>
      <c r="F718" t="s">
        <v>2936</v>
      </c>
      <c r="G718" t="s">
        <v>13</v>
      </c>
      <c r="H718" t="s">
        <v>71</v>
      </c>
    </row>
    <row r="719" spans="1:8" x14ac:dyDescent="0.25">
      <c r="B719" t="s">
        <v>2937</v>
      </c>
      <c r="C719" t="s">
        <v>2938</v>
      </c>
      <c r="D719" t="s">
        <v>2939</v>
      </c>
      <c r="E719" t="s">
        <v>11</v>
      </c>
      <c r="F719" t="s">
        <v>2940</v>
      </c>
      <c r="G719" t="s">
        <v>13</v>
      </c>
      <c r="H719" t="s">
        <v>1771</v>
      </c>
    </row>
    <row r="720" spans="1:8" x14ac:dyDescent="0.25">
      <c r="A720">
        <v>719</v>
      </c>
      <c r="B720" t="s">
        <v>2941</v>
      </c>
      <c r="C720" t="s">
        <v>2942</v>
      </c>
      <c r="D720" t="s">
        <v>2943</v>
      </c>
      <c r="E720" t="s">
        <v>18</v>
      </c>
      <c r="F720" t="s">
        <v>2944</v>
      </c>
      <c r="G720" t="s">
        <v>13</v>
      </c>
      <c r="H720" t="s">
        <v>115</v>
      </c>
    </row>
    <row r="721" spans="1:8" x14ac:dyDescent="0.25">
      <c r="B721" t="s">
        <v>2945</v>
      </c>
      <c r="C721" t="s">
        <v>2946</v>
      </c>
      <c r="D721" t="s">
        <v>2947</v>
      </c>
      <c r="E721" t="s">
        <v>18</v>
      </c>
      <c r="F721" t="s">
        <v>2948</v>
      </c>
      <c r="G721" t="s">
        <v>13</v>
      </c>
      <c r="H721" t="s">
        <v>1432</v>
      </c>
    </row>
    <row r="722" spans="1:8" x14ac:dyDescent="0.25">
      <c r="A722">
        <v>721</v>
      </c>
      <c r="B722" t="s">
        <v>2949</v>
      </c>
      <c r="C722" t="s">
        <v>2950</v>
      </c>
      <c r="D722" t="s">
        <v>2951</v>
      </c>
      <c r="E722" t="s">
        <v>18</v>
      </c>
      <c r="F722" t="s">
        <v>2952</v>
      </c>
      <c r="G722" t="s">
        <v>13</v>
      </c>
      <c r="H722" t="s">
        <v>163</v>
      </c>
    </row>
    <row r="723" spans="1:8" x14ac:dyDescent="0.25">
      <c r="A723">
        <v>722</v>
      </c>
      <c r="B723" t="s">
        <v>2953</v>
      </c>
      <c r="C723" t="s">
        <v>2954</v>
      </c>
      <c r="D723" t="s">
        <v>2955</v>
      </c>
      <c r="E723" t="s">
        <v>18</v>
      </c>
      <c r="F723" t="s">
        <v>2956</v>
      </c>
      <c r="G723" t="s">
        <v>13</v>
      </c>
      <c r="H723" t="s">
        <v>628</v>
      </c>
    </row>
    <row r="724" spans="1:8" x14ac:dyDescent="0.25">
      <c r="A724">
        <v>723</v>
      </c>
      <c r="B724" t="s">
        <v>2957</v>
      </c>
      <c r="C724" t="s">
        <v>2958</v>
      </c>
      <c r="D724" t="s">
        <v>2959</v>
      </c>
      <c r="E724" t="s">
        <v>18</v>
      </c>
      <c r="F724" t="s">
        <v>2960</v>
      </c>
      <c r="G724" t="s">
        <v>13</v>
      </c>
      <c r="H724" t="s">
        <v>61</v>
      </c>
    </row>
    <row r="725" spans="1:8" x14ac:dyDescent="0.25">
      <c r="A725">
        <v>724</v>
      </c>
      <c r="B725" t="s">
        <v>2961</v>
      </c>
      <c r="C725" t="s">
        <v>2962</v>
      </c>
      <c r="D725" t="s">
        <v>2963</v>
      </c>
      <c r="E725" t="s">
        <v>11</v>
      </c>
      <c r="F725" t="s">
        <v>2964</v>
      </c>
      <c r="G725" t="s">
        <v>13</v>
      </c>
      <c r="H725" t="s">
        <v>243</v>
      </c>
    </row>
    <row r="726" spans="1:8" x14ac:dyDescent="0.25">
      <c r="A726">
        <v>725</v>
      </c>
      <c r="B726" t="s">
        <v>2965</v>
      </c>
      <c r="C726" t="s">
        <v>2966</v>
      </c>
      <c r="D726" t="s">
        <v>2967</v>
      </c>
      <c r="E726" t="s">
        <v>11</v>
      </c>
      <c r="F726" t="s">
        <v>2968</v>
      </c>
      <c r="G726" t="s">
        <v>13</v>
      </c>
      <c r="H726" t="s">
        <v>350</v>
      </c>
    </row>
    <row r="727" spans="1:8" x14ac:dyDescent="0.25">
      <c r="A727">
        <v>726</v>
      </c>
      <c r="B727" t="s">
        <v>2969</v>
      </c>
      <c r="C727" t="s">
        <v>2970</v>
      </c>
      <c r="D727" t="s">
        <v>2971</v>
      </c>
      <c r="E727" t="s">
        <v>11</v>
      </c>
      <c r="F727" t="s">
        <v>2972</v>
      </c>
      <c r="G727" t="s">
        <v>13</v>
      </c>
      <c r="H727" t="s">
        <v>25</v>
      </c>
    </row>
    <row r="728" spans="1:8" x14ac:dyDescent="0.25">
      <c r="A728">
        <v>727</v>
      </c>
      <c r="B728" t="s">
        <v>2973</v>
      </c>
      <c r="C728" t="s">
        <v>2974</v>
      </c>
      <c r="D728" t="s">
        <v>2975</v>
      </c>
      <c r="E728" t="s">
        <v>11</v>
      </c>
      <c r="F728" t="s">
        <v>2976</v>
      </c>
      <c r="G728" t="s">
        <v>13</v>
      </c>
      <c r="H728" t="s">
        <v>404</v>
      </c>
    </row>
    <row r="729" spans="1:8" x14ac:dyDescent="0.25">
      <c r="A729">
        <v>728</v>
      </c>
      <c r="B729" t="s">
        <v>1595</v>
      </c>
      <c r="C729" t="s">
        <v>2977</v>
      </c>
      <c r="D729" t="s">
        <v>2978</v>
      </c>
      <c r="E729" t="s">
        <v>228</v>
      </c>
      <c r="F729" t="s">
        <v>2979</v>
      </c>
      <c r="G729" t="s">
        <v>13</v>
      </c>
      <c r="H729" t="s">
        <v>130</v>
      </c>
    </row>
    <row r="730" spans="1:8" x14ac:dyDescent="0.25">
      <c r="B730" t="s">
        <v>2980</v>
      </c>
      <c r="C730" t="s">
        <v>2981</v>
      </c>
      <c r="D730" t="s">
        <v>2982</v>
      </c>
      <c r="E730" t="s">
        <v>11</v>
      </c>
      <c r="F730" t="s">
        <v>2983</v>
      </c>
      <c r="G730" t="s">
        <v>13</v>
      </c>
      <c r="H730" t="s">
        <v>205</v>
      </c>
    </row>
    <row r="731" spans="1:8" x14ac:dyDescent="0.25">
      <c r="A731">
        <v>730</v>
      </c>
      <c r="B731" t="s">
        <v>2984</v>
      </c>
      <c r="C731" t="s">
        <v>2985</v>
      </c>
      <c r="D731" t="s">
        <v>2986</v>
      </c>
      <c r="E731" t="s">
        <v>11</v>
      </c>
      <c r="F731" t="s">
        <v>2987</v>
      </c>
      <c r="G731" t="s">
        <v>13</v>
      </c>
      <c r="H731" t="s">
        <v>125</v>
      </c>
    </row>
    <row r="732" spans="1:8" x14ac:dyDescent="0.25">
      <c r="A732">
        <v>731</v>
      </c>
      <c r="B732" t="s">
        <v>2988</v>
      </c>
      <c r="C732" t="s">
        <v>2989</v>
      </c>
      <c r="D732" t="s">
        <v>2990</v>
      </c>
      <c r="E732" t="s">
        <v>18</v>
      </c>
      <c r="F732" t="s">
        <v>2991</v>
      </c>
      <c r="G732" t="s">
        <v>13</v>
      </c>
      <c r="H732" t="s">
        <v>205</v>
      </c>
    </row>
    <row r="733" spans="1:8" x14ac:dyDescent="0.25">
      <c r="A733">
        <v>732</v>
      </c>
      <c r="B733" t="s">
        <v>2992</v>
      </c>
      <c r="C733" t="s">
        <v>1894</v>
      </c>
      <c r="D733" t="s">
        <v>2993</v>
      </c>
      <c r="E733" t="s">
        <v>11</v>
      </c>
      <c r="F733" t="s">
        <v>2994</v>
      </c>
      <c r="G733" t="s">
        <v>13</v>
      </c>
      <c r="H733" t="s">
        <v>230</v>
      </c>
    </row>
    <row r="734" spans="1:8" x14ac:dyDescent="0.25">
      <c r="A734">
        <v>733</v>
      </c>
      <c r="B734" t="s">
        <v>2995</v>
      </c>
      <c r="C734" t="s">
        <v>2996</v>
      </c>
      <c r="D734" t="s">
        <v>2997</v>
      </c>
      <c r="E734" t="s">
        <v>11</v>
      </c>
      <c r="F734" t="s">
        <v>2998</v>
      </c>
      <c r="G734" t="s">
        <v>13</v>
      </c>
      <c r="H734" t="s">
        <v>779</v>
      </c>
    </row>
    <row r="735" spans="1:8" x14ac:dyDescent="0.25">
      <c r="A735">
        <v>734</v>
      </c>
      <c r="B735" t="s">
        <v>2999</v>
      </c>
      <c r="C735" t="s">
        <v>3000</v>
      </c>
      <c r="D735" t="s">
        <v>3001</v>
      </c>
      <c r="E735" t="s">
        <v>18</v>
      </c>
      <c r="F735" t="s">
        <v>3002</v>
      </c>
      <c r="G735" t="s">
        <v>13</v>
      </c>
      <c r="H735" t="s">
        <v>588</v>
      </c>
    </row>
    <row r="736" spans="1:8" x14ac:dyDescent="0.25">
      <c r="A736">
        <v>735</v>
      </c>
      <c r="B736" t="s">
        <v>3003</v>
      </c>
      <c r="C736" t="s">
        <v>3004</v>
      </c>
      <c r="D736" t="s">
        <v>3005</v>
      </c>
      <c r="E736" t="s">
        <v>228</v>
      </c>
      <c r="F736" t="s">
        <v>3006</v>
      </c>
      <c r="G736" t="s">
        <v>13</v>
      </c>
      <c r="H736" t="s">
        <v>1634</v>
      </c>
    </row>
    <row r="737" spans="1:8" x14ac:dyDescent="0.25">
      <c r="A737">
        <v>736</v>
      </c>
      <c r="B737" t="s">
        <v>2925</v>
      </c>
      <c r="C737" t="s">
        <v>3007</v>
      </c>
      <c r="E737" t="s">
        <v>11</v>
      </c>
      <c r="F737" t="s">
        <v>3008</v>
      </c>
      <c r="G737" t="s">
        <v>13</v>
      </c>
      <c r="H737" t="s">
        <v>188</v>
      </c>
    </row>
    <row r="738" spans="1:8" x14ac:dyDescent="0.25">
      <c r="A738">
        <v>737</v>
      </c>
      <c r="B738" t="s">
        <v>3009</v>
      </c>
      <c r="C738" t="s">
        <v>3010</v>
      </c>
      <c r="D738" t="s">
        <v>3011</v>
      </c>
      <c r="E738" t="s">
        <v>11</v>
      </c>
      <c r="F738" t="s">
        <v>3012</v>
      </c>
      <c r="G738" t="s">
        <v>13</v>
      </c>
      <c r="H738" t="s">
        <v>549</v>
      </c>
    </row>
    <row r="739" spans="1:8" x14ac:dyDescent="0.25">
      <c r="A739">
        <v>738</v>
      </c>
      <c r="B739" t="s">
        <v>426</v>
      </c>
      <c r="C739" t="s">
        <v>3013</v>
      </c>
      <c r="D739" t="s">
        <v>3014</v>
      </c>
      <c r="E739" t="s">
        <v>18</v>
      </c>
      <c r="F739" t="s">
        <v>3015</v>
      </c>
      <c r="G739" t="s">
        <v>13</v>
      </c>
      <c r="H739" t="s">
        <v>276</v>
      </c>
    </row>
    <row r="740" spans="1:8" x14ac:dyDescent="0.25">
      <c r="A740">
        <v>739</v>
      </c>
      <c r="B740" t="s">
        <v>3016</v>
      </c>
      <c r="C740" t="s">
        <v>3017</v>
      </c>
      <c r="D740" t="s">
        <v>3018</v>
      </c>
      <c r="E740" t="s">
        <v>18</v>
      </c>
      <c r="F740" t="s">
        <v>3019</v>
      </c>
      <c r="G740" t="s">
        <v>13</v>
      </c>
      <c r="H740" t="s">
        <v>687</v>
      </c>
    </row>
    <row r="741" spans="1:8" x14ac:dyDescent="0.25">
      <c r="A741">
        <v>740</v>
      </c>
      <c r="B741" t="s">
        <v>3020</v>
      </c>
      <c r="C741" t="s">
        <v>3021</v>
      </c>
      <c r="D741" t="s">
        <v>3022</v>
      </c>
      <c r="E741" t="s">
        <v>11</v>
      </c>
      <c r="F741" t="s">
        <v>3023</v>
      </c>
      <c r="G741" t="s">
        <v>13</v>
      </c>
      <c r="H741" t="s">
        <v>56</v>
      </c>
    </row>
    <row r="742" spans="1:8" x14ac:dyDescent="0.25">
      <c r="A742">
        <v>741</v>
      </c>
      <c r="B742" t="s">
        <v>3024</v>
      </c>
      <c r="C742" t="s">
        <v>3025</v>
      </c>
      <c r="D742" t="s">
        <v>3026</v>
      </c>
      <c r="E742" t="s">
        <v>11</v>
      </c>
      <c r="F742" t="s">
        <v>3027</v>
      </c>
      <c r="G742" t="s">
        <v>13</v>
      </c>
      <c r="H742" t="s">
        <v>438</v>
      </c>
    </row>
    <row r="743" spans="1:8" x14ac:dyDescent="0.25">
      <c r="A743">
        <v>742</v>
      </c>
      <c r="B743" t="s">
        <v>3028</v>
      </c>
      <c r="C743" t="s">
        <v>3029</v>
      </c>
      <c r="D743" t="s">
        <v>3030</v>
      </c>
      <c r="E743" t="s">
        <v>11</v>
      </c>
      <c r="F743" t="s">
        <v>3031</v>
      </c>
      <c r="G743" t="s">
        <v>13</v>
      </c>
      <c r="H743" t="s">
        <v>804</v>
      </c>
    </row>
    <row r="744" spans="1:8" x14ac:dyDescent="0.25">
      <c r="A744">
        <v>743</v>
      </c>
      <c r="B744" t="s">
        <v>3032</v>
      </c>
      <c r="C744" t="s">
        <v>3033</v>
      </c>
      <c r="D744" t="s">
        <v>3034</v>
      </c>
      <c r="E744" t="s">
        <v>18</v>
      </c>
      <c r="F744" t="s">
        <v>3035</v>
      </c>
      <c r="G744" t="s">
        <v>13</v>
      </c>
      <c r="H744" t="s">
        <v>120</v>
      </c>
    </row>
    <row r="745" spans="1:8" x14ac:dyDescent="0.25">
      <c r="A745">
        <v>744</v>
      </c>
      <c r="B745" t="s">
        <v>3036</v>
      </c>
      <c r="C745" t="s">
        <v>3037</v>
      </c>
      <c r="D745" t="s">
        <v>3038</v>
      </c>
      <c r="E745" t="s">
        <v>11</v>
      </c>
      <c r="F745" t="s">
        <v>3039</v>
      </c>
      <c r="G745" t="s">
        <v>13</v>
      </c>
      <c r="H745" t="s">
        <v>628</v>
      </c>
    </row>
    <row r="746" spans="1:8" x14ac:dyDescent="0.25">
      <c r="A746">
        <v>745</v>
      </c>
      <c r="B746" t="s">
        <v>3040</v>
      </c>
      <c r="C746" t="s">
        <v>3041</v>
      </c>
      <c r="D746" t="s">
        <v>3042</v>
      </c>
      <c r="E746" t="s">
        <v>280</v>
      </c>
      <c r="F746" t="s">
        <v>3043</v>
      </c>
      <c r="G746" t="s">
        <v>13</v>
      </c>
      <c r="H746" t="s">
        <v>350</v>
      </c>
    </row>
    <row r="747" spans="1:8" x14ac:dyDescent="0.25">
      <c r="B747" t="s">
        <v>3044</v>
      </c>
      <c r="C747" t="s">
        <v>3045</v>
      </c>
      <c r="D747" t="s">
        <v>3046</v>
      </c>
      <c r="E747" t="s">
        <v>11</v>
      </c>
      <c r="F747" t="s">
        <v>3047</v>
      </c>
      <c r="G747" t="s">
        <v>13</v>
      </c>
      <c r="H747" t="s">
        <v>602</v>
      </c>
    </row>
    <row r="748" spans="1:8" x14ac:dyDescent="0.25">
      <c r="A748">
        <v>747</v>
      </c>
      <c r="B748" t="s">
        <v>3048</v>
      </c>
      <c r="C748" t="s">
        <v>3049</v>
      </c>
      <c r="D748" t="s">
        <v>3050</v>
      </c>
      <c r="E748" t="s">
        <v>18</v>
      </c>
      <c r="F748" t="s">
        <v>3051</v>
      </c>
      <c r="G748" t="s">
        <v>13</v>
      </c>
      <c r="H748" t="s">
        <v>628</v>
      </c>
    </row>
    <row r="749" spans="1:8" x14ac:dyDescent="0.25">
      <c r="A749">
        <v>748</v>
      </c>
      <c r="C749" t="s">
        <v>811</v>
      </c>
      <c r="D749" t="s">
        <v>3052</v>
      </c>
      <c r="E749" t="s">
        <v>11</v>
      </c>
      <c r="F749" t="s">
        <v>3053</v>
      </c>
      <c r="G749" t="s">
        <v>13</v>
      </c>
      <c r="H749" t="s">
        <v>687</v>
      </c>
    </row>
    <row r="750" spans="1:8" x14ac:dyDescent="0.25">
      <c r="A750">
        <v>749</v>
      </c>
      <c r="B750" t="s">
        <v>3054</v>
      </c>
      <c r="C750" t="s">
        <v>3055</v>
      </c>
      <c r="D750" t="s">
        <v>3056</v>
      </c>
      <c r="E750" t="s">
        <v>18</v>
      </c>
      <c r="F750" t="s">
        <v>3057</v>
      </c>
      <c r="G750" t="s">
        <v>13</v>
      </c>
      <c r="H750" t="s">
        <v>379</v>
      </c>
    </row>
    <row r="751" spans="1:8" x14ac:dyDescent="0.25">
      <c r="A751">
        <v>750</v>
      </c>
      <c r="B751" t="s">
        <v>3058</v>
      </c>
      <c r="C751" t="s">
        <v>3059</v>
      </c>
      <c r="D751" t="s">
        <v>3060</v>
      </c>
      <c r="E751" t="s">
        <v>18</v>
      </c>
      <c r="F751" t="s">
        <v>3061</v>
      </c>
      <c r="G751" t="s">
        <v>13</v>
      </c>
      <c r="H751" t="s">
        <v>619</v>
      </c>
    </row>
    <row r="752" spans="1:8" x14ac:dyDescent="0.25">
      <c r="A752">
        <v>751</v>
      </c>
      <c r="B752" t="s">
        <v>3062</v>
      </c>
      <c r="C752" t="s">
        <v>3063</v>
      </c>
      <c r="D752" t="s">
        <v>3064</v>
      </c>
      <c r="E752" t="s">
        <v>18</v>
      </c>
      <c r="F752" t="s">
        <v>3065</v>
      </c>
      <c r="G752" t="s">
        <v>13</v>
      </c>
      <c r="H752" t="s">
        <v>71</v>
      </c>
    </row>
    <row r="753" spans="1:8" x14ac:dyDescent="0.25">
      <c r="A753">
        <v>752</v>
      </c>
      <c r="B753" t="s">
        <v>2596</v>
      </c>
      <c r="C753" t="s">
        <v>3066</v>
      </c>
      <c r="D753" t="s">
        <v>3067</v>
      </c>
      <c r="E753" t="s">
        <v>18</v>
      </c>
      <c r="F753" t="s">
        <v>3068</v>
      </c>
      <c r="G753" t="s">
        <v>13</v>
      </c>
      <c r="H753" t="s">
        <v>1212</v>
      </c>
    </row>
    <row r="754" spans="1:8" x14ac:dyDescent="0.25">
      <c r="A754">
        <v>753</v>
      </c>
      <c r="B754" t="s">
        <v>3069</v>
      </c>
      <c r="C754" t="s">
        <v>3070</v>
      </c>
      <c r="D754" t="s">
        <v>3071</v>
      </c>
      <c r="E754" t="s">
        <v>18</v>
      </c>
      <c r="F754" t="s">
        <v>3072</v>
      </c>
      <c r="G754" t="s">
        <v>13</v>
      </c>
      <c r="H754" t="s">
        <v>215</v>
      </c>
    </row>
    <row r="755" spans="1:8" x14ac:dyDescent="0.25">
      <c r="A755">
        <v>754</v>
      </c>
      <c r="B755" t="s">
        <v>1528</v>
      </c>
      <c r="C755" t="s">
        <v>3073</v>
      </c>
      <c r="D755" t="s">
        <v>3074</v>
      </c>
      <c r="E755" t="s">
        <v>11</v>
      </c>
      <c r="F755" t="s">
        <v>3075</v>
      </c>
      <c r="G755" t="s">
        <v>13</v>
      </c>
      <c r="H755" t="s">
        <v>814</v>
      </c>
    </row>
    <row r="756" spans="1:8" x14ac:dyDescent="0.25">
      <c r="A756">
        <v>755</v>
      </c>
      <c r="B756" t="s">
        <v>3076</v>
      </c>
      <c r="C756" t="s">
        <v>3077</v>
      </c>
      <c r="D756" t="s">
        <v>3078</v>
      </c>
      <c r="E756" t="s">
        <v>11</v>
      </c>
      <c r="F756" t="s">
        <v>3079</v>
      </c>
      <c r="G756" t="s">
        <v>13</v>
      </c>
      <c r="H756" t="s">
        <v>252</v>
      </c>
    </row>
    <row r="757" spans="1:8" x14ac:dyDescent="0.25">
      <c r="A757">
        <v>756</v>
      </c>
      <c r="B757" t="s">
        <v>3080</v>
      </c>
      <c r="C757" t="s">
        <v>3081</v>
      </c>
      <c r="D757" t="s">
        <v>3082</v>
      </c>
      <c r="E757" t="s">
        <v>11</v>
      </c>
      <c r="F757" t="s">
        <v>3083</v>
      </c>
      <c r="G757" t="s">
        <v>13</v>
      </c>
      <c r="H757" t="s">
        <v>331</v>
      </c>
    </row>
    <row r="758" spans="1:8" x14ac:dyDescent="0.25">
      <c r="A758">
        <v>757</v>
      </c>
      <c r="B758" t="s">
        <v>3084</v>
      </c>
      <c r="C758" t="s">
        <v>3085</v>
      </c>
      <c r="D758" t="s">
        <v>3086</v>
      </c>
      <c r="E758" t="s">
        <v>280</v>
      </c>
      <c r="F758" t="s">
        <v>3087</v>
      </c>
      <c r="G758" t="s">
        <v>13</v>
      </c>
      <c r="H758" t="s">
        <v>163</v>
      </c>
    </row>
    <row r="759" spans="1:8" x14ac:dyDescent="0.25">
      <c r="A759">
        <v>758</v>
      </c>
      <c r="B759" t="s">
        <v>1946</v>
      </c>
      <c r="C759" t="s">
        <v>3088</v>
      </c>
      <c r="D759" t="s">
        <v>3089</v>
      </c>
      <c r="E759" t="s">
        <v>18</v>
      </c>
      <c r="F759" t="s">
        <v>3090</v>
      </c>
      <c r="G759" t="s">
        <v>13</v>
      </c>
      <c r="H759" t="s">
        <v>130</v>
      </c>
    </row>
    <row r="760" spans="1:8" x14ac:dyDescent="0.25">
      <c r="A760">
        <v>759</v>
      </c>
      <c r="B760" t="s">
        <v>3091</v>
      </c>
      <c r="C760" t="s">
        <v>3092</v>
      </c>
      <c r="D760" t="s">
        <v>3093</v>
      </c>
      <c r="E760" t="s">
        <v>18</v>
      </c>
      <c r="F760" t="s">
        <v>3094</v>
      </c>
      <c r="G760" t="s">
        <v>13</v>
      </c>
      <c r="H760" t="s">
        <v>619</v>
      </c>
    </row>
    <row r="761" spans="1:8" x14ac:dyDescent="0.25">
      <c r="A761">
        <v>760</v>
      </c>
      <c r="B761" t="s">
        <v>3095</v>
      </c>
      <c r="C761" t="s">
        <v>3096</v>
      </c>
      <c r="D761" t="s">
        <v>3097</v>
      </c>
      <c r="E761" t="s">
        <v>18</v>
      </c>
      <c r="F761" t="s">
        <v>3098</v>
      </c>
      <c r="G761" t="s">
        <v>13</v>
      </c>
      <c r="H761" t="s">
        <v>282</v>
      </c>
    </row>
    <row r="762" spans="1:8" x14ac:dyDescent="0.25">
      <c r="A762">
        <v>761</v>
      </c>
      <c r="B762" t="s">
        <v>3099</v>
      </c>
      <c r="C762" t="s">
        <v>3100</v>
      </c>
      <c r="D762" t="s">
        <v>3101</v>
      </c>
      <c r="E762" t="s">
        <v>18</v>
      </c>
      <c r="F762" t="s">
        <v>3102</v>
      </c>
      <c r="G762" t="s">
        <v>13</v>
      </c>
      <c r="H762" t="s">
        <v>76</v>
      </c>
    </row>
    <row r="763" spans="1:8" x14ac:dyDescent="0.25">
      <c r="A763">
        <v>762</v>
      </c>
      <c r="B763" t="s">
        <v>1140</v>
      </c>
      <c r="C763" t="s">
        <v>3103</v>
      </c>
      <c r="D763" t="s">
        <v>3104</v>
      </c>
      <c r="E763" t="s">
        <v>18</v>
      </c>
      <c r="F763" t="s">
        <v>3105</v>
      </c>
      <c r="G763" t="s">
        <v>13</v>
      </c>
      <c r="H763" t="s">
        <v>61</v>
      </c>
    </row>
    <row r="764" spans="1:8" x14ac:dyDescent="0.25">
      <c r="A764">
        <v>763</v>
      </c>
      <c r="B764" t="s">
        <v>3106</v>
      </c>
      <c r="C764" t="s">
        <v>3107</v>
      </c>
      <c r="D764" t="s">
        <v>3108</v>
      </c>
      <c r="E764" t="s">
        <v>11</v>
      </c>
      <c r="F764" t="s">
        <v>3109</v>
      </c>
      <c r="G764" t="s">
        <v>13</v>
      </c>
      <c r="H764" t="s">
        <v>36</v>
      </c>
    </row>
    <row r="765" spans="1:8" x14ac:dyDescent="0.25">
      <c r="B765" t="s">
        <v>3110</v>
      </c>
      <c r="C765" t="s">
        <v>3111</v>
      </c>
      <c r="D765" t="s">
        <v>3112</v>
      </c>
      <c r="E765" t="s">
        <v>11</v>
      </c>
      <c r="F765" t="s">
        <v>3113</v>
      </c>
      <c r="G765" t="s">
        <v>13</v>
      </c>
      <c r="H765" t="s">
        <v>125</v>
      </c>
    </row>
    <row r="766" spans="1:8" x14ac:dyDescent="0.25">
      <c r="B766" t="s">
        <v>3114</v>
      </c>
      <c r="C766" t="s">
        <v>3115</v>
      </c>
      <c r="D766" t="s">
        <v>3116</v>
      </c>
      <c r="E766" t="s">
        <v>18</v>
      </c>
      <c r="F766" t="s">
        <v>3117</v>
      </c>
      <c r="G766" t="s">
        <v>13</v>
      </c>
      <c r="H766" t="s">
        <v>1017</v>
      </c>
    </row>
    <row r="767" spans="1:8" x14ac:dyDescent="0.25">
      <c r="B767" t="s">
        <v>3118</v>
      </c>
      <c r="C767" t="s">
        <v>3119</v>
      </c>
      <c r="D767" t="s">
        <v>3120</v>
      </c>
      <c r="E767" t="s">
        <v>18</v>
      </c>
      <c r="F767" t="s">
        <v>3121</v>
      </c>
      <c r="G767" t="s">
        <v>13</v>
      </c>
      <c r="H767" t="s">
        <v>163</v>
      </c>
    </row>
    <row r="768" spans="1:8" x14ac:dyDescent="0.25">
      <c r="A768">
        <v>767</v>
      </c>
      <c r="B768" t="s">
        <v>3122</v>
      </c>
      <c r="C768" t="s">
        <v>3123</v>
      </c>
      <c r="D768" t="s">
        <v>3124</v>
      </c>
      <c r="E768" t="s">
        <v>11</v>
      </c>
      <c r="F768" t="s">
        <v>3125</v>
      </c>
      <c r="G768" t="s">
        <v>13</v>
      </c>
      <c r="H768" t="s">
        <v>61</v>
      </c>
    </row>
    <row r="769" spans="1:8" x14ac:dyDescent="0.25">
      <c r="A769">
        <v>768</v>
      </c>
      <c r="B769" t="s">
        <v>3126</v>
      </c>
      <c r="C769" t="s">
        <v>3127</v>
      </c>
      <c r="D769" t="s">
        <v>3128</v>
      </c>
      <c r="E769" t="s">
        <v>11</v>
      </c>
      <c r="F769" t="s">
        <v>3129</v>
      </c>
      <c r="G769" t="s">
        <v>13</v>
      </c>
      <c r="H769" t="s">
        <v>619</v>
      </c>
    </row>
    <row r="770" spans="1:8" x14ac:dyDescent="0.25">
      <c r="A770">
        <v>769</v>
      </c>
      <c r="B770" t="s">
        <v>3130</v>
      </c>
      <c r="C770" t="s">
        <v>3131</v>
      </c>
      <c r="D770" t="s">
        <v>3132</v>
      </c>
      <c r="E770" t="s">
        <v>18</v>
      </c>
      <c r="F770" t="s">
        <v>3133</v>
      </c>
      <c r="G770" t="s">
        <v>13</v>
      </c>
      <c r="H770" t="s">
        <v>20</v>
      </c>
    </row>
    <row r="771" spans="1:8" x14ac:dyDescent="0.25">
      <c r="A771">
        <v>770</v>
      </c>
      <c r="B771" t="s">
        <v>3134</v>
      </c>
      <c r="C771" t="s">
        <v>1401</v>
      </c>
      <c r="D771" t="s">
        <v>3135</v>
      </c>
      <c r="E771" t="s">
        <v>18</v>
      </c>
      <c r="F771" t="s">
        <v>3136</v>
      </c>
      <c r="G771" t="s">
        <v>13</v>
      </c>
      <c r="H771" t="s">
        <v>425</v>
      </c>
    </row>
    <row r="772" spans="1:8" x14ac:dyDescent="0.25">
      <c r="A772">
        <v>771</v>
      </c>
      <c r="B772" t="s">
        <v>3137</v>
      </c>
      <c r="C772" t="s">
        <v>3138</v>
      </c>
      <c r="D772" t="s">
        <v>3139</v>
      </c>
      <c r="E772" t="s">
        <v>11</v>
      </c>
      <c r="F772" t="s">
        <v>3140</v>
      </c>
      <c r="G772" t="s">
        <v>13</v>
      </c>
      <c r="H772" t="s">
        <v>365</v>
      </c>
    </row>
    <row r="773" spans="1:8" x14ac:dyDescent="0.25">
      <c r="A773">
        <v>772</v>
      </c>
      <c r="B773" t="s">
        <v>3141</v>
      </c>
      <c r="C773" t="s">
        <v>3142</v>
      </c>
      <c r="D773" t="s">
        <v>3143</v>
      </c>
      <c r="E773" t="s">
        <v>228</v>
      </c>
      <c r="F773" t="s">
        <v>3144</v>
      </c>
      <c r="G773" t="s">
        <v>13</v>
      </c>
      <c r="H773" t="s">
        <v>379</v>
      </c>
    </row>
    <row r="774" spans="1:8" x14ac:dyDescent="0.25">
      <c r="A774">
        <v>773</v>
      </c>
      <c r="B774" t="s">
        <v>1805</v>
      </c>
      <c r="C774" t="s">
        <v>3145</v>
      </c>
      <c r="D774" t="s">
        <v>3146</v>
      </c>
      <c r="E774" t="s">
        <v>18</v>
      </c>
      <c r="F774" t="s">
        <v>3147</v>
      </c>
      <c r="G774" t="s">
        <v>13</v>
      </c>
      <c r="H774" t="s">
        <v>296</v>
      </c>
    </row>
    <row r="775" spans="1:8" x14ac:dyDescent="0.25">
      <c r="A775">
        <v>774</v>
      </c>
      <c r="B775" t="s">
        <v>3148</v>
      </c>
      <c r="C775" t="s">
        <v>3149</v>
      </c>
      <c r="D775" t="s">
        <v>3150</v>
      </c>
      <c r="E775" t="s">
        <v>11</v>
      </c>
      <c r="F775" t="s">
        <v>3151</v>
      </c>
      <c r="G775" t="s">
        <v>13</v>
      </c>
      <c r="H775" t="s">
        <v>809</v>
      </c>
    </row>
    <row r="776" spans="1:8" x14ac:dyDescent="0.25">
      <c r="A776">
        <v>775</v>
      </c>
      <c r="B776" t="s">
        <v>3152</v>
      </c>
      <c r="C776" t="s">
        <v>3153</v>
      </c>
      <c r="D776" t="s">
        <v>3154</v>
      </c>
      <c r="E776" t="s">
        <v>18</v>
      </c>
      <c r="F776" t="s">
        <v>3155</v>
      </c>
      <c r="G776" t="s">
        <v>13</v>
      </c>
      <c r="H776" t="s">
        <v>322</v>
      </c>
    </row>
    <row r="777" spans="1:8" x14ac:dyDescent="0.25">
      <c r="A777">
        <v>776</v>
      </c>
      <c r="C777" t="s">
        <v>3156</v>
      </c>
      <c r="D777" t="s">
        <v>3157</v>
      </c>
      <c r="E777" t="s">
        <v>18</v>
      </c>
      <c r="F777" t="s">
        <v>3158</v>
      </c>
      <c r="G777" t="s">
        <v>13</v>
      </c>
      <c r="H777" t="s">
        <v>14</v>
      </c>
    </row>
    <row r="778" spans="1:8" x14ac:dyDescent="0.25">
      <c r="A778">
        <v>777</v>
      </c>
      <c r="B778" t="s">
        <v>3159</v>
      </c>
      <c r="C778" t="s">
        <v>3160</v>
      </c>
      <c r="D778" t="s">
        <v>3161</v>
      </c>
      <c r="E778" t="s">
        <v>11</v>
      </c>
      <c r="F778" t="s">
        <v>3162</v>
      </c>
      <c r="G778" t="s">
        <v>13</v>
      </c>
      <c r="H778" t="s">
        <v>14</v>
      </c>
    </row>
    <row r="779" spans="1:8" x14ac:dyDescent="0.25">
      <c r="A779">
        <v>778</v>
      </c>
      <c r="B779" t="s">
        <v>3163</v>
      </c>
      <c r="C779" t="s">
        <v>3164</v>
      </c>
      <c r="D779" t="s">
        <v>3165</v>
      </c>
      <c r="E779" t="s">
        <v>18</v>
      </c>
      <c r="F779" t="s">
        <v>3166</v>
      </c>
      <c r="G779" t="s">
        <v>13</v>
      </c>
      <c r="H779" t="s">
        <v>66</v>
      </c>
    </row>
    <row r="780" spans="1:8" x14ac:dyDescent="0.25">
      <c r="A780">
        <v>779</v>
      </c>
      <c r="B780" t="s">
        <v>2929</v>
      </c>
      <c r="C780" t="s">
        <v>3167</v>
      </c>
      <c r="D780" t="s">
        <v>3168</v>
      </c>
      <c r="E780" t="s">
        <v>18</v>
      </c>
      <c r="F780" t="s">
        <v>3169</v>
      </c>
      <c r="G780" t="s">
        <v>13</v>
      </c>
      <c r="H780" t="s">
        <v>149</v>
      </c>
    </row>
    <row r="781" spans="1:8" x14ac:dyDescent="0.25">
      <c r="A781">
        <v>780</v>
      </c>
      <c r="B781" t="s">
        <v>3170</v>
      </c>
      <c r="C781" t="s">
        <v>3171</v>
      </c>
      <c r="D781" t="s">
        <v>3172</v>
      </c>
      <c r="E781" t="s">
        <v>18</v>
      </c>
      <c r="F781" t="s">
        <v>3173</v>
      </c>
      <c r="G781" t="s">
        <v>13</v>
      </c>
      <c r="H781" t="s">
        <v>916</v>
      </c>
    </row>
    <row r="782" spans="1:8" x14ac:dyDescent="0.25">
      <c r="A782">
        <v>781</v>
      </c>
      <c r="B782" t="s">
        <v>3174</v>
      </c>
      <c r="C782" t="s">
        <v>3175</v>
      </c>
      <c r="D782" t="s">
        <v>3176</v>
      </c>
      <c r="E782" t="s">
        <v>11</v>
      </c>
      <c r="F782" t="s">
        <v>3177</v>
      </c>
      <c r="G782" t="s">
        <v>4036</v>
      </c>
      <c r="H782" t="s">
        <v>46</v>
      </c>
    </row>
    <row r="783" spans="1:8" x14ac:dyDescent="0.25">
      <c r="B783" t="s">
        <v>1853</v>
      </c>
      <c r="C783" t="s">
        <v>3178</v>
      </c>
      <c r="D783" t="s">
        <v>3179</v>
      </c>
      <c r="E783" t="s">
        <v>358</v>
      </c>
      <c r="F783" t="s">
        <v>3180</v>
      </c>
      <c r="G783" t="s">
        <v>13</v>
      </c>
      <c r="H783" t="s">
        <v>205</v>
      </c>
    </row>
    <row r="784" spans="1:8" x14ac:dyDescent="0.25">
      <c r="A784">
        <v>783</v>
      </c>
      <c r="B784" t="s">
        <v>3181</v>
      </c>
      <c r="C784" t="s">
        <v>3182</v>
      </c>
      <c r="D784" t="s">
        <v>3183</v>
      </c>
      <c r="E784" t="s">
        <v>228</v>
      </c>
      <c r="F784" t="s">
        <v>3184</v>
      </c>
      <c r="G784" t="s">
        <v>13</v>
      </c>
      <c r="H784" t="s">
        <v>374</v>
      </c>
    </row>
    <row r="785" spans="1:8" x14ac:dyDescent="0.25">
      <c r="A785">
        <v>784</v>
      </c>
      <c r="B785" t="s">
        <v>2148</v>
      </c>
      <c r="C785" t="s">
        <v>3185</v>
      </c>
      <c r="D785" t="s">
        <v>3186</v>
      </c>
      <c r="E785" t="s">
        <v>18</v>
      </c>
      <c r="F785" t="s">
        <v>3187</v>
      </c>
      <c r="G785" t="s">
        <v>13</v>
      </c>
      <c r="H785" t="s">
        <v>168</v>
      </c>
    </row>
    <row r="786" spans="1:8" x14ac:dyDescent="0.25">
      <c r="A786">
        <v>785</v>
      </c>
      <c r="B786" t="s">
        <v>3188</v>
      </c>
      <c r="C786" t="s">
        <v>3189</v>
      </c>
      <c r="D786" t="s">
        <v>3190</v>
      </c>
      <c r="E786" t="s">
        <v>18</v>
      </c>
      <c r="F786" t="s">
        <v>3191</v>
      </c>
      <c r="G786" t="s">
        <v>13</v>
      </c>
      <c r="H786" t="s">
        <v>425</v>
      </c>
    </row>
    <row r="787" spans="1:8" x14ac:dyDescent="0.25">
      <c r="A787">
        <v>786</v>
      </c>
      <c r="B787" t="s">
        <v>3192</v>
      </c>
      <c r="C787" t="s">
        <v>3193</v>
      </c>
      <c r="D787" t="s">
        <v>3194</v>
      </c>
      <c r="E787" t="s">
        <v>18</v>
      </c>
      <c r="F787" t="s">
        <v>3195</v>
      </c>
      <c r="G787" t="s">
        <v>13</v>
      </c>
      <c r="H787" t="s">
        <v>210</v>
      </c>
    </row>
    <row r="788" spans="1:8" x14ac:dyDescent="0.25">
      <c r="A788">
        <v>787</v>
      </c>
      <c r="B788" t="s">
        <v>3196</v>
      </c>
      <c r="C788" t="s">
        <v>3197</v>
      </c>
      <c r="D788" t="s">
        <v>3198</v>
      </c>
      <c r="E788" t="s">
        <v>11</v>
      </c>
      <c r="F788" t="s">
        <v>3199</v>
      </c>
      <c r="G788" t="s">
        <v>13</v>
      </c>
      <c r="H788" t="s">
        <v>379</v>
      </c>
    </row>
    <row r="789" spans="1:8" x14ac:dyDescent="0.25">
      <c r="A789">
        <v>788</v>
      </c>
      <c r="B789" t="s">
        <v>3200</v>
      </c>
      <c r="C789" t="s">
        <v>3201</v>
      </c>
      <c r="D789" t="s">
        <v>3202</v>
      </c>
      <c r="E789" t="s">
        <v>11</v>
      </c>
      <c r="F789" t="s">
        <v>3203</v>
      </c>
      <c r="G789" t="s">
        <v>13</v>
      </c>
      <c r="H789" t="s">
        <v>215</v>
      </c>
    </row>
    <row r="790" spans="1:8" x14ac:dyDescent="0.25">
      <c r="A790">
        <v>789</v>
      </c>
      <c r="B790" t="s">
        <v>3204</v>
      </c>
      <c r="C790" t="s">
        <v>3205</v>
      </c>
      <c r="D790" t="s">
        <v>3206</v>
      </c>
      <c r="E790" t="s">
        <v>18</v>
      </c>
      <c r="F790" t="s">
        <v>3207</v>
      </c>
      <c r="G790" t="s">
        <v>13</v>
      </c>
      <c r="H790" t="s">
        <v>365</v>
      </c>
    </row>
    <row r="791" spans="1:8" x14ac:dyDescent="0.25">
      <c r="A791">
        <v>790</v>
      </c>
      <c r="B791" t="s">
        <v>3208</v>
      </c>
      <c r="C791" t="s">
        <v>3209</v>
      </c>
      <c r="D791" t="s">
        <v>3210</v>
      </c>
      <c r="E791" t="s">
        <v>18</v>
      </c>
      <c r="F791" t="s">
        <v>3211</v>
      </c>
      <c r="G791" t="s">
        <v>13</v>
      </c>
      <c r="H791" t="s">
        <v>115</v>
      </c>
    </row>
    <row r="792" spans="1:8" x14ac:dyDescent="0.25">
      <c r="A792">
        <v>791</v>
      </c>
      <c r="B792" t="s">
        <v>3212</v>
      </c>
      <c r="C792" t="s">
        <v>3213</v>
      </c>
      <c r="D792" t="s">
        <v>3214</v>
      </c>
      <c r="E792" t="s">
        <v>18</v>
      </c>
      <c r="F792" t="s">
        <v>3215</v>
      </c>
      <c r="G792" t="s">
        <v>13</v>
      </c>
      <c r="H792" t="s">
        <v>322</v>
      </c>
    </row>
    <row r="793" spans="1:8" x14ac:dyDescent="0.25">
      <c r="A793">
        <v>792</v>
      </c>
      <c r="B793" t="s">
        <v>239</v>
      </c>
      <c r="C793" t="s">
        <v>3216</v>
      </c>
      <c r="D793" t="s">
        <v>3217</v>
      </c>
      <c r="E793" t="s">
        <v>280</v>
      </c>
      <c r="F793" t="s">
        <v>3218</v>
      </c>
      <c r="G793" t="s">
        <v>13</v>
      </c>
      <c r="H793" t="s">
        <v>650</v>
      </c>
    </row>
    <row r="794" spans="1:8" x14ac:dyDescent="0.25">
      <c r="A794">
        <v>793</v>
      </c>
      <c r="B794" t="s">
        <v>3219</v>
      </c>
      <c r="C794" t="s">
        <v>3220</v>
      </c>
      <c r="D794" t="s">
        <v>3221</v>
      </c>
      <c r="E794" t="s">
        <v>18</v>
      </c>
      <c r="F794" t="s">
        <v>3222</v>
      </c>
      <c r="G794" t="s">
        <v>13</v>
      </c>
      <c r="H794" t="s">
        <v>230</v>
      </c>
    </row>
    <row r="795" spans="1:8" x14ac:dyDescent="0.25">
      <c r="A795">
        <v>794</v>
      </c>
      <c r="B795" t="s">
        <v>3223</v>
      </c>
      <c r="C795" t="s">
        <v>3224</v>
      </c>
      <c r="D795" t="s">
        <v>3225</v>
      </c>
      <c r="E795" t="s">
        <v>280</v>
      </c>
      <c r="F795" t="s">
        <v>3226</v>
      </c>
      <c r="G795" t="s">
        <v>13</v>
      </c>
      <c r="H795" t="s">
        <v>101</v>
      </c>
    </row>
    <row r="796" spans="1:8" x14ac:dyDescent="0.25">
      <c r="A796">
        <v>795</v>
      </c>
      <c r="B796" t="s">
        <v>3227</v>
      </c>
      <c r="C796" t="s">
        <v>3228</v>
      </c>
      <c r="D796" t="s">
        <v>3229</v>
      </c>
      <c r="E796" t="s">
        <v>11</v>
      </c>
      <c r="F796" t="s">
        <v>3230</v>
      </c>
      <c r="G796" t="s">
        <v>13</v>
      </c>
      <c r="H796" t="s">
        <v>379</v>
      </c>
    </row>
    <row r="797" spans="1:8" x14ac:dyDescent="0.25">
      <c r="A797">
        <v>796</v>
      </c>
      <c r="B797" t="s">
        <v>3231</v>
      </c>
      <c r="C797" t="s">
        <v>3232</v>
      </c>
      <c r="D797" t="s">
        <v>3233</v>
      </c>
      <c r="E797" t="s">
        <v>11</v>
      </c>
      <c r="F797" t="s">
        <v>3234</v>
      </c>
      <c r="G797" t="s">
        <v>13</v>
      </c>
      <c r="H797" t="s">
        <v>336</v>
      </c>
    </row>
    <row r="798" spans="1:8" x14ac:dyDescent="0.25">
      <c r="A798">
        <v>797</v>
      </c>
      <c r="B798" t="s">
        <v>3235</v>
      </c>
      <c r="C798" t="s">
        <v>3236</v>
      </c>
      <c r="D798" t="s">
        <v>3237</v>
      </c>
      <c r="E798" t="s">
        <v>18</v>
      </c>
      <c r="F798" t="s">
        <v>3238</v>
      </c>
      <c r="G798" t="s">
        <v>13</v>
      </c>
      <c r="H798" t="s">
        <v>933</v>
      </c>
    </row>
    <row r="799" spans="1:8" x14ac:dyDescent="0.25">
      <c r="A799">
        <v>798</v>
      </c>
      <c r="B799" t="s">
        <v>3239</v>
      </c>
      <c r="C799" t="s">
        <v>3240</v>
      </c>
      <c r="D799" t="s">
        <v>3241</v>
      </c>
      <c r="E799" t="s">
        <v>18</v>
      </c>
      <c r="F799" t="s">
        <v>3242</v>
      </c>
      <c r="G799" t="s">
        <v>13</v>
      </c>
      <c r="H799" t="s">
        <v>322</v>
      </c>
    </row>
    <row r="800" spans="1:8" x14ac:dyDescent="0.25">
      <c r="B800" t="s">
        <v>852</v>
      </c>
      <c r="C800" t="s">
        <v>3243</v>
      </c>
      <c r="D800" t="s">
        <v>3244</v>
      </c>
      <c r="E800" t="s">
        <v>228</v>
      </c>
      <c r="F800" t="s">
        <v>3245</v>
      </c>
      <c r="G800" t="s">
        <v>13</v>
      </c>
      <c r="H800" t="s">
        <v>276</v>
      </c>
    </row>
    <row r="801" spans="1:8" x14ac:dyDescent="0.25">
      <c r="A801">
        <v>800</v>
      </c>
      <c r="B801" t="s">
        <v>3246</v>
      </c>
      <c r="C801" t="s">
        <v>3247</v>
      </c>
      <c r="D801" t="s">
        <v>3248</v>
      </c>
      <c r="E801" t="s">
        <v>29</v>
      </c>
      <c r="F801" t="s">
        <v>3249</v>
      </c>
      <c r="G801" t="s">
        <v>13</v>
      </c>
      <c r="H801" t="s">
        <v>365</v>
      </c>
    </row>
    <row r="802" spans="1:8" x14ac:dyDescent="0.25">
      <c r="A802">
        <v>801</v>
      </c>
      <c r="B802" t="s">
        <v>3223</v>
      </c>
      <c r="C802" t="s">
        <v>3171</v>
      </c>
      <c r="D802" t="s">
        <v>3250</v>
      </c>
      <c r="E802" t="s">
        <v>11</v>
      </c>
      <c r="F802" t="s">
        <v>3251</v>
      </c>
      <c r="G802" t="s">
        <v>13</v>
      </c>
      <c r="H802" t="s">
        <v>252</v>
      </c>
    </row>
    <row r="803" spans="1:8" x14ac:dyDescent="0.25">
      <c r="A803">
        <v>802</v>
      </c>
      <c r="B803" t="s">
        <v>3252</v>
      </c>
      <c r="C803" t="s">
        <v>3253</v>
      </c>
      <c r="D803" t="s">
        <v>3254</v>
      </c>
      <c r="E803" t="s">
        <v>18</v>
      </c>
      <c r="F803" t="s">
        <v>3255</v>
      </c>
      <c r="G803" t="s">
        <v>13</v>
      </c>
      <c r="H803" t="s">
        <v>650</v>
      </c>
    </row>
    <row r="804" spans="1:8" x14ac:dyDescent="0.25">
      <c r="A804">
        <v>803</v>
      </c>
      <c r="B804" t="s">
        <v>3256</v>
      </c>
      <c r="C804" t="s">
        <v>3257</v>
      </c>
      <c r="D804" t="s">
        <v>3258</v>
      </c>
      <c r="E804" t="s">
        <v>18</v>
      </c>
      <c r="F804" t="s">
        <v>3259</v>
      </c>
      <c r="G804" t="s">
        <v>13</v>
      </c>
      <c r="H804" t="s">
        <v>655</v>
      </c>
    </row>
    <row r="805" spans="1:8" x14ac:dyDescent="0.25">
      <c r="A805">
        <v>804</v>
      </c>
      <c r="B805" t="s">
        <v>3260</v>
      </c>
      <c r="C805" t="s">
        <v>3261</v>
      </c>
      <c r="D805" t="s">
        <v>3262</v>
      </c>
      <c r="E805" t="s">
        <v>18</v>
      </c>
      <c r="F805" t="s">
        <v>3263</v>
      </c>
      <c r="G805" t="s">
        <v>13</v>
      </c>
      <c r="H805" t="s">
        <v>317</v>
      </c>
    </row>
    <row r="806" spans="1:8" x14ac:dyDescent="0.25">
      <c r="B806" t="s">
        <v>3264</v>
      </c>
      <c r="C806" t="s">
        <v>3265</v>
      </c>
      <c r="D806" t="s">
        <v>3266</v>
      </c>
      <c r="E806" t="s">
        <v>18</v>
      </c>
      <c r="F806" t="s">
        <v>3267</v>
      </c>
      <c r="G806" t="s">
        <v>13</v>
      </c>
      <c r="H806" t="s">
        <v>317</v>
      </c>
    </row>
    <row r="807" spans="1:8" x14ac:dyDescent="0.25">
      <c r="A807">
        <v>806</v>
      </c>
      <c r="B807" t="s">
        <v>3268</v>
      </c>
      <c r="C807" t="s">
        <v>3269</v>
      </c>
      <c r="D807" t="s">
        <v>3270</v>
      </c>
      <c r="E807" t="s">
        <v>18</v>
      </c>
      <c r="F807" t="s">
        <v>3271</v>
      </c>
      <c r="G807" t="s">
        <v>13</v>
      </c>
      <c r="H807" t="s">
        <v>687</v>
      </c>
    </row>
    <row r="808" spans="1:8" x14ac:dyDescent="0.25">
      <c r="A808">
        <v>807</v>
      </c>
      <c r="B808" t="s">
        <v>3272</v>
      </c>
      <c r="C808" t="s">
        <v>3273</v>
      </c>
      <c r="D808" t="s">
        <v>3274</v>
      </c>
      <c r="E808" t="s">
        <v>18</v>
      </c>
      <c r="F808" t="s">
        <v>3275</v>
      </c>
      <c r="G808" t="s">
        <v>13</v>
      </c>
      <c r="H808" t="s">
        <v>149</v>
      </c>
    </row>
    <row r="809" spans="1:8" x14ac:dyDescent="0.25">
      <c r="A809">
        <v>808</v>
      </c>
      <c r="B809" t="s">
        <v>3276</v>
      </c>
      <c r="C809" t="s">
        <v>3277</v>
      </c>
      <c r="D809" t="s">
        <v>3278</v>
      </c>
      <c r="E809" t="s">
        <v>18</v>
      </c>
      <c r="F809" t="s">
        <v>3279</v>
      </c>
      <c r="G809" t="s">
        <v>13</v>
      </c>
      <c r="H809" t="s">
        <v>308</v>
      </c>
    </row>
    <row r="810" spans="1:8" x14ac:dyDescent="0.25">
      <c r="A810">
        <v>809</v>
      </c>
      <c r="B810" t="s">
        <v>3280</v>
      </c>
      <c r="C810" t="s">
        <v>3281</v>
      </c>
      <c r="D810" t="s">
        <v>3282</v>
      </c>
      <c r="E810" t="s">
        <v>11</v>
      </c>
      <c r="F810" t="s">
        <v>3283</v>
      </c>
      <c r="G810" t="s">
        <v>13</v>
      </c>
      <c r="H810" t="s">
        <v>317</v>
      </c>
    </row>
    <row r="811" spans="1:8" x14ac:dyDescent="0.25">
      <c r="A811">
        <v>810</v>
      </c>
      <c r="B811" t="s">
        <v>3284</v>
      </c>
      <c r="C811" t="s">
        <v>3285</v>
      </c>
      <c r="D811" t="s">
        <v>3286</v>
      </c>
      <c r="E811" t="s">
        <v>11</v>
      </c>
      <c r="F811" t="s">
        <v>3287</v>
      </c>
      <c r="G811" t="s">
        <v>13</v>
      </c>
      <c r="H811" t="s">
        <v>20</v>
      </c>
    </row>
    <row r="812" spans="1:8" x14ac:dyDescent="0.25">
      <c r="A812">
        <v>811</v>
      </c>
      <c r="C812" t="s">
        <v>3288</v>
      </c>
      <c r="D812" t="s">
        <v>3289</v>
      </c>
      <c r="E812" t="s">
        <v>11</v>
      </c>
      <c r="F812" t="s">
        <v>3290</v>
      </c>
      <c r="G812" t="s">
        <v>13</v>
      </c>
      <c r="H812" t="s">
        <v>425</v>
      </c>
    </row>
    <row r="813" spans="1:8" x14ac:dyDescent="0.25">
      <c r="A813">
        <v>812</v>
      </c>
      <c r="B813" t="s">
        <v>3291</v>
      </c>
      <c r="C813" t="s">
        <v>3292</v>
      </c>
      <c r="D813" t="s">
        <v>3293</v>
      </c>
      <c r="E813" t="s">
        <v>18</v>
      </c>
      <c r="F813" t="s">
        <v>3294</v>
      </c>
      <c r="G813" t="s">
        <v>13</v>
      </c>
      <c r="H813" t="s">
        <v>230</v>
      </c>
    </row>
    <row r="814" spans="1:8" x14ac:dyDescent="0.25">
      <c r="A814">
        <v>813</v>
      </c>
      <c r="B814" t="s">
        <v>3295</v>
      </c>
      <c r="C814" t="s">
        <v>3296</v>
      </c>
      <c r="D814" t="s">
        <v>3297</v>
      </c>
      <c r="E814" t="s">
        <v>18</v>
      </c>
      <c r="F814" t="s">
        <v>3298</v>
      </c>
      <c r="G814" t="s">
        <v>13</v>
      </c>
      <c r="H814" t="s">
        <v>1225</v>
      </c>
    </row>
    <row r="815" spans="1:8" x14ac:dyDescent="0.25">
      <c r="A815">
        <v>814</v>
      </c>
      <c r="B815" t="s">
        <v>3299</v>
      </c>
      <c r="C815" t="s">
        <v>3300</v>
      </c>
      <c r="D815" t="s">
        <v>3301</v>
      </c>
      <c r="E815" t="s">
        <v>11</v>
      </c>
      <c r="F815" t="s">
        <v>3302</v>
      </c>
      <c r="G815" t="s">
        <v>13</v>
      </c>
      <c r="H815" t="s">
        <v>31</v>
      </c>
    </row>
    <row r="816" spans="1:8" x14ac:dyDescent="0.25">
      <c r="A816">
        <v>815</v>
      </c>
      <c r="B816" t="s">
        <v>3303</v>
      </c>
      <c r="C816" t="s">
        <v>3304</v>
      </c>
      <c r="D816" t="s">
        <v>3305</v>
      </c>
      <c r="E816" t="s">
        <v>11</v>
      </c>
      <c r="F816" t="s">
        <v>3306</v>
      </c>
      <c r="G816" t="s">
        <v>13</v>
      </c>
      <c r="H816" t="s">
        <v>173</v>
      </c>
    </row>
    <row r="817" spans="1:8" x14ac:dyDescent="0.25">
      <c r="A817">
        <v>816</v>
      </c>
      <c r="B817" t="s">
        <v>3307</v>
      </c>
      <c r="C817" t="s">
        <v>3308</v>
      </c>
      <c r="D817" t="s">
        <v>3309</v>
      </c>
      <c r="E817" t="s">
        <v>11</v>
      </c>
      <c r="F817" t="s">
        <v>3310</v>
      </c>
      <c r="G817" t="s">
        <v>13</v>
      </c>
      <c r="H817" t="s">
        <v>933</v>
      </c>
    </row>
    <row r="818" spans="1:8" x14ac:dyDescent="0.25">
      <c r="A818">
        <v>817</v>
      </c>
      <c r="B818" t="s">
        <v>3311</v>
      </c>
      <c r="C818" t="s">
        <v>3312</v>
      </c>
      <c r="D818" t="s">
        <v>3313</v>
      </c>
      <c r="E818" t="s">
        <v>11</v>
      </c>
      <c r="F818" t="s">
        <v>3314</v>
      </c>
      <c r="G818" t="s">
        <v>13</v>
      </c>
      <c r="H818" t="s">
        <v>839</v>
      </c>
    </row>
    <row r="819" spans="1:8" x14ac:dyDescent="0.25">
      <c r="A819">
        <v>818</v>
      </c>
      <c r="B819" t="s">
        <v>3315</v>
      </c>
      <c r="C819" t="s">
        <v>3316</v>
      </c>
      <c r="D819" t="s">
        <v>3317</v>
      </c>
      <c r="E819" t="s">
        <v>18</v>
      </c>
      <c r="F819" t="s">
        <v>3318</v>
      </c>
      <c r="G819" t="s">
        <v>13</v>
      </c>
      <c r="H819" t="s">
        <v>687</v>
      </c>
    </row>
    <row r="820" spans="1:8" x14ac:dyDescent="0.25">
      <c r="A820">
        <v>819</v>
      </c>
      <c r="B820" t="s">
        <v>3319</v>
      </c>
      <c r="C820" t="s">
        <v>3320</v>
      </c>
      <c r="D820" t="s">
        <v>3321</v>
      </c>
      <c r="E820" t="s">
        <v>11</v>
      </c>
      <c r="F820" t="s">
        <v>3322</v>
      </c>
      <c r="G820" t="s">
        <v>13</v>
      </c>
      <c r="H820" t="s">
        <v>115</v>
      </c>
    </row>
    <row r="821" spans="1:8" x14ac:dyDescent="0.25">
      <c r="A821">
        <v>820</v>
      </c>
      <c r="B821" t="s">
        <v>3323</v>
      </c>
      <c r="C821" t="s">
        <v>3324</v>
      </c>
      <c r="D821" t="s">
        <v>3325</v>
      </c>
      <c r="E821" t="s">
        <v>11</v>
      </c>
      <c r="F821" t="s">
        <v>3326</v>
      </c>
      <c r="G821" t="s">
        <v>13</v>
      </c>
      <c r="H821" t="s">
        <v>168</v>
      </c>
    </row>
    <row r="822" spans="1:8" x14ac:dyDescent="0.25">
      <c r="A822">
        <v>821</v>
      </c>
      <c r="B822" t="s">
        <v>3327</v>
      </c>
      <c r="C822" t="s">
        <v>3328</v>
      </c>
      <c r="D822" t="s">
        <v>3329</v>
      </c>
      <c r="E822" t="s">
        <v>11</v>
      </c>
      <c r="F822" t="s">
        <v>3330</v>
      </c>
      <c r="G822" t="s">
        <v>13</v>
      </c>
      <c r="H822" t="s">
        <v>20</v>
      </c>
    </row>
    <row r="823" spans="1:8" x14ac:dyDescent="0.25">
      <c r="A823">
        <v>822</v>
      </c>
      <c r="B823" t="s">
        <v>3331</v>
      </c>
      <c r="C823" t="s">
        <v>3332</v>
      </c>
      <c r="D823" t="s">
        <v>3333</v>
      </c>
      <c r="E823" t="s">
        <v>11</v>
      </c>
      <c r="F823" t="s">
        <v>3334</v>
      </c>
      <c r="G823" t="s">
        <v>13</v>
      </c>
      <c r="H823" t="s">
        <v>120</v>
      </c>
    </row>
    <row r="824" spans="1:8" x14ac:dyDescent="0.25">
      <c r="A824">
        <v>823</v>
      </c>
      <c r="B824" t="s">
        <v>3335</v>
      </c>
      <c r="C824" t="s">
        <v>3336</v>
      </c>
      <c r="D824" t="s">
        <v>3337</v>
      </c>
      <c r="E824" t="s">
        <v>11</v>
      </c>
      <c r="F824" t="s">
        <v>3338</v>
      </c>
      <c r="G824" t="s">
        <v>13</v>
      </c>
      <c r="H824" t="s">
        <v>96</v>
      </c>
    </row>
    <row r="825" spans="1:8" x14ac:dyDescent="0.25">
      <c r="A825">
        <v>824</v>
      </c>
      <c r="B825" t="s">
        <v>3339</v>
      </c>
      <c r="C825" t="s">
        <v>3340</v>
      </c>
      <c r="D825" t="s">
        <v>3341</v>
      </c>
      <c r="E825" t="s">
        <v>18</v>
      </c>
      <c r="F825" t="s">
        <v>3342</v>
      </c>
      <c r="G825" t="s">
        <v>13</v>
      </c>
      <c r="H825" t="s">
        <v>125</v>
      </c>
    </row>
    <row r="826" spans="1:8" x14ac:dyDescent="0.25">
      <c r="B826" t="s">
        <v>3343</v>
      </c>
      <c r="C826" t="s">
        <v>3344</v>
      </c>
      <c r="D826" t="s">
        <v>3345</v>
      </c>
      <c r="E826" t="s">
        <v>18</v>
      </c>
      <c r="F826" t="s">
        <v>3346</v>
      </c>
      <c r="G826" t="s">
        <v>13</v>
      </c>
      <c r="H826" t="s">
        <v>567</v>
      </c>
    </row>
    <row r="827" spans="1:8" x14ac:dyDescent="0.25">
      <c r="A827">
        <v>826</v>
      </c>
      <c r="B827" t="s">
        <v>3347</v>
      </c>
      <c r="C827" t="s">
        <v>3348</v>
      </c>
      <c r="D827" t="s">
        <v>3349</v>
      </c>
      <c r="E827" t="s">
        <v>11</v>
      </c>
      <c r="F827" t="s">
        <v>3350</v>
      </c>
      <c r="G827" t="s">
        <v>13</v>
      </c>
      <c r="H827" t="s">
        <v>1634</v>
      </c>
    </row>
    <row r="828" spans="1:8" x14ac:dyDescent="0.25">
      <c r="A828">
        <v>827</v>
      </c>
      <c r="B828" t="s">
        <v>3351</v>
      </c>
      <c r="C828" t="s">
        <v>3352</v>
      </c>
      <c r="D828" t="s">
        <v>3353</v>
      </c>
      <c r="E828" t="s">
        <v>228</v>
      </c>
      <c r="F828" t="s">
        <v>3354</v>
      </c>
      <c r="G828" t="s">
        <v>13</v>
      </c>
      <c r="H828" t="s">
        <v>14</v>
      </c>
    </row>
    <row r="829" spans="1:8" x14ac:dyDescent="0.25">
      <c r="A829">
        <v>828</v>
      </c>
      <c r="B829" t="s">
        <v>3355</v>
      </c>
      <c r="C829" t="s">
        <v>3356</v>
      </c>
      <c r="D829" t="s">
        <v>3357</v>
      </c>
      <c r="E829" t="s">
        <v>11</v>
      </c>
      <c r="F829" t="s">
        <v>3358</v>
      </c>
      <c r="G829" t="s">
        <v>13</v>
      </c>
      <c r="H829" t="s">
        <v>588</v>
      </c>
    </row>
    <row r="830" spans="1:8" x14ac:dyDescent="0.25">
      <c r="A830">
        <v>829</v>
      </c>
      <c r="B830" t="s">
        <v>3359</v>
      </c>
      <c r="C830" t="s">
        <v>3360</v>
      </c>
      <c r="D830" t="s">
        <v>3361</v>
      </c>
      <c r="E830" t="s">
        <v>18</v>
      </c>
      <c r="F830" t="s">
        <v>3362</v>
      </c>
      <c r="G830" t="s">
        <v>13</v>
      </c>
      <c r="H830" t="s">
        <v>558</v>
      </c>
    </row>
    <row r="831" spans="1:8" x14ac:dyDescent="0.25">
      <c r="A831">
        <v>830</v>
      </c>
      <c r="B831" t="s">
        <v>2800</v>
      </c>
      <c r="C831" t="s">
        <v>3363</v>
      </c>
      <c r="D831" t="s">
        <v>3364</v>
      </c>
      <c r="E831" t="s">
        <v>11</v>
      </c>
      <c r="F831" t="s">
        <v>3365</v>
      </c>
      <c r="G831" t="s">
        <v>13</v>
      </c>
      <c r="H831" t="s">
        <v>61</v>
      </c>
    </row>
    <row r="832" spans="1:8" x14ac:dyDescent="0.25">
      <c r="A832">
        <v>831</v>
      </c>
      <c r="B832" t="s">
        <v>3366</v>
      </c>
      <c r="C832" t="s">
        <v>3367</v>
      </c>
      <c r="D832" t="s">
        <v>3368</v>
      </c>
      <c r="E832" t="s">
        <v>18</v>
      </c>
      <c r="F832" t="s">
        <v>3369</v>
      </c>
      <c r="G832" t="s">
        <v>13</v>
      </c>
      <c r="H832" t="s">
        <v>504</v>
      </c>
    </row>
    <row r="833" spans="1:8" x14ac:dyDescent="0.25">
      <c r="A833">
        <v>832</v>
      </c>
      <c r="B833" t="s">
        <v>3370</v>
      </c>
      <c r="C833" t="s">
        <v>3371</v>
      </c>
      <c r="D833" t="s">
        <v>3372</v>
      </c>
      <c r="E833" t="s">
        <v>18</v>
      </c>
      <c r="F833" t="s">
        <v>3373</v>
      </c>
      <c r="G833" t="s">
        <v>13</v>
      </c>
      <c r="H833" t="s">
        <v>110</v>
      </c>
    </row>
    <row r="834" spans="1:8" x14ac:dyDescent="0.25">
      <c r="A834">
        <v>833</v>
      </c>
      <c r="B834" t="s">
        <v>3374</v>
      </c>
      <c r="C834" t="s">
        <v>3375</v>
      </c>
      <c r="D834" t="s">
        <v>3376</v>
      </c>
      <c r="E834" t="s">
        <v>11</v>
      </c>
      <c r="F834" t="s">
        <v>3377</v>
      </c>
      <c r="G834" t="s">
        <v>13</v>
      </c>
      <c r="H834" t="s">
        <v>705</v>
      </c>
    </row>
    <row r="835" spans="1:8" x14ac:dyDescent="0.25">
      <c r="A835">
        <v>834</v>
      </c>
      <c r="B835" t="s">
        <v>3378</v>
      </c>
      <c r="C835" t="s">
        <v>3379</v>
      </c>
      <c r="D835" t="s">
        <v>3380</v>
      </c>
      <c r="E835" t="s">
        <v>18</v>
      </c>
      <c r="F835" t="s">
        <v>3381</v>
      </c>
      <c r="G835" t="s">
        <v>13</v>
      </c>
      <c r="H835" t="s">
        <v>96</v>
      </c>
    </row>
    <row r="836" spans="1:8" x14ac:dyDescent="0.25">
      <c r="A836">
        <v>835</v>
      </c>
      <c r="B836" t="s">
        <v>393</v>
      </c>
      <c r="C836" t="s">
        <v>3382</v>
      </c>
      <c r="D836" t="s">
        <v>3383</v>
      </c>
      <c r="E836" t="s">
        <v>18</v>
      </c>
      <c r="F836" t="s">
        <v>3384</v>
      </c>
      <c r="G836" t="s">
        <v>13</v>
      </c>
      <c r="H836" t="s">
        <v>588</v>
      </c>
    </row>
    <row r="837" spans="1:8" x14ac:dyDescent="0.25">
      <c r="A837">
        <v>836</v>
      </c>
      <c r="B837" t="s">
        <v>3223</v>
      </c>
      <c r="C837" t="s">
        <v>3385</v>
      </c>
      <c r="D837" t="s">
        <v>3386</v>
      </c>
      <c r="E837" t="s">
        <v>11</v>
      </c>
      <c r="F837" t="s">
        <v>3387</v>
      </c>
      <c r="G837" t="s">
        <v>13</v>
      </c>
      <c r="H837" t="s">
        <v>224</v>
      </c>
    </row>
    <row r="838" spans="1:8" x14ac:dyDescent="0.25">
      <c r="A838">
        <v>837</v>
      </c>
      <c r="B838" t="s">
        <v>3388</v>
      </c>
      <c r="C838" t="s">
        <v>3389</v>
      </c>
      <c r="D838" t="s">
        <v>3390</v>
      </c>
      <c r="E838" t="s">
        <v>11</v>
      </c>
      <c r="F838" t="s">
        <v>3391</v>
      </c>
      <c r="G838" t="s">
        <v>13</v>
      </c>
      <c r="H838" t="s">
        <v>597</v>
      </c>
    </row>
    <row r="839" spans="1:8" x14ac:dyDescent="0.25">
      <c r="A839">
        <v>838</v>
      </c>
      <c r="B839" t="s">
        <v>3392</v>
      </c>
      <c r="C839" t="s">
        <v>3393</v>
      </c>
      <c r="D839" t="s">
        <v>3394</v>
      </c>
      <c r="E839" t="s">
        <v>18</v>
      </c>
      <c r="F839" t="s">
        <v>3395</v>
      </c>
      <c r="G839" t="s">
        <v>13</v>
      </c>
      <c r="H839" t="s">
        <v>261</v>
      </c>
    </row>
    <row r="840" spans="1:8" x14ac:dyDescent="0.25">
      <c r="B840" t="s">
        <v>3396</v>
      </c>
      <c r="C840" t="s">
        <v>3397</v>
      </c>
      <c r="D840" t="s">
        <v>3398</v>
      </c>
      <c r="E840" t="s">
        <v>18</v>
      </c>
      <c r="F840" t="s">
        <v>3399</v>
      </c>
      <c r="G840" t="s">
        <v>13</v>
      </c>
      <c r="H840" t="s">
        <v>168</v>
      </c>
    </row>
    <row r="841" spans="1:8" x14ac:dyDescent="0.25">
      <c r="A841">
        <v>840</v>
      </c>
      <c r="B841" t="s">
        <v>3400</v>
      </c>
      <c r="C841" t="s">
        <v>3401</v>
      </c>
      <c r="D841" t="s">
        <v>3402</v>
      </c>
      <c r="E841" t="s">
        <v>11</v>
      </c>
      <c r="F841" t="s">
        <v>3403</v>
      </c>
      <c r="G841" t="s">
        <v>13</v>
      </c>
      <c r="H841" t="s">
        <v>1432</v>
      </c>
    </row>
    <row r="842" spans="1:8" x14ac:dyDescent="0.25">
      <c r="A842">
        <v>841</v>
      </c>
      <c r="B842" t="s">
        <v>3404</v>
      </c>
      <c r="C842" t="s">
        <v>3405</v>
      </c>
      <c r="D842" t="s">
        <v>3406</v>
      </c>
      <c r="E842" t="s">
        <v>18</v>
      </c>
      <c r="F842" t="s">
        <v>3407</v>
      </c>
      <c r="G842" t="s">
        <v>13</v>
      </c>
      <c r="H842" t="s">
        <v>804</v>
      </c>
    </row>
    <row r="843" spans="1:8" x14ac:dyDescent="0.25">
      <c r="A843">
        <v>842</v>
      </c>
      <c r="B843" t="s">
        <v>3408</v>
      </c>
      <c r="C843" t="s">
        <v>3409</v>
      </c>
      <c r="D843" t="s">
        <v>3410</v>
      </c>
      <c r="E843" t="s">
        <v>11</v>
      </c>
      <c r="F843" t="s">
        <v>3411</v>
      </c>
      <c r="G843" t="s">
        <v>13</v>
      </c>
      <c r="H843" t="s">
        <v>120</v>
      </c>
    </row>
    <row r="844" spans="1:8" x14ac:dyDescent="0.25">
      <c r="A844">
        <v>843</v>
      </c>
      <c r="B844" t="s">
        <v>3412</v>
      </c>
      <c r="C844" t="s">
        <v>3413</v>
      </c>
      <c r="D844" t="s">
        <v>3414</v>
      </c>
      <c r="E844" t="s">
        <v>18</v>
      </c>
      <c r="F844" t="s">
        <v>3415</v>
      </c>
      <c r="G844" t="s">
        <v>13</v>
      </c>
      <c r="H844" t="s">
        <v>1848</v>
      </c>
    </row>
    <row r="845" spans="1:8" x14ac:dyDescent="0.25">
      <c r="A845">
        <v>844</v>
      </c>
      <c r="B845" t="s">
        <v>3416</v>
      </c>
      <c r="C845" t="s">
        <v>3417</v>
      </c>
      <c r="D845" t="s">
        <v>3418</v>
      </c>
      <c r="E845" t="s">
        <v>18</v>
      </c>
      <c r="F845" t="s">
        <v>3419</v>
      </c>
      <c r="G845" t="s">
        <v>13</v>
      </c>
      <c r="H845" t="s">
        <v>41</v>
      </c>
    </row>
    <row r="846" spans="1:8" x14ac:dyDescent="0.25">
      <c r="A846">
        <v>845</v>
      </c>
      <c r="B846" t="s">
        <v>3420</v>
      </c>
      <c r="C846" t="s">
        <v>3421</v>
      </c>
      <c r="D846" t="s">
        <v>3422</v>
      </c>
      <c r="E846" t="s">
        <v>18</v>
      </c>
      <c r="F846" t="s">
        <v>3423</v>
      </c>
      <c r="G846" t="s">
        <v>13</v>
      </c>
      <c r="H846" t="s">
        <v>66</v>
      </c>
    </row>
    <row r="847" spans="1:8" x14ac:dyDescent="0.25">
      <c r="A847">
        <v>846</v>
      </c>
      <c r="B847" t="s">
        <v>3424</v>
      </c>
      <c r="C847" t="s">
        <v>3425</v>
      </c>
      <c r="D847" t="s">
        <v>3426</v>
      </c>
      <c r="E847" t="s">
        <v>11</v>
      </c>
      <c r="F847" t="s">
        <v>3427</v>
      </c>
      <c r="G847" t="s">
        <v>13</v>
      </c>
      <c r="H847" t="s">
        <v>243</v>
      </c>
    </row>
    <row r="848" spans="1:8" x14ac:dyDescent="0.25">
      <c r="A848">
        <v>847</v>
      </c>
      <c r="B848" t="s">
        <v>3428</v>
      </c>
      <c r="C848" t="s">
        <v>3429</v>
      </c>
      <c r="D848" t="s">
        <v>3430</v>
      </c>
      <c r="E848" t="s">
        <v>18</v>
      </c>
      <c r="F848" t="s">
        <v>3431</v>
      </c>
      <c r="G848" t="s">
        <v>13</v>
      </c>
      <c r="H848" t="s">
        <v>31</v>
      </c>
    </row>
    <row r="849" spans="1:8" x14ac:dyDescent="0.25">
      <c r="A849">
        <v>848</v>
      </c>
      <c r="B849" t="s">
        <v>3432</v>
      </c>
      <c r="C849" t="s">
        <v>3433</v>
      </c>
      <c r="D849" t="s">
        <v>3434</v>
      </c>
      <c r="E849" t="s">
        <v>11</v>
      </c>
      <c r="F849" t="s">
        <v>3435</v>
      </c>
      <c r="G849" t="s">
        <v>13</v>
      </c>
      <c r="H849" t="s">
        <v>76</v>
      </c>
    </row>
    <row r="850" spans="1:8" x14ac:dyDescent="0.25">
      <c r="A850">
        <v>849</v>
      </c>
      <c r="B850" t="s">
        <v>3436</v>
      </c>
      <c r="C850" t="s">
        <v>3437</v>
      </c>
      <c r="D850" t="s">
        <v>3438</v>
      </c>
      <c r="E850" t="s">
        <v>18</v>
      </c>
      <c r="F850" t="s">
        <v>3439</v>
      </c>
      <c r="G850" t="s">
        <v>13</v>
      </c>
      <c r="H850" t="s">
        <v>76</v>
      </c>
    </row>
    <row r="851" spans="1:8" x14ac:dyDescent="0.25">
      <c r="A851">
        <v>850</v>
      </c>
      <c r="B851" t="s">
        <v>3440</v>
      </c>
      <c r="C851" t="s">
        <v>3441</v>
      </c>
      <c r="D851" t="s">
        <v>3442</v>
      </c>
      <c r="E851" t="s">
        <v>18</v>
      </c>
      <c r="F851" t="s">
        <v>3443</v>
      </c>
      <c r="G851" t="s">
        <v>13</v>
      </c>
      <c r="H851" t="s">
        <v>365</v>
      </c>
    </row>
    <row r="852" spans="1:8" x14ac:dyDescent="0.25">
      <c r="A852">
        <v>851</v>
      </c>
      <c r="B852" t="s">
        <v>3444</v>
      </c>
      <c r="C852" t="s">
        <v>3445</v>
      </c>
      <c r="D852" t="s">
        <v>3446</v>
      </c>
      <c r="E852" t="s">
        <v>11</v>
      </c>
      <c r="F852" t="s">
        <v>3447</v>
      </c>
      <c r="G852" t="s">
        <v>13</v>
      </c>
      <c r="H852" t="s">
        <v>933</v>
      </c>
    </row>
    <row r="853" spans="1:8" x14ac:dyDescent="0.25">
      <c r="A853">
        <v>852</v>
      </c>
      <c r="B853" t="s">
        <v>3448</v>
      </c>
      <c r="C853" t="s">
        <v>3449</v>
      </c>
      <c r="D853" t="s">
        <v>3450</v>
      </c>
      <c r="E853" t="s">
        <v>18</v>
      </c>
      <c r="F853" t="s">
        <v>3451</v>
      </c>
      <c r="G853" t="s">
        <v>13</v>
      </c>
      <c r="H853" t="s">
        <v>282</v>
      </c>
    </row>
    <row r="854" spans="1:8" x14ac:dyDescent="0.25">
      <c r="A854">
        <v>853</v>
      </c>
      <c r="B854" t="s">
        <v>3452</v>
      </c>
      <c r="C854" t="s">
        <v>3453</v>
      </c>
      <c r="D854" t="s">
        <v>3454</v>
      </c>
      <c r="E854" t="s">
        <v>18</v>
      </c>
      <c r="F854" t="s">
        <v>3455</v>
      </c>
      <c r="G854" t="s">
        <v>13</v>
      </c>
      <c r="H854" t="s">
        <v>374</v>
      </c>
    </row>
    <row r="855" spans="1:8" x14ac:dyDescent="0.25">
      <c r="A855">
        <v>854</v>
      </c>
      <c r="B855" t="s">
        <v>3456</v>
      </c>
      <c r="C855" t="s">
        <v>3457</v>
      </c>
      <c r="D855" t="s">
        <v>3458</v>
      </c>
      <c r="E855" t="s">
        <v>11</v>
      </c>
      <c r="F855" t="s">
        <v>3459</v>
      </c>
      <c r="G855" t="s">
        <v>13</v>
      </c>
      <c r="H855" t="s">
        <v>163</v>
      </c>
    </row>
    <row r="856" spans="1:8" x14ac:dyDescent="0.25">
      <c r="A856">
        <v>855</v>
      </c>
      <c r="B856" t="s">
        <v>3460</v>
      </c>
      <c r="C856" t="s">
        <v>3461</v>
      </c>
      <c r="D856" t="s">
        <v>3462</v>
      </c>
      <c r="E856" t="s">
        <v>29</v>
      </c>
      <c r="F856" t="s">
        <v>3463</v>
      </c>
      <c r="G856" t="s">
        <v>13</v>
      </c>
      <c r="H856" t="s">
        <v>687</v>
      </c>
    </row>
    <row r="857" spans="1:8" x14ac:dyDescent="0.25">
      <c r="A857">
        <v>856</v>
      </c>
      <c r="B857" t="s">
        <v>3464</v>
      </c>
      <c r="C857" t="s">
        <v>2699</v>
      </c>
      <c r="D857" t="s">
        <v>3465</v>
      </c>
      <c r="E857" t="s">
        <v>11</v>
      </c>
      <c r="F857" t="s">
        <v>3466</v>
      </c>
      <c r="G857" t="s">
        <v>13</v>
      </c>
      <c r="H857" t="s">
        <v>345</v>
      </c>
    </row>
    <row r="858" spans="1:8" x14ac:dyDescent="0.25">
      <c r="A858">
        <v>857</v>
      </c>
      <c r="B858" t="s">
        <v>2635</v>
      </c>
      <c r="C858" t="s">
        <v>3467</v>
      </c>
      <c r="D858" t="s">
        <v>3468</v>
      </c>
      <c r="E858" t="s">
        <v>11</v>
      </c>
      <c r="F858" t="s">
        <v>3469</v>
      </c>
      <c r="G858" t="s">
        <v>13</v>
      </c>
      <c r="H858" t="s">
        <v>916</v>
      </c>
    </row>
    <row r="859" spans="1:8" x14ac:dyDescent="0.25">
      <c r="A859">
        <v>858</v>
      </c>
      <c r="C859" t="s">
        <v>3470</v>
      </c>
      <c r="D859" t="s">
        <v>3471</v>
      </c>
      <c r="E859" t="s">
        <v>274</v>
      </c>
      <c r="F859" t="s">
        <v>3472</v>
      </c>
      <c r="G859" t="s">
        <v>13</v>
      </c>
      <c r="H859" t="s">
        <v>154</v>
      </c>
    </row>
    <row r="860" spans="1:8" x14ac:dyDescent="0.25">
      <c r="A860">
        <v>859</v>
      </c>
      <c r="B860" t="s">
        <v>3473</v>
      </c>
      <c r="C860" t="s">
        <v>3474</v>
      </c>
      <c r="D860" t="s">
        <v>3475</v>
      </c>
      <c r="E860" t="s">
        <v>18</v>
      </c>
      <c r="F860" t="s">
        <v>3476</v>
      </c>
      <c r="G860" t="s">
        <v>13</v>
      </c>
      <c r="H860" t="s">
        <v>20</v>
      </c>
    </row>
    <row r="861" spans="1:8" x14ac:dyDescent="0.25">
      <c r="A861">
        <v>860</v>
      </c>
      <c r="B861" t="s">
        <v>3477</v>
      </c>
      <c r="C861" t="s">
        <v>3478</v>
      </c>
      <c r="D861" t="s">
        <v>3479</v>
      </c>
      <c r="E861" t="s">
        <v>18</v>
      </c>
      <c r="F861" t="s">
        <v>3480</v>
      </c>
      <c r="G861" t="s">
        <v>13</v>
      </c>
      <c r="H861" t="s">
        <v>14</v>
      </c>
    </row>
    <row r="862" spans="1:8" x14ac:dyDescent="0.25">
      <c r="A862">
        <v>861</v>
      </c>
      <c r="B862" t="s">
        <v>3481</v>
      </c>
      <c r="C862" t="s">
        <v>3482</v>
      </c>
      <c r="D862" t="s">
        <v>3483</v>
      </c>
      <c r="E862" t="s">
        <v>11</v>
      </c>
      <c r="F862" t="s">
        <v>3484</v>
      </c>
      <c r="G862" t="s">
        <v>13</v>
      </c>
      <c r="H862" t="s">
        <v>660</v>
      </c>
    </row>
    <row r="863" spans="1:8" x14ac:dyDescent="0.25">
      <c r="A863">
        <v>862</v>
      </c>
      <c r="B863" t="s">
        <v>3485</v>
      </c>
      <c r="C863" t="s">
        <v>3486</v>
      </c>
      <c r="D863" t="s">
        <v>3487</v>
      </c>
      <c r="E863" t="s">
        <v>18</v>
      </c>
      <c r="F863" t="s">
        <v>3488</v>
      </c>
      <c r="G863" t="s">
        <v>13</v>
      </c>
      <c r="H863" t="s">
        <v>628</v>
      </c>
    </row>
    <row r="864" spans="1:8" x14ac:dyDescent="0.25">
      <c r="A864">
        <v>863</v>
      </c>
      <c r="B864" t="s">
        <v>3489</v>
      </c>
      <c r="C864" t="s">
        <v>3490</v>
      </c>
      <c r="D864" t="s">
        <v>3491</v>
      </c>
      <c r="E864" t="s">
        <v>18</v>
      </c>
      <c r="F864" t="s">
        <v>3492</v>
      </c>
      <c r="G864" t="s">
        <v>13</v>
      </c>
      <c r="H864" t="s">
        <v>210</v>
      </c>
    </row>
    <row r="865" spans="1:8" x14ac:dyDescent="0.25">
      <c r="A865">
        <v>864</v>
      </c>
      <c r="B865" t="s">
        <v>3493</v>
      </c>
      <c r="C865" t="s">
        <v>3494</v>
      </c>
      <c r="D865" t="s">
        <v>3495</v>
      </c>
      <c r="E865" t="s">
        <v>11</v>
      </c>
      <c r="F865" t="s">
        <v>3496</v>
      </c>
      <c r="G865" t="s">
        <v>13</v>
      </c>
      <c r="H865" t="s">
        <v>567</v>
      </c>
    </row>
    <row r="866" spans="1:8" x14ac:dyDescent="0.25">
      <c r="A866">
        <v>865</v>
      </c>
      <c r="B866" t="s">
        <v>3497</v>
      </c>
      <c r="C866" t="s">
        <v>3498</v>
      </c>
      <c r="D866" t="s">
        <v>3499</v>
      </c>
      <c r="E866" t="s">
        <v>18</v>
      </c>
      <c r="F866" t="s">
        <v>3500</v>
      </c>
      <c r="G866" t="s">
        <v>13</v>
      </c>
      <c r="H866" t="s">
        <v>487</v>
      </c>
    </row>
    <row r="867" spans="1:8" x14ac:dyDescent="0.25">
      <c r="A867">
        <v>866</v>
      </c>
      <c r="B867" t="s">
        <v>3501</v>
      </c>
      <c r="C867" t="s">
        <v>3502</v>
      </c>
      <c r="D867" t="s">
        <v>3503</v>
      </c>
      <c r="E867" t="s">
        <v>18</v>
      </c>
      <c r="F867" t="s">
        <v>3504</v>
      </c>
      <c r="G867" t="s">
        <v>13</v>
      </c>
      <c r="H867" t="s">
        <v>36</v>
      </c>
    </row>
    <row r="868" spans="1:8" x14ac:dyDescent="0.25">
      <c r="A868">
        <v>867</v>
      </c>
      <c r="B868" t="s">
        <v>3505</v>
      </c>
      <c r="C868" t="s">
        <v>3506</v>
      </c>
      <c r="D868" t="s">
        <v>3507</v>
      </c>
      <c r="E868" t="s">
        <v>18</v>
      </c>
      <c r="F868" t="s">
        <v>3508</v>
      </c>
      <c r="G868" t="s">
        <v>13</v>
      </c>
      <c r="H868" t="s">
        <v>120</v>
      </c>
    </row>
    <row r="869" spans="1:8" x14ac:dyDescent="0.25">
      <c r="A869">
        <v>868</v>
      </c>
      <c r="B869" t="s">
        <v>3509</v>
      </c>
      <c r="C869" t="s">
        <v>3510</v>
      </c>
      <c r="D869" t="s">
        <v>3511</v>
      </c>
      <c r="E869" t="s">
        <v>11</v>
      </c>
      <c r="F869" t="s">
        <v>3512</v>
      </c>
      <c r="G869" t="s">
        <v>13</v>
      </c>
      <c r="H869" t="s">
        <v>628</v>
      </c>
    </row>
    <row r="870" spans="1:8" x14ac:dyDescent="0.25">
      <c r="A870">
        <v>869</v>
      </c>
      <c r="B870" t="s">
        <v>3513</v>
      </c>
      <c r="C870" t="s">
        <v>3514</v>
      </c>
      <c r="D870" t="s">
        <v>3515</v>
      </c>
      <c r="E870" t="s">
        <v>11</v>
      </c>
      <c r="F870" t="s">
        <v>3516</v>
      </c>
      <c r="G870" t="s">
        <v>13</v>
      </c>
      <c r="H870" t="s">
        <v>558</v>
      </c>
    </row>
    <row r="871" spans="1:8" x14ac:dyDescent="0.25">
      <c r="A871">
        <v>870</v>
      </c>
      <c r="B871" t="s">
        <v>3517</v>
      </c>
      <c r="C871" t="s">
        <v>3518</v>
      </c>
      <c r="D871" t="s">
        <v>3519</v>
      </c>
      <c r="E871" t="s">
        <v>11</v>
      </c>
      <c r="F871" t="s">
        <v>3520</v>
      </c>
      <c r="G871" t="s">
        <v>13</v>
      </c>
      <c r="H871" t="s">
        <v>224</v>
      </c>
    </row>
    <row r="872" spans="1:8" x14ac:dyDescent="0.25">
      <c r="B872" t="s">
        <v>3521</v>
      </c>
      <c r="C872" t="s">
        <v>3522</v>
      </c>
      <c r="D872" t="s">
        <v>3523</v>
      </c>
      <c r="E872" t="s">
        <v>18</v>
      </c>
      <c r="F872" t="s">
        <v>3524</v>
      </c>
      <c r="G872" t="s">
        <v>13</v>
      </c>
      <c r="H872" t="s">
        <v>224</v>
      </c>
    </row>
    <row r="873" spans="1:8" x14ac:dyDescent="0.25">
      <c r="A873">
        <v>872</v>
      </c>
      <c r="B873" t="s">
        <v>3525</v>
      </c>
      <c r="C873" t="s">
        <v>3526</v>
      </c>
      <c r="D873" t="s">
        <v>3527</v>
      </c>
      <c r="E873" t="s">
        <v>11</v>
      </c>
      <c r="F873" t="s">
        <v>3528</v>
      </c>
      <c r="G873" t="s">
        <v>13</v>
      </c>
      <c r="H873" t="s">
        <v>641</v>
      </c>
    </row>
    <row r="874" spans="1:8" x14ac:dyDescent="0.25">
      <c r="A874">
        <v>873</v>
      </c>
      <c r="B874" t="s">
        <v>3529</v>
      </c>
      <c r="C874" t="s">
        <v>3530</v>
      </c>
      <c r="D874" t="s">
        <v>3531</v>
      </c>
      <c r="E874" t="s">
        <v>18</v>
      </c>
      <c r="F874" t="s">
        <v>3532</v>
      </c>
      <c r="G874" t="s">
        <v>13</v>
      </c>
      <c r="H874" t="s">
        <v>135</v>
      </c>
    </row>
    <row r="875" spans="1:8" x14ac:dyDescent="0.25">
      <c r="A875">
        <v>874</v>
      </c>
      <c r="B875" t="s">
        <v>3533</v>
      </c>
      <c r="C875" t="s">
        <v>3534</v>
      </c>
      <c r="D875" t="s">
        <v>3535</v>
      </c>
      <c r="E875" t="s">
        <v>11</v>
      </c>
      <c r="F875" t="s">
        <v>3536</v>
      </c>
      <c r="G875" t="s">
        <v>13</v>
      </c>
      <c r="H875" t="s">
        <v>154</v>
      </c>
    </row>
    <row r="876" spans="1:8" x14ac:dyDescent="0.25">
      <c r="A876">
        <v>875</v>
      </c>
      <c r="B876" t="s">
        <v>3537</v>
      </c>
      <c r="C876" t="s">
        <v>3538</v>
      </c>
      <c r="D876" t="s">
        <v>3539</v>
      </c>
      <c r="E876" t="s">
        <v>11</v>
      </c>
      <c r="F876" t="s">
        <v>3540</v>
      </c>
      <c r="G876" t="s">
        <v>13</v>
      </c>
      <c r="H876" t="s">
        <v>317</v>
      </c>
    </row>
    <row r="877" spans="1:8" x14ac:dyDescent="0.25">
      <c r="A877">
        <v>876</v>
      </c>
      <c r="B877" t="s">
        <v>3541</v>
      </c>
      <c r="C877" t="s">
        <v>1014</v>
      </c>
      <c r="D877" t="s">
        <v>3542</v>
      </c>
      <c r="E877" t="s">
        <v>11</v>
      </c>
      <c r="F877" t="s">
        <v>3543</v>
      </c>
      <c r="G877" t="s">
        <v>13</v>
      </c>
      <c r="H877" t="s">
        <v>163</v>
      </c>
    </row>
    <row r="878" spans="1:8" x14ac:dyDescent="0.25">
      <c r="A878">
        <v>877</v>
      </c>
      <c r="B878" t="s">
        <v>3544</v>
      </c>
      <c r="C878" t="s">
        <v>3545</v>
      </c>
      <c r="D878" t="s">
        <v>3546</v>
      </c>
      <c r="E878" t="s">
        <v>18</v>
      </c>
      <c r="F878" t="s">
        <v>3547</v>
      </c>
      <c r="G878" t="s">
        <v>13</v>
      </c>
      <c r="H878" t="s">
        <v>1187</v>
      </c>
    </row>
    <row r="879" spans="1:8" x14ac:dyDescent="0.25">
      <c r="A879">
        <v>878</v>
      </c>
      <c r="B879" t="s">
        <v>3548</v>
      </c>
      <c r="C879" t="s">
        <v>3549</v>
      </c>
      <c r="D879" t="s">
        <v>3550</v>
      </c>
      <c r="E879" t="s">
        <v>11</v>
      </c>
      <c r="F879" t="s">
        <v>3551</v>
      </c>
      <c r="G879" t="s">
        <v>13</v>
      </c>
      <c r="H879" t="s">
        <v>163</v>
      </c>
    </row>
    <row r="880" spans="1:8" x14ac:dyDescent="0.25">
      <c r="A880">
        <v>879</v>
      </c>
      <c r="B880" t="s">
        <v>3552</v>
      </c>
      <c r="C880" t="s">
        <v>3553</v>
      </c>
      <c r="D880" t="s">
        <v>3554</v>
      </c>
      <c r="E880" t="s">
        <v>18</v>
      </c>
      <c r="F880" t="s">
        <v>3555</v>
      </c>
      <c r="G880" t="s">
        <v>13</v>
      </c>
      <c r="H880" t="s">
        <v>345</v>
      </c>
    </row>
    <row r="881" spans="1:8" x14ac:dyDescent="0.25">
      <c r="A881">
        <v>880</v>
      </c>
      <c r="B881" t="s">
        <v>3556</v>
      </c>
      <c r="C881" t="s">
        <v>3557</v>
      </c>
      <c r="D881" t="s">
        <v>3558</v>
      </c>
      <c r="E881" t="s">
        <v>18</v>
      </c>
      <c r="F881" t="s">
        <v>3559</v>
      </c>
      <c r="G881" t="s">
        <v>13</v>
      </c>
      <c r="H881" t="s">
        <v>31</v>
      </c>
    </row>
    <row r="882" spans="1:8" x14ac:dyDescent="0.25">
      <c r="A882">
        <v>881</v>
      </c>
      <c r="B882" t="s">
        <v>3560</v>
      </c>
      <c r="C882" t="s">
        <v>3561</v>
      </c>
      <c r="D882" t="s">
        <v>3562</v>
      </c>
      <c r="E882" t="s">
        <v>11</v>
      </c>
      <c r="F882" t="s">
        <v>3563</v>
      </c>
      <c r="G882" t="s">
        <v>13</v>
      </c>
      <c r="H882" t="s">
        <v>76</v>
      </c>
    </row>
    <row r="883" spans="1:8" x14ac:dyDescent="0.25">
      <c r="A883">
        <v>882</v>
      </c>
      <c r="B883" t="s">
        <v>3564</v>
      </c>
      <c r="C883" t="s">
        <v>3565</v>
      </c>
      <c r="D883" t="s">
        <v>3566</v>
      </c>
      <c r="E883" t="s">
        <v>18</v>
      </c>
      <c r="F883" t="s">
        <v>3567</v>
      </c>
      <c r="G883" t="s">
        <v>13</v>
      </c>
      <c r="H883" t="s">
        <v>597</v>
      </c>
    </row>
    <row r="884" spans="1:8" x14ac:dyDescent="0.25">
      <c r="A884">
        <v>883</v>
      </c>
      <c r="B884" t="s">
        <v>3568</v>
      </c>
      <c r="C884" t="s">
        <v>3569</v>
      </c>
      <c r="D884" t="s">
        <v>3570</v>
      </c>
      <c r="E884" t="s">
        <v>280</v>
      </c>
      <c r="F884" t="s">
        <v>3571</v>
      </c>
      <c r="G884" t="s">
        <v>13</v>
      </c>
      <c r="H884" t="s">
        <v>56</v>
      </c>
    </row>
    <row r="885" spans="1:8" x14ac:dyDescent="0.25">
      <c r="A885">
        <v>884</v>
      </c>
      <c r="B885" t="s">
        <v>3572</v>
      </c>
      <c r="C885" t="s">
        <v>3573</v>
      </c>
      <c r="D885" t="s">
        <v>3574</v>
      </c>
      <c r="E885" t="s">
        <v>18</v>
      </c>
      <c r="F885" t="s">
        <v>3575</v>
      </c>
      <c r="G885" t="s">
        <v>13</v>
      </c>
      <c r="H885" t="s">
        <v>140</v>
      </c>
    </row>
    <row r="886" spans="1:8" x14ac:dyDescent="0.25">
      <c r="A886">
        <v>885</v>
      </c>
      <c r="B886" t="s">
        <v>3576</v>
      </c>
      <c r="C886" t="s">
        <v>3577</v>
      </c>
      <c r="D886" t="s">
        <v>3578</v>
      </c>
      <c r="E886" t="s">
        <v>18</v>
      </c>
      <c r="F886" t="s">
        <v>3579</v>
      </c>
      <c r="G886" t="s">
        <v>13</v>
      </c>
      <c r="H886" t="s">
        <v>1432</v>
      </c>
    </row>
    <row r="887" spans="1:8" x14ac:dyDescent="0.25">
      <c r="A887">
        <v>886</v>
      </c>
      <c r="B887" t="s">
        <v>3580</v>
      </c>
      <c r="C887" t="s">
        <v>3581</v>
      </c>
      <c r="D887" t="s">
        <v>3582</v>
      </c>
      <c r="E887" t="s">
        <v>11</v>
      </c>
      <c r="F887" t="s">
        <v>3583</v>
      </c>
      <c r="G887" t="s">
        <v>13</v>
      </c>
      <c r="H887" t="s">
        <v>261</v>
      </c>
    </row>
    <row r="888" spans="1:8" x14ac:dyDescent="0.25">
      <c r="A888">
        <v>887</v>
      </c>
      <c r="B888" t="s">
        <v>3584</v>
      </c>
      <c r="C888" t="s">
        <v>3585</v>
      </c>
      <c r="D888" t="s">
        <v>3586</v>
      </c>
      <c r="E888" t="s">
        <v>18</v>
      </c>
      <c r="F888" t="s">
        <v>3587</v>
      </c>
      <c r="G888" t="s">
        <v>13</v>
      </c>
      <c r="H888" t="s">
        <v>20</v>
      </c>
    </row>
    <row r="889" spans="1:8" x14ac:dyDescent="0.25">
      <c r="A889">
        <v>888</v>
      </c>
      <c r="B889" t="s">
        <v>3588</v>
      </c>
      <c r="C889" t="s">
        <v>3589</v>
      </c>
      <c r="D889" t="s">
        <v>3590</v>
      </c>
      <c r="E889" t="s">
        <v>18</v>
      </c>
      <c r="F889" t="s">
        <v>3591</v>
      </c>
      <c r="G889" t="s">
        <v>13</v>
      </c>
      <c r="H889" t="s">
        <v>25</v>
      </c>
    </row>
    <row r="890" spans="1:8" x14ac:dyDescent="0.25">
      <c r="A890">
        <v>889</v>
      </c>
      <c r="B890" t="s">
        <v>3592</v>
      </c>
      <c r="C890" t="s">
        <v>3593</v>
      </c>
      <c r="D890" t="s">
        <v>3594</v>
      </c>
      <c r="E890" t="s">
        <v>18</v>
      </c>
      <c r="F890" t="s">
        <v>3595</v>
      </c>
      <c r="G890" t="s">
        <v>13</v>
      </c>
      <c r="H890" t="s">
        <v>549</v>
      </c>
    </row>
    <row r="891" spans="1:8" x14ac:dyDescent="0.25">
      <c r="A891">
        <v>890</v>
      </c>
      <c r="B891" t="s">
        <v>892</v>
      </c>
      <c r="C891" t="s">
        <v>3596</v>
      </c>
      <c r="D891" t="s">
        <v>3597</v>
      </c>
      <c r="E891" t="s">
        <v>18</v>
      </c>
      <c r="F891" t="s">
        <v>3598</v>
      </c>
      <c r="G891" t="s">
        <v>13</v>
      </c>
      <c r="H891" t="s">
        <v>345</v>
      </c>
    </row>
    <row r="892" spans="1:8" x14ac:dyDescent="0.25">
      <c r="A892">
        <v>891</v>
      </c>
      <c r="B892" t="s">
        <v>3599</v>
      </c>
      <c r="C892" t="s">
        <v>3600</v>
      </c>
      <c r="D892" t="s">
        <v>3601</v>
      </c>
      <c r="E892" t="s">
        <v>11</v>
      </c>
      <c r="F892" t="s">
        <v>3602</v>
      </c>
      <c r="G892" t="s">
        <v>13</v>
      </c>
      <c r="H892" t="s">
        <v>76</v>
      </c>
    </row>
    <row r="893" spans="1:8" x14ac:dyDescent="0.25">
      <c r="A893">
        <v>892</v>
      </c>
      <c r="B893" t="s">
        <v>3603</v>
      </c>
      <c r="C893" t="s">
        <v>3604</v>
      </c>
      <c r="D893" t="s">
        <v>3605</v>
      </c>
      <c r="E893" t="s">
        <v>18</v>
      </c>
      <c r="F893" t="s">
        <v>3606</v>
      </c>
      <c r="G893" t="s">
        <v>13</v>
      </c>
      <c r="H893" t="s">
        <v>1726</v>
      </c>
    </row>
    <row r="894" spans="1:8" x14ac:dyDescent="0.25">
      <c r="A894">
        <v>893</v>
      </c>
      <c r="B894" t="s">
        <v>3607</v>
      </c>
      <c r="C894" t="s">
        <v>3608</v>
      </c>
      <c r="D894" t="s">
        <v>3609</v>
      </c>
      <c r="E894" t="s">
        <v>18</v>
      </c>
      <c r="F894" t="s">
        <v>3610</v>
      </c>
      <c r="G894" t="s">
        <v>13</v>
      </c>
      <c r="H894" t="s">
        <v>360</v>
      </c>
    </row>
    <row r="895" spans="1:8" x14ac:dyDescent="0.25">
      <c r="A895">
        <v>894</v>
      </c>
      <c r="B895" t="s">
        <v>3611</v>
      </c>
      <c r="C895" t="s">
        <v>3612</v>
      </c>
      <c r="D895" t="s">
        <v>3613</v>
      </c>
      <c r="E895" t="s">
        <v>18</v>
      </c>
      <c r="F895" t="s">
        <v>3614</v>
      </c>
      <c r="G895" t="s">
        <v>13</v>
      </c>
      <c r="H895" t="s">
        <v>700</v>
      </c>
    </row>
    <row r="896" spans="1:8" x14ac:dyDescent="0.25">
      <c r="B896" t="s">
        <v>3615</v>
      </c>
      <c r="C896" t="s">
        <v>3616</v>
      </c>
      <c r="D896" t="s">
        <v>3617</v>
      </c>
      <c r="E896" t="s">
        <v>18</v>
      </c>
      <c r="F896" t="s">
        <v>3618</v>
      </c>
      <c r="G896" t="s">
        <v>13</v>
      </c>
      <c r="H896" t="s">
        <v>687</v>
      </c>
    </row>
    <row r="897" spans="1:8" x14ac:dyDescent="0.25">
      <c r="A897">
        <v>896</v>
      </c>
      <c r="B897" t="s">
        <v>3619</v>
      </c>
      <c r="C897" t="s">
        <v>3620</v>
      </c>
      <c r="D897" t="s">
        <v>3621</v>
      </c>
      <c r="E897" t="s">
        <v>358</v>
      </c>
      <c r="F897" t="s">
        <v>3622</v>
      </c>
      <c r="G897" t="s">
        <v>13</v>
      </c>
      <c r="H897" t="s">
        <v>163</v>
      </c>
    </row>
    <row r="898" spans="1:8" x14ac:dyDescent="0.25">
      <c r="A898">
        <v>897</v>
      </c>
      <c r="B898" t="s">
        <v>3623</v>
      </c>
      <c r="C898" t="s">
        <v>3624</v>
      </c>
      <c r="D898" t="s">
        <v>3625</v>
      </c>
      <c r="E898" t="s">
        <v>18</v>
      </c>
      <c r="F898" t="s">
        <v>3626</v>
      </c>
      <c r="G898" t="s">
        <v>13</v>
      </c>
      <c r="H898" t="s">
        <v>36</v>
      </c>
    </row>
    <row r="899" spans="1:8" x14ac:dyDescent="0.25">
      <c r="A899">
        <v>898</v>
      </c>
      <c r="B899" t="s">
        <v>3627</v>
      </c>
      <c r="C899" t="s">
        <v>3628</v>
      </c>
      <c r="D899" t="s">
        <v>3629</v>
      </c>
      <c r="E899" t="s">
        <v>11</v>
      </c>
      <c r="F899" t="s">
        <v>3630</v>
      </c>
      <c r="G899" t="s">
        <v>13</v>
      </c>
      <c r="H899" t="s">
        <v>36</v>
      </c>
    </row>
    <row r="900" spans="1:8" x14ac:dyDescent="0.25">
      <c r="A900">
        <v>899</v>
      </c>
      <c r="B900" t="s">
        <v>3631</v>
      </c>
      <c r="C900" t="s">
        <v>3632</v>
      </c>
      <c r="D900" t="s">
        <v>3633</v>
      </c>
      <c r="E900" t="s">
        <v>11</v>
      </c>
      <c r="F900" t="s">
        <v>3634</v>
      </c>
      <c r="G900" t="s">
        <v>13</v>
      </c>
      <c r="H900" t="s">
        <v>687</v>
      </c>
    </row>
    <row r="901" spans="1:8" x14ac:dyDescent="0.25">
      <c r="A901">
        <v>900</v>
      </c>
      <c r="B901" t="s">
        <v>3635</v>
      </c>
      <c r="C901" t="s">
        <v>3636</v>
      </c>
      <c r="D901" t="s">
        <v>3637</v>
      </c>
      <c r="E901" t="s">
        <v>18</v>
      </c>
      <c r="F901" t="s">
        <v>3638</v>
      </c>
      <c r="G901" t="s">
        <v>13</v>
      </c>
      <c r="H901" t="s">
        <v>365</v>
      </c>
    </row>
    <row r="902" spans="1:8" x14ac:dyDescent="0.25">
      <c r="A902">
        <v>901</v>
      </c>
      <c r="B902" t="s">
        <v>3639</v>
      </c>
      <c r="C902" t="s">
        <v>3640</v>
      </c>
      <c r="D902" t="s">
        <v>3641</v>
      </c>
      <c r="E902" t="s">
        <v>358</v>
      </c>
      <c r="F902" t="s">
        <v>3642</v>
      </c>
      <c r="G902" t="s">
        <v>13</v>
      </c>
      <c r="H902" t="s">
        <v>41</v>
      </c>
    </row>
    <row r="903" spans="1:8" x14ac:dyDescent="0.25">
      <c r="A903">
        <v>902</v>
      </c>
      <c r="B903" t="s">
        <v>3643</v>
      </c>
      <c r="C903" t="s">
        <v>3644</v>
      </c>
      <c r="D903" t="s">
        <v>3645</v>
      </c>
      <c r="E903" t="s">
        <v>18</v>
      </c>
      <c r="F903" t="s">
        <v>3646</v>
      </c>
      <c r="G903" t="s">
        <v>13</v>
      </c>
      <c r="H903" t="s">
        <v>673</v>
      </c>
    </row>
    <row r="904" spans="1:8" x14ac:dyDescent="0.25">
      <c r="A904">
        <v>903</v>
      </c>
      <c r="B904" t="s">
        <v>3647</v>
      </c>
      <c r="C904" t="s">
        <v>3648</v>
      </c>
      <c r="D904" t="s">
        <v>3649</v>
      </c>
      <c r="E904" t="s">
        <v>11</v>
      </c>
      <c r="F904" t="s">
        <v>3650</v>
      </c>
      <c r="G904" t="s">
        <v>13</v>
      </c>
      <c r="H904" t="s">
        <v>1634</v>
      </c>
    </row>
    <row r="905" spans="1:8" x14ac:dyDescent="0.25">
      <c r="A905">
        <v>904</v>
      </c>
      <c r="B905" t="s">
        <v>3651</v>
      </c>
      <c r="C905" t="s">
        <v>3652</v>
      </c>
      <c r="D905" t="s">
        <v>3653</v>
      </c>
      <c r="E905" t="s">
        <v>11</v>
      </c>
      <c r="F905" t="s">
        <v>3654</v>
      </c>
      <c r="G905" t="s">
        <v>13</v>
      </c>
      <c r="H905" t="s">
        <v>1726</v>
      </c>
    </row>
    <row r="906" spans="1:8" x14ac:dyDescent="0.25">
      <c r="A906">
        <v>905</v>
      </c>
      <c r="B906" t="s">
        <v>3655</v>
      </c>
      <c r="C906" t="s">
        <v>3656</v>
      </c>
      <c r="D906" t="s">
        <v>3657</v>
      </c>
      <c r="E906" t="s">
        <v>18</v>
      </c>
      <c r="F906" t="s">
        <v>3658</v>
      </c>
      <c r="G906" t="s">
        <v>13</v>
      </c>
      <c r="H906" t="s">
        <v>96</v>
      </c>
    </row>
    <row r="907" spans="1:8" x14ac:dyDescent="0.25">
      <c r="A907">
        <v>906</v>
      </c>
      <c r="B907" t="s">
        <v>3659</v>
      </c>
      <c r="C907" t="s">
        <v>3660</v>
      </c>
      <c r="D907" t="s">
        <v>3661</v>
      </c>
      <c r="E907" t="s">
        <v>11</v>
      </c>
      <c r="F907" t="s">
        <v>3662</v>
      </c>
      <c r="G907" t="s">
        <v>13</v>
      </c>
      <c r="H907" t="s">
        <v>1106</v>
      </c>
    </row>
    <row r="908" spans="1:8" x14ac:dyDescent="0.25">
      <c r="A908">
        <v>907</v>
      </c>
      <c r="B908" t="s">
        <v>3663</v>
      </c>
      <c r="C908" t="s">
        <v>3664</v>
      </c>
      <c r="D908" t="s">
        <v>3665</v>
      </c>
      <c r="E908" t="s">
        <v>18</v>
      </c>
      <c r="F908" t="s">
        <v>3666</v>
      </c>
      <c r="G908" t="s">
        <v>13</v>
      </c>
      <c r="H908" t="s">
        <v>205</v>
      </c>
    </row>
    <row r="909" spans="1:8" x14ac:dyDescent="0.25">
      <c r="A909">
        <v>908</v>
      </c>
      <c r="B909" t="s">
        <v>3667</v>
      </c>
      <c r="C909" t="s">
        <v>3668</v>
      </c>
      <c r="D909" t="s">
        <v>3669</v>
      </c>
      <c r="E909" t="s">
        <v>11</v>
      </c>
      <c r="F909" t="s">
        <v>3670</v>
      </c>
      <c r="G909" t="s">
        <v>13</v>
      </c>
      <c r="H909" t="s">
        <v>399</v>
      </c>
    </row>
    <row r="910" spans="1:8" x14ac:dyDescent="0.25">
      <c r="A910">
        <v>909</v>
      </c>
      <c r="B910" t="s">
        <v>3671</v>
      </c>
      <c r="C910" t="s">
        <v>3672</v>
      </c>
      <c r="D910" t="s">
        <v>3673</v>
      </c>
      <c r="E910" t="s">
        <v>11</v>
      </c>
      <c r="F910" t="s">
        <v>3674</v>
      </c>
      <c r="G910" t="s">
        <v>13</v>
      </c>
      <c r="H910" t="s">
        <v>252</v>
      </c>
    </row>
    <row r="911" spans="1:8" x14ac:dyDescent="0.25">
      <c r="C911" t="s">
        <v>3675</v>
      </c>
      <c r="D911" t="s">
        <v>3676</v>
      </c>
      <c r="E911" t="s">
        <v>11</v>
      </c>
      <c r="F911" t="s">
        <v>3677</v>
      </c>
      <c r="G911" t="s">
        <v>13</v>
      </c>
      <c r="H911" t="s">
        <v>404</v>
      </c>
    </row>
    <row r="912" spans="1:8" x14ac:dyDescent="0.25">
      <c r="A912">
        <v>911</v>
      </c>
      <c r="B912" t="s">
        <v>3678</v>
      </c>
      <c r="C912" t="s">
        <v>2438</v>
      </c>
      <c r="D912" t="s">
        <v>3679</v>
      </c>
      <c r="E912" t="s">
        <v>18</v>
      </c>
      <c r="F912" t="s">
        <v>3680</v>
      </c>
      <c r="G912" t="s">
        <v>13</v>
      </c>
      <c r="H912" t="s">
        <v>809</v>
      </c>
    </row>
    <row r="913" spans="1:8" x14ac:dyDescent="0.25">
      <c r="A913">
        <v>912</v>
      </c>
      <c r="B913" t="s">
        <v>3681</v>
      </c>
      <c r="C913" t="s">
        <v>3682</v>
      </c>
      <c r="D913" t="s">
        <v>3683</v>
      </c>
      <c r="E913" t="s">
        <v>18</v>
      </c>
      <c r="F913" t="s">
        <v>3684</v>
      </c>
      <c r="G913" t="s">
        <v>13</v>
      </c>
      <c r="H913" t="s">
        <v>215</v>
      </c>
    </row>
    <row r="914" spans="1:8" x14ac:dyDescent="0.25">
      <c r="B914" t="s">
        <v>2183</v>
      </c>
      <c r="C914" t="s">
        <v>3685</v>
      </c>
      <c r="D914" t="s">
        <v>3686</v>
      </c>
      <c r="E914" t="s">
        <v>11</v>
      </c>
      <c r="F914" t="s">
        <v>3687</v>
      </c>
      <c r="G914" t="s">
        <v>13</v>
      </c>
      <c r="H914" t="s">
        <v>76</v>
      </c>
    </row>
    <row r="915" spans="1:8" x14ac:dyDescent="0.25">
      <c r="A915">
        <v>914</v>
      </c>
      <c r="B915" t="s">
        <v>3688</v>
      </c>
      <c r="C915" t="s">
        <v>3689</v>
      </c>
      <c r="D915" t="s">
        <v>3690</v>
      </c>
      <c r="E915" t="s">
        <v>11</v>
      </c>
      <c r="F915" t="s">
        <v>3691</v>
      </c>
      <c r="G915" t="s">
        <v>13</v>
      </c>
      <c r="H915" t="s">
        <v>101</v>
      </c>
    </row>
    <row r="916" spans="1:8" x14ac:dyDescent="0.25">
      <c r="A916">
        <v>915</v>
      </c>
      <c r="B916" t="s">
        <v>3692</v>
      </c>
      <c r="C916" t="s">
        <v>3693</v>
      </c>
      <c r="D916" t="s">
        <v>3694</v>
      </c>
      <c r="E916" t="s">
        <v>11</v>
      </c>
      <c r="F916" t="s">
        <v>3695</v>
      </c>
      <c r="G916" t="s">
        <v>13</v>
      </c>
      <c r="H916" t="s">
        <v>296</v>
      </c>
    </row>
    <row r="917" spans="1:8" x14ac:dyDescent="0.25">
      <c r="A917">
        <v>916</v>
      </c>
      <c r="B917" t="s">
        <v>3696</v>
      </c>
      <c r="C917" t="s">
        <v>3697</v>
      </c>
      <c r="D917" t="s">
        <v>3698</v>
      </c>
      <c r="E917" t="s">
        <v>11</v>
      </c>
      <c r="F917" t="s">
        <v>3699</v>
      </c>
      <c r="G917" t="s">
        <v>13</v>
      </c>
      <c r="H917" t="s">
        <v>567</v>
      </c>
    </row>
    <row r="918" spans="1:8" x14ac:dyDescent="0.25">
      <c r="A918">
        <v>917</v>
      </c>
      <c r="B918" t="s">
        <v>3700</v>
      </c>
      <c r="C918" t="s">
        <v>3701</v>
      </c>
      <c r="D918" t="s">
        <v>3702</v>
      </c>
      <c r="E918" t="s">
        <v>11</v>
      </c>
      <c r="F918" t="s">
        <v>3703</v>
      </c>
      <c r="G918" t="s">
        <v>13</v>
      </c>
      <c r="H918" t="s">
        <v>188</v>
      </c>
    </row>
    <row r="919" spans="1:8" x14ac:dyDescent="0.25">
      <c r="A919">
        <v>918</v>
      </c>
      <c r="B919" t="s">
        <v>1783</v>
      </c>
      <c r="C919" t="s">
        <v>3704</v>
      </c>
      <c r="D919" t="s">
        <v>3705</v>
      </c>
      <c r="E919" t="s">
        <v>18</v>
      </c>
      <c r="F919" t="s">
        <v>3706</v>
      </c>
      <c r="G919" t="s">
        <v>13</v>
      </c>
      <c r="H919" t="s">
        <v>149</v>
      </c>
    </row>
    <row r="920" spans="1:8" x14ac:dyDescent="0.25">
      <c r="A920">
        <v>919</v>
      </c>
      <c r="B920" t="s">
        <v>3707</v>
      </c>
      <c r="C920" t="s">
        <v>3708</v>
      </c>
      <c r="D920" t="s">
        <v>3709</v>
      </c>
      <c r="E920" t="s">
        <v>11</v>
      </c>
      <c r="F920" t="s">
        <v>3710</v>
      </c>
      <c r="G920" t="s">
        <v>13</v>
      </c>
      <c r="H920" t="s">
        <v>36</v>
      </c>
    </row>
    <row r="921" spans="1:8" x14ac:dyDescent="0.25">
      <c r="A921">
        <v>920</v>
      </c>
      <c r="B921" t="s">
        <v>3711</v>
      </c>
      <c r="C921" t="s">
        <v>3712</v>
      </c>
      <c r="D921" t="s">
        <v>3713</v>
      </c>
      <c r="E921" t="s">
        <v>274</v>
      </c>
      <c r="F921" t="s">
        <v>3714</v>
      </c>
      <c r="G921" t="s">
        <v>13</v>
      </c>
      <c r="H921" t="s">
        <v>1848</v>
      </c>
    </row>
    <row r="922" spans="1:8" x14ac:dyDescent="0.25">
      <c r="A922">
        <v>921</v>
      </c>
      <c r="B922" t="s">
        <v>3715</v>
      </c>
      <c r="C922" t="s">
        <v>3716</v>
      </c>
      <c r="D922" t="s">
        <v>3717</v>
      </c>
      <c r="E922" t="s">
        <v>18</v>
      </c>
      <c r="F922" t="s">
        <v>3718</v>
      </c>
      <c r="G922" t="s">
        <v>13</v>
      </c>
      <c r="H922" t="s">
        <v>14</v>
      </c>
    </row>
    <row r="923" spans="1:8" x14ac:dyDescent="0.25">
      <c r="A923">
        <v>922</v>
      </c>
      <c r="B923" t="s">
        <v>518</v>
      </c>
      <c r="C923" t="s">
        <v>3719</v>
      </c>
      <c r="D923" t="s">
        <v>3720</v>
      </c>
      <c r="E923" t="s">
        <v>358</v>
      </c>
      <c r="F923" t="s">
        <v>3721</v>
      </c>
      <c r="G923" t="s">
        <v>13</v>
      </c>
      <c r="H923" t="s">
        <v>839</v>
      </c>
    </row>
    <row r="924" spans="1:8" x14ac:dyDescent="0.25">
      <c r="A924">
        <v>923</v>
      </c>
      <c r="B924" t="s">
        <v>3722</v>
      </c>
      <c r="C924" t="s">
        <v>2673</v>
      </c>
      <c r="D924" t="s">
        <v>3723</v>
      </c>
      <c r="E924" t="s">
        <v>11</v>
      </c>
      <c r="F924" t="s">
        <v>3724</v>
      </c>
      <c r="G924" t="s">
        <v>13</v>
      </c>
      <c r="H924" t="s">
        <v>120</v>
      </c>
    </row>
    <row r="925" spans="1:8" x14ac:dyDescent="0.25">
      <c r="A925">
        <v>924</v>
      </c>
      <c r="B925" t="s">
        <v>3725</v>
      </c>
      <c r="C925" t="s">
        <v>3726</v>
      </c>
      <c r="D925" t="s">
        <v>3727</v>
      </c>
      <c r="E925" t="s">
        <v>11</v>
      </c>
      <c r="F925" t="s">
        <v>3728</v>
      </c>
      <c r="G925" t="s">
        <v>13</v>
      </c>
      <c r="H925" t="s">
        <v>71</v>
      </c>
    </row>
    <row r="926" spans="1:8" x14ac:dyDescent="0.25">
      <c r="A926">
        <v>925</v>
      </c>
      <c r="B926" t="s">
        <v>3729</v>
      </c>
      <c r="C926" t="s">
        <v>3730</v>
      </c>
      <c r="D926" t="s">
        <v>3731</v>
      </c>
      <c r="E926" t="s">
        <v>11</v>
      </c>
      <c r="F926" t="s">
        <v>3732</v>
      </c>
      <c r="G926" t="s">
        <v>13</v>
      </c>
      <c r="H926" t="s">
        <v>504</v>
      </c>
    </row>
    <row r="927" spans="1:8" x14ac:dyDescent="0.25">
      <c r="A927">
        <v>926</v>
      </c>
      <c r="B927" t="s">
        <v>896</v>
      </c>
      <c r="C927" t="s">
        <v>3733</v>
      </c>
      <c r="D927" t="s">
        <v>3734</v>
      </c>
      <c r="E927" t="s">
        <v>11</v>
      </c>
      <c r="F927" t="s">
        <v>3735</v>
      </c>
      <c r="G927" t="s">
        <v>13</v>
      </c>
      <c r="H927" t="s">
        <v>487</v>
      </c>
    </row>
    <row r="928" spans="1:8" x14ac:dyDescent="0.25">
      <c r="A928">
        <v>927</v>
      </c>
      <c r="B928" t="s">
        <v>3736</v>
      </c>
      <c r="C928" t="s">
        <v>3737</v>
      </c>
      <c r="D928" t="s">
        <v>3738</v>
      </c>
      <c r="E928" t="s">
        <v>18</v>
      </c>
      <c r="F928" t="s">
        <v>3739</v>
      </c>
      <c r="G928" t="s">
        <v>13</v>
      </c>
      <c r="H928" t="s">
        <v>41</v>
      </c>
    </row>
    <row r="929" spans="1:8" x14ac:dyDescent="0.25">
      <c r="A929">
        <v>928</v>
      </c>
      <c r="B929" t="s">
        <v>3740</v>
      </c>
      <c r="C929" t="s">
        <v>3741</v>
      </c>
      <c r="D929" t="s">
        <v>3742</v>
      </c>
      <c r="E929" t="s">
        <v>11</v>
      </c>
      <c r="F929" t="s">
        <v>3743</v>
      </c>
      <c r="G929" t="s">
        <v>13</v>
      </c>
      <c r="H929" t="s">
        <v>345</v>
      </c>
    </row>
    <row r="930" spans="1:8" x14ac:dyDescent="0.25">
      <c r="A930">
        <v>929</v>
      </c>
      <c r="B930" t="s">
        <v>3744</v>
      </c>
      <c r="C930" t="s">
        <v>3745</v>
      </c>
      <c r="D930" t="s">
        <v>3746</v>
      </c>
      <c r="E930" t="s">
        <v>11</v>
      </c>
      <c r="F930" t="s">
        <v>3747</v>
      </c>
      <c r="G930" t="s">
        <v>13</v>
      </c>
      <c r="H930" t="s">
        <v>345</v>
      </c>
    </row>
    <row r="931" spans="1:8" x14ac:dyDescent="0.25">
      <c r="A931">
        <v>930</v>
      </c>
      <c r="B931" t="s">
        <v>3748</v>
      </c>
      <c r="C931" t="s">
        <v>3749</v>
      </c>
      <c r="D931" t="s">
        <v>3750</v>
      </c>
      <c r="E931" t="s">
        <v>11</v>
      </c>
      <c r="F931" t="s">
        <v>3751</v>
      </c>
      <c r="G931" t="s">
        <v>13</v>
      </c>
      <c r="H931" t="s">
        <v>678</v>
      </c>
    </row>
    <row r="932" spans="1:8" x14ac:dyDescent="0.25">
      <c r="A932">
        <v>931</v>
      </c>
      <c r="B932" t="s">
        <v>1893</v>
      </c>
      <c r="C932" t="s">
        <v>3752</v>
      </c>
      <c r="D932" t="s">
        <v>3753</v>
      </c>
      <c r="E932" t="s">
        <v>18</v>
      </c>
      <c r="F932" t="s">
        <v>3754</v>
      </c>
      <c r="G932" t="s">
        <v>13</v>
      </c>
      <c r="H932" t="s">
        <v>154</v>
      </c>
    </row>
    <row r="933" spans="1:8" x14ac:dyDescent="0.25">
      <c r="B933" t="s">
        <v>2839</v>
      </c>
      <c r="C933" t="s">
        <v>3755</v>
      </c>
      <c r="D933" t="s">
        <v>3756</v>
      </c>
      <c r="E933" t="s">
        <v>11</v>
      </c>
      <c r="F933" t="s">
        <v>3757</v>
      </c>
      <c r="G933" t="s">
        <v>13</v>
      </c>
      <c r="H933" t="s">
        <v>360</v>
      </c>
    </row>
    <row r="934" spans="1:8" x14ac:dyDescent="0.25">
      <c r="A934">
        <v>933</v>
      </c>
      <c r="B934" t="s">
        <v>3758</v>
      </c>
      <c r="C934" t="s">
        <v>3759</v>
      </c>
      <c r="D934" t="s">
        <v>3760</v>
      </c>
      <c r="E934" t="s">
        <v>11</v>
      </c>
      <c r="F934" t="s">
        <v>3761</v>
      </c>
      <c r="G934" t="s">
        <v>13</v>
      </c>
      <c r="H934" t="s">
        <v>154</v>
      </c>
    </row>
    <row r="935" spans="1:8" x14ac:dyDescent="0.25">
      <c r="B935" t="s">
        <v>3762</v>
      </c>
      <c r="C935" t="s">
        <v>3763</v>
      </c>
      <c r="D935" t="s">
        <v>3764</v>
      </c>
      <c r="E935" t="s">
        <v>18</v>
      </c>
      <c r="F935" t="s">
        <v>3765</v>
      </c>
      <c r="G935" t="s">
        <v>13</v>
      </c>
      <c r="H935" t="s">
        <v>650</v>
      </c>
    </row>
    <row r="936" spans="1:8" x14ac:dyDescent="0.25">
      <c r="A936">
        <v>935</v>
      </c>
      <c r="B936" t="s">
        <v>3766</v>
      </c>
      <c r="C936" t="s">
        <v>3767</v>
      </c>
      <c r="D936" t="s">
        <v>3768</v>
      </c>
      <c r="E936" t="s">
        <v>11</v>
      </c>
      <c r="F936" t="s">
        <v>3769</v>
      </c>
      <c r="G936" t="s">
        <v>13</v>
      </c>
      <c r="H936" t="s">
        <v>673</v>
      </c>
    </row>
    <row r="937" spans="1:8" x14ac:dyDescent="0.25">
      <c r="A937">
        <v>936</v>
      </c>
      <c r="B937" t="s">
        <v>3770</v>
      </c>
      <c r="C937" t="s">
        <v>3771</v>
      </c>
      <c r="D937" t="s">
        <v>3772</v>
      </c>
      <c r="E937" t="s">
        <v>18</v>
      </c>
      <c r="F937" t="s">
        <v>3773</v>
      </c>
      <c r="G937" t="s">
        <v>13</v>
      </c>
      <c r="H937" t="s">
        <v>81</v>
      </c>
    </row>
    <row r="938" spans="1:8" x14ac:dyDescent="0.25">
      <c r="A938">
        <v>937</v>
      </c>
      <c r="B938" t="s">
        <v>3774</v>
      </c>
      <c r="C938" t="s">
        <v>3775</v>
      </c>
      <c r="D938" t="s">
        <v>3776</v>
      </c>
      <c r="E938" t="s">
        <v>11</v>
      </c>
      <c r="F938" t="s">
        <v>3777</v>
      </c>
      <c r="G938" t="s">
        <v>13</v>
      </c>
      <c r="H938" t="s">
        <v>173</v>
      </c>
    </row>
    <row r="939" spans="1:8" x14ac:dyDescent="0.25">
      <c r="A939">
        <v>938</v>
      </c>
      <c r="B939" t="s">
        <v>3778</v>
      </c>
      <c r="C939" t="s">
        <v>3779</v>
      </c>
      <c r="D939" t="s">
        <v>3780</v>
      </c>
      <c r="E939" t="s">
        <v>18</v>
      </c>
      <c r="F939" t="s">
        <v>3781</v>
      </c>
      <c r="G939" t="s">
        <v>13</v>
      </c>
      <c r="H939" t="s">
        <v>673</v>
      </c>
    </row>
    <row r="940" spans="1:8" x14ac:dyDescent="0.25">
      <c r="A940">
        <v>939</v>
      </c>
      <c r="B940" t="s">
        <v>3782</v>
      </c>
      <c r="C940" t="s">
        <v>3783</v>
      </c>
      <c r="D940" t="s">
        <v>3784</v>
      </c>
      <c r="E940" t="s">
        <v>18</v>
      </c>
      <c r="F940" t="s">
        <v>3785</v>
      </c>
      <c r="G940" t="s">
        <v>13</v>
      </c>
      <c r="H940" t="s">
        <v>655</v>
      </c>
    </row>
    <row r="941" spans="1:8" x14ac:dyDescent="0.25">
      <c r="A941">
        <v>940</v>
      </c>
      <c r="B941" t="s">
        <v>3786</v>
      </c>
      <c r="C941" t="s">
        <v>3787</v>
      </c>
      <c r="D941" t="s">
        <v>3788</v>
      </c>
      <c r="E941" t="s">
        <v>274</v>
      </c>
      <c r="F941" t="s">
        <v>3789</v>
      </c>
      <c r="G941" t="s">
        <v>13</v>
      </c>
      <c r="H941" t="s">
        <v>276</v>
      </c>
    </row>
    <row r="942" spans="1:8" x14ac:dyDescent="0.25">
      <c r="A942">
        <v>941</v>
      </c>
      <c r="B942" t="s">
        <v>3790</v>
      </c>
      <c r="C942" t="s">
        <v>3791</v>
      </c>
      <c r="D942" t="s">
        <v>3792</v>
      </c>
      <c r="E942" t="s">
        <v>11</v>
      </c>
      <c r="F942" t="s">
        <v>3793</v>
      </c>
      <c r="G942" t="s">
        <v>13</v>
      </c>
      <c r="H942" t="s">
        <v>252</v>
      </c>
    </row>
    <row r="943" spans="1:8" x14ac:dyDescent="0.25">
      <c r="A943">
        <v>942</v>
      </c>
      <c r="B943" t="s">
        <v>3794</v>
      </c>
      <c r="C943" t="s">
        <v>3795</v>
      </c>
      <c r="D943" t="s">
        <v>3796</v>
      </c>
      <c r="E943" t="s">
        <v>11</v>
      </c>
      <c r="F943" t="s">
        <v>3797</v>
      </c>
      <c r="G943" t="s">
        <v>13</v>
      </c>
      <c r="H943" t="s">
        <v>20</v>
      </c>
    </row>
    <row r="944" spans="1:8" x14ac:dyDescent="0.25">
      <c r="A944">
        <v>943</v>
      </c>
      <c r="B944" t="s">
        <v>3798</v>
      </c>
      <c r="C944" t="s">
        <v>3799</v>
      </c>
      <c r="D944" t="s">
        <v>3800</v>
      </c>
      <c r="E944" t="s">
        <v>11</v>
      </c>
      <c r="F944" t="s">
        <v>3801</v>
      </c>
      <c r="G944" t="s">
        <v>13</v>
      </c>
      <c r="H944" t="s">
        <v>504</v>
      </c>
    </row>
    <row r="945" spans="1:8" x14ac:dyDescent="0.25">
      <c r="A945">
        <v>944</v>
      </c>
      <c r="B945" t="s">
        <v>3802</v>
      </c>
      <c r="C945" t="s">
        <v>3803</v>
      </c>
      <c r="D945" t="s">
        <v>3804</v>
      </c>
      <c r="E945" t="s">
        <v>18</v>
      </c>
      <c r="F945" t="s">
        <v>3805</v>
      </c>
      <c r="G945" t="s">
        <v>13</v>
      </c>
      <c r="H945" t="s">
        <v>322</v>
      </c>
    </row>
    <row r="946" spans="1:8" x14ac:dyDescent="0.25">
      <c r="A946">
        <v>945</v>
      </c>
      <c r="B946" t="s">
        <v>3806</v>
      </c>
      <c r="C946" t="s">
        <v>3807</v>
      </c>
      <c r="D946" t="s">
        <v>3808</v>
      </c>
      <c r="E946" t="s">
        <v>11</v>
      </c>
      <c r="F946" t="s">
        <v>3809</v>
      </c>
      <c r="G946" t="s">
        <v>13</v>
      </c>
      <c r="H946" t="s">
        <v>345</v>
      </c>
    </row>
    <row r="947" spans="1:8" x14ac:dyDescent="0.25">
      <c r="A947">
        <v>946</v>
      </c>
      <c r="B947" t="s">
        <v>3810</v>
      </c>
      <c r="C947" t="s">
        <v>3811</v>
      </c>
      <c r="D947" t="s">
        <v>3812</v>
      </c>
      <c r="E947" t="s">
        <v>11</v>
      </c>
      <c r="F947" t="s">
        <v>3813</v>
      </c>
      <c r="G947" t="s">
        <v>13</v>
      </c>
      <c r="H947" t="s">
        <v>46</v>
      </c>
    </row>
    <row r="948" spans="1:8" x14ac:dyDescent="0.25">
      <c r="A948">
        <v>947</v>
      </c>
      <c r="B948" t="s">
        <v>3814</v>
      </c>
      <c r="C948" t="s">
        <v>3815</v>
      </c>
      <c r="D948" t="s">
        <v>3816</v>
      </c>
      <c r="E948" t="s">
        <v>11</v>
      </c>
      <c r="F948" t="s">
        <v>3817</v>
      </c>
      <c r="G948" t="s">
        <v>13</v>
      </c>
      <c r="H948" t="s">
        <v>110</v>
      </c>
    </row>
    <row r="949" spans="1:8" x14ac:dyDescent="0.25">
      <c r="A949">
        <v>948</v>
      </c>
      <c r="B949" t="s">
        <v>576</v>
      </c>
      <c r="C949" t="s">
        <v>3818</v>
      </c>
      <c r="D949" t="s">
        <v>3819</v>
      </c>
      <c r="E949" t="s">
        <v>18</v>
      </c>
      <c r="F949" t="s">
        <v>3820</v>
      </c>
      <c r="G949" t="s">
        <v>13</v>
      </c>
      <c r="H949" t="s">
        <v>660</v>
      </c>
    </row>
    <row r="950" spans="1:8" x14ac:dyDescent="0.25">
      <c r="A950">
        <v>949</v>
      </c>
      <c r="B950" t="s">
        <v>3607</v>
      </c>
      <c r="C950" t="s">
        <v>3821</v>
      </c>
      <c r="D950" t="s">
        <v>3822</v>
      </c>
      <c r="E950" t="s">
        <v>18</v>
      </c>
      <c r="F950" t="s">
        <v>3823</v>
      </c>
      <c r="G950" t="s">
        <v>13</v>
      </c>
      <c r="H950" t="s">
        <v>140</v>
      </c>
    </row>
    <row r="951" spans="1:8" x14ac:dyDescent="0.25">
      <c r="A951">
        <v>950</v>
      </c>
      <c r="B951" t="s">
        <v>3824</v>
      </c>
      <c r="C951" t="s">
        <v>3825</v>
      </c>
      <c r="D951" t="s">
        <v>3826</v>
      </c>
      <c r="E951" t="s">
        <v>18</v>
      </c>
      <c r="F951" t="s">
        <v>3827</v>
      </c>
      <c r="G951" t="s">
        <v>13</v>
      </c>
      <c r="H951" t="s">
        <v>1771</v>
      </c>
    </row>
    <row r="952" spans="1:8" x14ac:dyDescent="0.25">
      <c r="A952">
        <v>951</v>
      </c>
      <c r="B952" t="s">
        <v>3828</v>
      </c>
      <c r="C952" t="s">
        <v>3829</v>
      </c>
      <c r="D952" t="s">
        <v>3830</v>
      </c>
      <c r="E952" t="s">
        <v>18</v>
      </c>
      <c r="F952" t="s">
        <v>3831</v>
      </c>
      <c r="G952" t="s">
        <v>13</v>
      </c>
      <c r="H952" t="s">
        <v>14</v>
      </c>
    </row>
    <row r="953" spans="1:8" x14ac:dyDescent="0.25">
      <c r="A953">
        <v>952</v>
      </c>
      <c r="B953" t="s">
        <v>3832</v>
      </c>
      <c r="C953" t="s">
        <v>3833</v>
      </c>
      <c r="D953" t="s">
        <v>3834</v>
      </c>
      <c r="E953" t="s">
        <v>280</v>
      </c>
      <c r="F953" t="s">
        <v>3835</v>
      </c>
      <c r="G953" t="s">
        <v>13</v>
      </c>
      <c r="H953" t="s">
        <v>1726</v>
      </c>
    </row>
    <row r="954" spans="1:8" x14ac:dyDescent="0.25">
      <c r="B954" t="s">
        <v>3836</v>
      </c>
      <c r="C954" t="s">
        <v>3837</v>
      </c>
      <c r="D954" t="s">
        <v>3838</v>
      </c>
      <c r="E954" t="s">
        <v>11</v>
      </c>
      <c r="F954" t="s">
        <v>3839</v>
      </c>
      <c r="G954" t="s">
        <v>13</v>
      </c>
      <c r="H954" t="s">
        <v>261</v>
      </c>
    </row>
    <row r="955" spans="1:8" x14ac:dyDescent="0.25">
      <c r="A955">
        <v>954</v>
      </c>
      <c r="B955" t="s">
        <v>3840</v>
      </c>
      <c r="C955" t="s">
        <v>3841</v>
      </c>
      <c r="D955" t="s">
        <v>3842</v>
      </c>
      <c r="E955" t="s">
        <v>18</v>
      </c>
      <c r="F955" t="s">
        <v>3843</v>
      </c>
      <c r="G955" t="s">
        <v>13</v>
      </c>
      <c r="H955" t="s">
        <v>230</v>
      </c>
    </row>
    <row r="956" spans="1:8" x14ac:dyDescent="0.25">
      <c r="A956">
        <v>955</v>
      </c>
      <c r="B956" t="s">
        <v>4029</v>
      </c>
      <c r="C956" t="s">
        <v>3845</v>
      </c>
      <c r="D956" t="s">
        <v>3846</v>
      </c>
      <c r="E956" t="s">
        <v>11</v>
      </c>
      <c r="F956" t="s">
        <v>3847</v>
      </c>
      <c r="G956" t="s">
        <v>13</v>
      </c>
      <c r="H956" t="s">
        <v>345</v>
      </c>
    </row>
    <row r="957" spans="1:8" x14ac:dyDescent="0.25">
      <c r="A957">
        <v>956</v>
      </c>
      <c r="B957" t="s">
        <v>3848</v>
      </c>
      <c r="C957" t="s">
        <v>3849</v>
      </c>
      <c r="D957" t="s">
        <v>3850</v>
      </c>
      <c r="E957" t="s">
        <v>11</v>
      </c>
      <c r="F957" t="s">
        <v>3851</v>
      </c>
      <c r="G957" t="s">
        <v>13</v>
      </c>
      <c r="H957" t="s">
        <v>215</v>
      </c>
    </row>
    <row r="958" spans="1:8" x14ac:dyDescent="0.25">
      <c r="A958">
        <v>957</v>
      </c>
      <c r="B958" t="s">
        <v>3852</v>
      </c>
      <c r="C958" t="s">
        <v>3853</v>
      </c>
      <c r="D958" t="s">
        <v>3854</v>
      </c>
      <c r="E958" t="s">
        <v>11</v>
      </c>
      <c r="F958" t="s">
        <v>3855</v>
      </c>
      <c r="G958" t="s">
        <v>13</v>
      </c>
      <c r="H958" t="s">
        <v>404</v>
      </c>
    </row>
    <row r="959" spans="1:8" x14ac:dyDescent="0.25">
      <c r="A959">
        <v>958</v>
      </c>
      <c r="B959" t="s">
        <v>2393</v>
      </c>
      <c r="C959" t="s">
        <v>3856</v>
      </c>
      <c r="D959" t="s">
        <v>3857</v>
      </c>
      <c r="E959" t="s">
        <v>11</v>
      </c>
      <c r="F959" t="s">
        <v>3858</v>
      </c>
      <c r="G959" t="s">
        <v>13</v>
      </c>
      <c r="H959" t="s">
        <v>210</v>
      </c>
    </row>
    <row r="960" spans="1:8" x14ac:dyDescent="0.25">
      <c r="A960">
        <v>959</v>
      </c>
      <c r="B960" t="s">
        <v>3859</v>
      </c>
      <c r="C960" t="s">
        <v>3860</v>
      </c>
      <c r="D960" t="s">
        <v>3861</v>
      </c>
      <c r="E960" t="s">
        <v>18</v>
      </c>
      <c r="F960" t="s">
        <v>3862</v>
      </c>
      <c r="G960" t="s">
        <v>13</v>
      </c>
      <c r="H960" t="s">
        <v>365</v>
      </c>
    </row>
    <row r="961" spans="1:8" x14ac:dyDescent="0.25">
      <c r="A961">
        <v>960</v>
      </c>
      <c r="B961" t="s">
        <v>3863</v>
      </c>
      <c r="C961" t="s">
        <v>3864</v>
      </c>
      <c r="D961" t="s">
        <v>3865</v>
      </c>
      <c r="E961" t="s">
        <v>18</v>
      </c>
      <c r="F961" t="s">
        <v>3866</v>
      </c>
      <c r="G961" t="s">
        <v>13</v>
      </c>
      <c r="H961" t="s">
        <v>1634</v>
      </c>
    </row>
    <row r="962" spans="1:8" x14ac:dyDescent="0.25">
      <c r="A962">
        <v>961</v>
      </c>
      <c r="B962" t="s">
        <v>3867</v>
      </c>
      <c r="C962" t="s">
        <v>3868</v>
      </c>
      <c r="D962" t="s">
        <v>3869</v>
      </c>
      <c r="E962" t="s">
        <v>18</v>
      </c>
      <c r="F962" t="s">
        <v>3870</v>
      </c>
      <c r="G962" t="s">
        <v>13</v>
      </c>
      <c r="H962" t="s">
        <v>374</v>
      </c>
    </row>
    <row r="963" spans="1:8" x14ac:dyDescent="0.25">
      <c r="A963">
        <v>962</v>
      </c>
      <c r="B963" t="s">
        <v>3871</v>
      </c>
      <c r="C963" t="s">
        <v>3872</v>
      </c>
      <c r="D963" t="s">
        <v>3873</v>
      </c>
      <c r="E963" t="s">
        <v>18</v>
      </c>
      <c r="F963" t="s">
        <v>3874</v>
      </c>
      <c r="G963" t="s">
        <v>13</v>
      </c>
      <c r="H963" t="s">
        <v>1187</v>
      </c>
    </row>
    <row r="964" spans="1:8" x14ac:dyDescent="0.25">
      <c r="A964">
        <v>963</v>
      </c>
      <c r="B964" t="s">
        <v>3875</v>
      </c>
      <c r="C964" t="s">
        <v>3876</v>
      </c>
      <c r="D964" t="s">
        <v>3877</v>
      </c>
      <c r="E964" t="s">
        <v>11</v>
      </c>
      <c r="F964" t="s">
        <v>3878</v>
      </c>
      <c r="G964" t="s">
        <v>13</v>
      </c>
      <c r="H964" t="s">
        <v>673</v>
      </c>
    </row>
    <row r="965" spans="1:8" x14ac:dyDescent="0.25">
      <c r="A965">
        <v>964</v>
      </c>
      <c r="B965" t="s">
        <v>3879</v>
      </c>
      <c r="C965" t="s">
        <v>3880</v>
      </c>
      <c r="D965" t="s">
        <v>3881</v>
      </c>
      <c r="E965" t="s">
        <v>11</v>
      </c>
      <c r="F965" t="s">
        <v>3882</v>
      </c>
      <c r="G965" t="s">
        <v>13</v>
      </c>
      <c r="H965" t="s">
        <v>1848</v>
      </c>
    </row>
    <row r="966" spans="1:8" x14ac:dyDescent="0.25">
      <c r="A966">
        <v>965</v>
      </c>
      <c r="B966" t="s">
        <v>3339</v>
      </c>
      <c r="C966" t="s">
        <v>3883</v>
      </c>
      <c r="D966" t="s">
        <v>3884</v>
      </c>
      <c r="E966" t="s">
        <v>18</v>
      </c>
      <c r="F966" t="s">
        <v>3885</v>
      </c>
      <c r="G966" t="s">
        <v>13</v>
      </c>
      <c r="H966" t="s">
        <v>154</v>
      </c>
    </row>
    <row r="967" spans="1:8" x14ac:dyDescent="0.25">
      <c r="A967">
        <v>966</v>
      </c>
      <c r="B967" t="s">
        <v>3886</v>
      </c>
      <c r="C967" t="s">
        <v>3887</v>
      </c>
      <c r="D967" t="s">
        <v>3888</v>
      </c>
      <c r="E967" t="s">
        <v>18</v>
      </c>
      <c r="F967" t="s">
        <v>3889</v>
      </c>
      <c r="G967" t="s">
        <v>13</v>
      </c>
      <c r="H967" t="s">
        <v>814</v>
      </c>
    </row>
    <row r="968" spans="1:8" x14ac:dyDescent="0.25">
      <c r="A968">
        <v>967</v>
      </c>
      <c r="B968" t="s">
        <v>3890</v>
      </c>
      <c r="C968" t="s">
        <v>3891</v>
      </c>
      <c r="D968" t="s">
        <v>3892</v>
      </c>
      <c r="E968" t="s">
        <v>11</v>
      </c>
      <c r="F968" t="s">
        <v>3893</v>
      </c>
      <c r="G968" t="s">
        <v>13</v>
      </c>
      <c r="H968" t="s">
        <v>619</v>
      </c>
    </row>
    <row r="969" spans="1:8" x14ac:dyDescent="0.25">
      <c r="A969">
        <v>968</v>
      </c>
      <c r="B969" t="s">
        <v>3894</v>
      </c>
      <c r="C969" t="s">
        <v>3895</v>
      </c>
      <c r="D969" t="s">
        <v>3896</v>
      </c>
      <c r="E969" t="s">
        <v>11</v>
      </c>
      <c r="F969" t="s">
        <v>3897</v>
      </c>
      <c r="G969" t="s">
        <v>13</v>
      </c>
      <c r="H969" t="s">
        <v>252</v>
      </c>
    </row>
    <row r="970" spans="1:8" x14ac:dyDescent="0.25">
      <c r="A970">
        <v>969</v>
      </c>
      <c r="B970" t="s">
        <v>3898</v>
      </c>
      <c r="C970" t="s">
        <v>3899</v>
      </c>
      <c r="D970" t="s">
        <v>3900</v>
      </c>
      <c r="E970" t="s">
        <v>11</v>
      </c>
      <c r="F970" t="s">
        <v>3901</v>
      </c>
      <c r="G970" t="s">
        <v>13</v>
      </c>
      <c r="H970" t="s">
        <v>261</v>
      </c>
    </row>
    <row r="971" spans="1:8" x14ac:dyDescent="0.25">
      <c r="A971">
        <v>970</v>
      </c>
      <c r="B971" t="s">
        <v>3902</v>
      </c>
      <c r="C971" t="s">
        <v>3903</v>
      </c>
      <c r="D971" t="s">
        <v>3904</v>
      </c>
      <c r="E971" t="s">
        <v>18</v>
      </c>
      <c r="F971" t="s">
        <v>3905</v>
      </c>
      <c r="G971" t="s">
        <v>13</v>
      </c>
      <c r="H971" t="s">
        <v>149</v>
      </c>
    </row>
    <row r="972" spans="1:8" x14ac:dyDescent="0.25">
      <c r="A972">
        <v>971</v>
      </c>
      <c r="B972" t="s">
        <v>3906</v>
      </c>
      <c r="C972" t="s">
        <v>3907</v>
      </c>
      <c r="D972" t="s">
        <v>3908</v>
      </c>
      <c r="E972" t="s">
        <v>11</v>
      </c>
      <c r="F972" t="s">
        <v>3909</v>
      </c>
      <c r="G972" t="s">
        <v>13</v>
      </c>
      <c r="H972" t="s">
        <v>71</v>
      </c>
    </row>
    <row r="973" spans="1:8" x14ac:dyDescent="0.25">
      <c r="A973">
        <v>972</v>
      </c>
      <c r="B973" t="s">
        <v>3910</v>
      </c>
      <c r="C973" t="s">
        <v>3911</v>
      </c>
      <c r="D973" t="s">
        <v>3912</v>
      </c>
      <c r="E973" t="s">
        <v>18</v>
      </c>
      <c r="F973" t="s">
        <v>3913</v>
      </c>
      <c r="G973" t="s">
        <v>13</v>
      </c>
      <c r="H973" t="s">
        <v>115</v>
      </c>
    </row>
    <row r="974" spans="1:8" x14ac:dyDescent="0.25">
      <c r="A974">
        <v>973</v>
      </c>
      <c r="B974" t="s">
        <v>3914</v>
      </c>
      <c r="C974" t="s">
        <v>3915</v>
      </c>
      <c r="D974" t="s">
        <v>3916</v>
      </c>
      <c r="E974" t="s">
        <v>18</v>
      </c>
      <c r="F974" t="s">
        <v>3917</v>
      </c>
      <c r="G974" t="s">
        <v>13</v>
      </c>
      <c r="H974" t="s">
        <v>61</v>
      </c>
    </row>
    <row r="975" spans="1:8" x14ac:dyDescent="0.25">
      <c r="A975">
        <v>974</v>
      </c>
      <c r="B975" t="s">
        <v>3918</v>
      </c>
      <c r="C975" t="s">
        <v>3919</v>
      </c>
      <c r="D975" t="s">
        <v>3920</v>
      </c>
      <c r="E975" t="s">
        <v>18</v>
      </c>
      <c r="F975" t="s">
        <v>3921</v>
      </c>
      <c r="G975" t="s">
        <v>13</v>
      </c>
      <c r="H975" t="s">
        <v>25</v>
      </c>
    </row>
    <row r="976" spans="1:8" x14ac:dyDescent="0.25">
      <c r="A976">
        <v>975</v>
      </c>
      <c r="B976" t="s">
        <v>4030</v>
      </c>
      <c r="C976" t="s">
        <v>3923</v>
      </c>
      <c r="D976" t="s">
        <v>3924</v>
      </c>
      <c r="E976" t="s">
        <v>11</v>
      </c>
      <c r="F976" t="s">
        <v>3925</v>
      </c>
      <c r="G976" t="s">
        <v>13</v>
      </c>
      <c r="H976" t="s">
        <v>66</v>
      </c>
    </row>
    <row r="977" spans="1:8" x14ac:dyDescent="0.25">
      <c r="A977">
        <v>976</v>
      </c>
      <c r="B977" t="s">
        <v>77</v>
      </c>
      <c r="C977" t="s">
        <v>3926</v>
      </c>
      <c r="D977" t="s">
        <v>3927</v>
      </c>
      <c r="E977" t="s">
        <v>11</v>
      </c>
      <c r="F977" t="s">
        <v>3928</v>
      </c>
      <c r="G977" t="s">
        <v>13</v>
      </c>
      <c r="H977" t="s">
        <v>331</v>
      </c>
    </row>
    <row r="978" spans="1:8" x14ac:dyDescent="0.25">
      <c r="A978">
        <v>977</v>
      </c>
      <c r="B978" t="s">
        <v>2882</v>
      </c>
      <c r="C978" t="s">
        <v>3929</v>
      </c>
      <c r="D978" t="s">
        <v>3930</v>
      </c>
      <c r="E978" t="s">
        <v>18</v>
      </c>
      <c r="F978" t="s">
        <v>3931</v>
      </c>
      <c r="G978" t="s">
        <v>13</v>
      </c>
      <c r="H978" t="s">
        <v>25</v>
      </c>
    </row>
    <row r="979" spans="1:8" x14ac:dyDescent="0.25">
      <c r="A979">
        <v>978</v>
      </c>
      <c r="B979" t="s">
        <v>3932</v>
      </c>
      <c r="C979" t="s">
        <v>3933</v>
      </c>
      <c r="D979" t="s">
        <v>3934</v>
      </c>
      <c r="E979" t="s">
        <v>769</v>
      </c>
      <c r="F979" t="s">
        <v>3935</v>
      </c>
      <c r="G979" t="s">
        <v>13</v>
      </c>
      <c r="H979" t="s">
        <v>287</v>
      </c>
    </row>
    <row r="980" spans="1:8" x14ac:dyDescent="0.25">
      <c r="A980">
        <v>979</v>
      </c>
      <c r="B980" t="s">
        <v>3936</v>
      </c>
      <c r="C980" t="s">
        <v>3937</v>
      </c>
      <c r="D980" t="s">
        <v>3938</v>
      </c>
      <c r="E980" t="s">
        <v>18</v>
      </c>
      <c r="F980" t="s">
        <v>3939</v>
      </c>
      <c r="G980" t="s">
        <v>13</v>
      </c>
      <c r="H980" t="s">
        <v>61</v>
      </c>
    </row>
    <row r="981" spans="1:8" x14ac:dyDescent="0.25">
      <c r="A981">
        <v>980</v>
      </c>
      <c r="B981" t="s">
        <v>3940</v>
      </c>
      <c r="C981" t="s">
        <v>3941</v>
      </c>
      <c r="D981" t="s">
        <v>3942</v>
      </c>
      <c r="E981" t="s">
        <v>29</v>
      </c>
      <c r="F981" t="s">
        <v>3943</v>
      </c>
      <c r="G981" t="s">
        <v>13</v>
      </c>
      <c r="H981" t="s">
        <v>163</v>
      </c>
    </row>
    <row r="982" spans="1:8" x14ac:dyDescent="0.25">
      <c r="A982">
        <v>981</v>
      </c>
      <c r="B982" t="s">
        <v>3944</v>
      </c>
      <c r="C982" t="s">
        <v>3945</v>
      </c>
      <c r="D982" t="s">
        <v>3946</v>
      </c>
      <c r="E982" t="s">
        <v>18</v>
      </c>
      <c r="F982" t="s">
        <v>3947</v>
      </c>
      <c r="G982" t="s">
        <v>13</v>
      </c>
      <c r="H982" t="s">
        <v>81</v>
      </c>
    </row>
    <row r="983" spans="1:8" x14ac:dyDescent="0.25">
      <c r="A983">
        <v>982</v>
      </c>
      <c r="B983" t="s">
        <v>3948</v>
      </c>
      <c r="C983" t="s">
        <v>3949</v>
      </c>
      <c r="D983" t="s">
        <v>3950</v>
      </c>
      <c r="E983" t="s">
        <v>11</v>
      </c>
      <c r="F983" t="s">
        <v>3951</v>
      </c>
      <c r="G983" t="s">
        <v>13</v>
      </c>
      <c r="H983" t="s">
        <v>125</v>
      </c>
    </row>
    <row r="984" spans="1:8" x14ac:dyDescent="0.25">
      <c r="A984">
        <v>983</v>
      </c>
      <c r="B984" t="s">
        <v>3952</v>
      </c>
      <c r="C984" t="s">
        <v>3953</v>
      </c>
      <c r="D984" t="s">
        <v>3954</v>
      </c>
      <c r="E984" t="s">
        <v>11</v>
      </c>
      <c r="F984" t="s">
        <v>3955</v>
      </c>
      <c r="G984" t="s">
        <v>13</v>
      </c>
      <c r="H984" t="s">
        <v>1771</v>
      </c>
    </row>
    <row r="985" spans="1:8" x14ac:dyDescent="0.25">
      <c r="A985">
        <v>984</v>
      </c>
      <c r="B985" t="s">
        <v>3956</v>
      </c>
      <c r="C985" t="s">
        <v>3957</v>
      </c>
      <c r="D985" t="s">
        <v>3958</v>
      </c>
      <c r="E985" t="s">
        <v>18</v>
      </c>
      <c r="F985" t="s">
        <v>3959</v>
      </c>
      <c r="G985" t="s">
        <v>13</v>
      </c>
      <c r="H985" t="s">
        <v>178</v>
      </c>
    </row>
    <row r="986" spans="1:8" x14ac:dyDescent="0.25">
      <c r="A986">
        <v>985</v>
      </c>
      <c r="B986" t="s">
        <v>3960</v>
      </c>
      <c r="C986" t="s">
        <v>3961</v>
      </c>
      <c r="D986" t="s">
        <v>3962</v>
      </c>
      <c r="E986" t="s">
        <v>18</v>
      </c>
      <c r="F986" t="s">
        <v>3963</v>
      </c>
      <c r="G986" t="s">
        <v>13</v>
      </c>
      <c r="H986" t="s">
        <v>678</v>
      </c>
    </row>
    <row r="987" spans="1:8" x14ac:dyDescent="0.25">
      <c r="B987" t="s">
        <v>3964</v>
      </c>
      <c r="C987" t="s">
        <v>3965</v>
      </c>
      <c r="D987" t="s">
        <v>3966</v>
      </c>
      <c r="E987" t="s">
        <v>11</v>
      </c>
      <c r="F987" t="s">
        <v>3967</v>
      </c>
      <c r="G987" t="s">
        <v>13</v>
      </c>
      <c r="H987" t="s">
        <v>183</v>
      </c>
    </row>
    <row r="988" spans="1:8" x14ac:dyDescent="0.25">
      <c r="A988">
        <v>987</v>
      </c>
      <c r="B988" t="s">
        <v>3968</v>
      </c>
      <c r="C988" t="s">
        <v>3969</v>
      </c>
      <c r="D988" t="s">
        <v>3970</v>
      </c>
      <c r="E988" t="s">
        <v>18</v>
      </c>
      <c r="F988" t="s">
        <v>3971</v>
      </c>
      <c r="G988" t="s">
        <v>13</v>
      </c>
      <c r="H988" t="s">
        <v>61</v>
      </c>
    </row>
    <row r="989" spans="1:8" x14ac:dyDescent="0.25">
      <c r="A989">
        <v>988</v>
      </c>
      <c r="B989" t="s">
        <v>3972</v>
      </c>
      <c r="C989" t="s">
        <v>3973</v>
      </c>
      <c r="D989" t="s">
        <v>3974</v>
      </c>
      <c r="E989" t="s">
        <v>11</v>
      </c>
      <c r="F989" t="s">
        <v>3975</v>
      </c>
      <c r="G989" t="s">
        <v>13</v>
      </c>
      <c r="H989" t="s">
        <v>205</v>
      </c>
    </row>
    <row r="990" spans="1:8" x14ac:dyDescent="0.25">
      <c r="A990">
        <v>989</v>
      </c>
      <c r="B990" t="s">
        <v>3976</v>
      </c>
      <c r="C990" t="s">
        <v>3977</v>
      </c>
      <c r="D990" t="s">
        <v>3978</v>
      </c>
      <c r="E990" t="s">
        <v>18</v>
      </c>
      <c r="F990" t="s">
        <v>3979</v>
      </c>
      <c r="G990" t="s">
        <v>13</v>
      </c>
      <c r="H990" t="s">
        <v>149</v>
      </c>
    </row>
    <row r="991" spans="1:8" x14ac:dyDescent="0.25">
      <c r="A991">
        <v>990</v>
      </c>
      <c r="B991" t="s">
        <v>3980</v>
      </c>
      <c r="C991" t="s">
        <v>3981</v>
      </c>
      <c r="D991" t="s">
        <v>3982</v>
      </c>
      <c r="E991" t="s">
        <v>11</v>
      </c>
      <c r="F991" t="s">
        <v>3983</v>
      </c>
      <c r="G991" t="s">
        <v>13</v>
      </c>
      <c r="H991" t="s">
        <v>345</v>
      </c>
    </row>
    <row r="992" spans="1:8" x14ac:dyDescent="0.25">
      <c r="A992">
        <v>991</v>
      </c>
      <c r="B992" t="s">
        <v>3984</v>
      </c>
      <c r="C992" t="s">
        <v>3985</v>
      </c>
      <c r="D992" t="s">
        <v>3986</v>
      </c>
      <c r="E992" t="s">
        <v>11</v>
      </c>
      <c r="F992" t="s">
        <v>3987</v>
      </c>
      <c r="G992" t="s">
        <v>4032</v>
      </c>
      <c r="H992" t="s">
        <v>779</v>
      </c>
    </row>
    <row r="993" spans="1:8" x14ac:dyDescent="0.25">
      <c r="A993">
        <v>992</v>
      </c>
      <c r="B993" t="s">
        <v>3988</v>
      </c>
      <c r="C993" t="s">
        <v>3989</v>
      </c>
      <c r="D993" t="s">
        <v>3990</v>
      </c>
      <c r="E993" t="s">
        <v>18</v>
      </c>
      <c r="F993" t="s">
        <v>3991</v>
      </c>
      <c r="G993" t="s">
        <v>13</v>
      </c>
      <c r="H993" t="s">
        <v>619</v>
      </c>
    </row>
    <row r="994" spans="1:8" x14ac:dyDescent="0.25">
      <c r="A994">
        <v>993</v>
      </c>
      <c r="B994" t="s">
        <v>3992</v>
      </c>
      <c r="C994" t="s">
        <v>3993</v>
      </c>
      <c r="D994" t="s">
        <v>3994</v>
      </c>
      <c r="E994" t="s">
        <v>18</v>
      </c>
      <c r="F994" t="s">
        <v>3995</v>
      </c>
      <c r="G994" t="s">
        <v>13</v>
      </c>
      <c r="H994" t="s">
        <v>317</v>
      </c>
    </row>
    <row r="995" spans="1:8" x14ac:dyDescent="0.25">
      <c r="A995">
        <v>994</v>
      </c>
      <c r="B995" t="s">
        <v>3996</v>
      </c>
      <c r="C995" t="s">
        <v>3997</v>
      </c>
      <c r="D995" t="s">
        <v>3998</v>
      </c>
      <c r="E995" t="s">
        <v>18</v>
      </c>
      <c r="F995" t="s">
        <v>3999</v>
      </c>
      <c r="G995" t="s">
        <v>13</v>
      </c>
      <c r="H995" t="s">
        <v>168</v>
      </c>
    </row>
    <row r="996" spans="1:8" x14ac:dyDescent="0.25">
      <c r="B996" t="s">
        <v>4000</v>
      </c>
      <c r="C996" t="s">
        <v>4001</v>
      </c>
      <c r="D996" t="s">
        <v>4002</v>
      </c>
      <c r="E996" t="s">
        <v>18</v>
      </c>
      <c r="F996" t="s">
        <v>4003</v>
      </c>
      <c r="G996" t="s">
        <v>13</v>
      </c>
      <c r="H996" t="s">
        <v>210</v>
      </c>
    </row>
    <row r="997" spans="1:8" x14ac:dyDescent="0.25">
      <c r="A997">
        <v>996</v>
      </c>
      <c r="B997" t="s">
        <v>4004</v>
      </c>
      <c r="C997" t="s">
        <v>4005</v>
      </c>
      <c r="D997" t="s">
        <v>4006</v>
      </c>
      <c r="E997" t="s">
        <v>18</v>
      </c>
      <c r="F997" t="s">
        <v>4007</v>
      </c>
      <c r="G997" t="s">
        <v>4031</v>
      </c>
      <c r="H997" t="s">
        <v>814</v>
      </c>
    </row>
    <row r="998" spans="1:8" x14ac:dyDescent="0.25">
      <c r="A998">
        <v>997</v>
      </c>
      <c r="B998" t="s">
        <v>4008</v>
      </c>
      <c r="C998" t="s">
        <v>4009</v>
      </c>
      <c r="D998" t="s">
        <v>4010</v>
      </c>
      <c r="E998" t="s">
        <v>11</v>
      </c>
      <c r="F998" t="s">
        <v>4011</v>
      </c>
      <c r="G998" t="s">
        <v>13</v>
      </c>
      <c r="H998" t="s">
        <v>120</v>
      </c>
    </row>
    <row r="999" spans="1:8" x14ac:dyDescent="0.25">
      <c r="A999">
        <v>998</v>
      </c>
      <c r="B999" t="s">
        <v>4012</v>
      </c>
      <c r="C999" t="s">
        <v>4013</v>
      </c>
      <c r="D999" t="s">
        <v>4014</v>
      </c>
      <c r="E999" t="s">
        <v>11</v>
      </c>
      <c r="F999" t="s">
        <v>4015</v>
      </c>
      <c r="G999" t="s">
        <v>13</v>
      </c>
      <c r="H999" t="s">
        <v>163</v>
      </c>
    </row>
    <row r="1000" spans="1:8" x14ac:dyDescent="0.25">
      <c r="A1000">
        <v>999</v>
      </c>
      <c r="B1000" t="s">
        <v>4016</v>
      </c>
      <c r="C1000" t="s">
        <v>4017</v>
      </c>
      <c r="D1000" t="s">
        <v>4018</v>
      </c>
      <c r="E1000" t="s">
        <v>18</v>
      </c>
      <c r="F1000" t="s">
        <v>4019</v>
      </c>
      <c r="G1000" t="s">
        <v>13</v>
      </c>
      <c r="H1000" t="s">
        <v>1726</v>
      </c>
    </row>
    <row r="1001" spans="1:8" x14ac:dyDescent="0.25">
      <c r="A1001">
        <v>1000</v>
      </c>
      <c r="B1001" t="s">
        <v>4020</v>
      </c>
      <c r="C1001" t="s">
        <v>4021</v>
      </c>
      <c r="D1001" t="s">
        <v>4022</v>
      </c>
      <c r="E1001" t="s">
        <v>11</v>
      </c>
      <c r="F1001" t="s">
        <v>4023</v>
      </c>
      <c r="G1001" t="s">
        <v>13</v>
      </c>
      <c r="H1001" t="s">
        <v>1017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FE1A-5A77-4520-9433-8AEF8FC1B825}">
  <dimension ref="A1:P844"/>
  <sheetViews>
    <sheetView tabSelected="1" zoomScale="85" zoomScaleNormal="85" workbookViewId="0">
      <selection activeCell="I2" sqref="I2"/>
    </sheetView>
  </sheetViews>
  <sheetFormatPr defaultRowHeight="15" x14ac:dyDescent="0.25"/>
  <cols>
    <col min="1" max="2" width="14.7109375" customWidth="1"/>
    <col min="3" max="3" width="13.42578125" bestFit="1" customWidth="1"/>
    <col min="4" max="4" width="15.28515625" bestFit="1" customWidth="1"/>
    <col min="5" max="5" width="36" bestFit="1" customWidth="1"/>
    <col min="6" max="6" width="36" hidden="1" customWidth="1"/>
    <col min="7" max="7" width="12.28515625" hidden="1" customWidth="1"/>
    <col min="8" max="8" width="12.28515625" customWidth="1"/>
    <col min="9" max="9" width="15.140625" bestFit="1" customWidth="1"/>
    <col min="10" max="10" width="16.85546875" hidden="1" customWidth="1"/>
    <col min="11" max="11" width="11.42578125" hidden="1" customWidth="1"/>
    <col min="12" max="12" width="11.42578125" customWidth="1"/>
    <col min="13" max="13" width="20.42578125" hidden="1" customWidth="1"/>
    <col min="14" max="14" width="36.85546875" bestFit="1" customWidth="1"/>
    <col min="15" max="15" width="20.42578125" hidden="1" customWidth="1"/>
    <col min="16" max="16" width="36.85546875" hidden="1" customWidth="1"/>
  </cols>
  <sheetData>
    <row r="1" spans="1:16" x14ac:dyDescent="0.25">
      <c r="A1" t="s">
        <v>0</v>
      </c>
      <c r="B1" t="s">
        <v>1</v>
      </c>
      <c r="D1" t="s">
        <v>2</v>
      </c>
      <c r="E1" t="s">
        <v>3</v>
      </c>
      <c r="F1" t="s">
        <v>5</v>
      </c>
      <c r="G1" t="s">
        <v>6</v>
      </c>
      <c r="H1" t="s">
        <v>4</v>
      </c>
      <c r="I1" t="s">
        <v>4888</v>
      </c>
      <c r="L1" t="s">
        <v>6</v>
      </c>
      <c r="N1" t="s">
        <v>7</v>
      </c>
    </row>
    <row r="2" spans="1:16" x14ac:dyDescent="0.25">
      <c r="A2">
        <v>1</v>
      </c>
      <c r="B2" t="str">
        <f>PROPER(TRIM($C2))</f>
        <v>Ellyn</v>
      </c>
      <c r="C2" t="s">
        <v>8</v>
      </c>
      <c r="D2" t="s">
        <v>9</v>
      </c>
      <c r="E2" t="str">
        <f>LOWER(TRIM($F2))</f>
        <v>egobel0@simplemachines.org</v>
      </c>
      <c r="F2" t="s">
        <v>10</v>
      </c>
      <c r="G2" t="s">
        <v>11</v>
      </c>
      <c r="H2" t="str">
        <f>IF(OR($G2="M",LOWER($G2)="male"),"Male",
IF(OR($G2="F",LOWER($G2)="female"),"Female","Other"))</f>
        <v>Female</v>
      </c>
      <c r="I2" t="str">
        <f>"+880"&amp;RIGHT(SUBSTITUTE(SUBSTITUTE($J2," ",""),"-",""),10)</f>
        <v>+8804284218624</v>
      </c>
      <c r="J2" t="s">
        <v>12</v>
      </c>
      <c r="K2" t="s">
        <v>13</v>
      </c>
      <c r="L2" t="str">
        <f>_xlfn.XLOOKUP(K2,K:K,K:K,$K$2)</f>
        <v>Bangladesh</v>
      </c>
      <c r="M2" t="s">
        <v>14</v>
      </c>
      <c r="N2" t="e" vm="1">
        <f>_xlfn.XLOOKUP($M2,$O:$O,$P:$P," ")</f>
        <v>#VALUE!</v>
      </c>
      <c r="O2" t="str" cm="1">
        <f t="array" ref="O2:O91">_xlfn.UNIQUE(M2:M844)</f>
        <v>Coxâ€™s BÄzÄr</v>
      </c>
      <c r="P2" t="e" vm="1">
        <v>#VALUE!</v>
      </c>
    </row>
    <row r="3" spans="1:16" x14ac:dyDescent="0.25">
      <c r="A3">
        <v>2</v>
      </c>
      <c r="B3" t="str">
        <f t="shared" ref="B3:B63" si="0">PROPER(TRIM($C3))</f>
        <v>Jermayne</v>
      </c>
      <c r="C3" t="s">
        <v>15</v>
      </c>
      <c r="D3" t="s">
        <v>16</v>
      </c>
      <c r="E3" t="str">
        <f t="shared" ref="E3:E63" si="1">LOWER(TRIM($F3))</f>
        <v>jjaine1@chron.com</v>
      </c>
      <c r="F3" t="s">
        <v>17</v>
      </c>
      <c r="G3" t="s">
        <v>18</v>
      </c>
      <c r="H3" t="str">
        <f t="shared" ref="H3:H63" si="2">IF(OR($G3="M",LOWER($G3)="male"),"Male",
IF(OR($G3="F",LOWER($G3)="female"),"Female","Other"))</f>
        <v>Male</v>
      </c>
      <c r="I3" t="str">
        <f>"+880"&amp;RIGHT(SUBSTITUTE(SUBSTITUTE($J3," ",""),"-",""),10)</f>
        <v>+8804771820502</v>
      </c>
      <c r="J3" t="s">
        <v>19</v>
      </c>
      <c r="K3" t="s">
        <v>13</v>
      </c>
      <c r="L3" t="str">
        <f>_xlfn.XLOOKUP($K$3,K:K,K:K,$K$2)</f>
        <v>Bangladesh</v>
      </c>
      <c r="M3" t="s">
        <v>20</v>
      </c>
      <c r="N3" t="e" vm="2">
        <f>_xlfn.XLOOKUP($M3,$O:$O,$P:$P,"")</f>
        <v>#VALUE!</v>
      </c>
      <c r="O3" t="str">
        <v>Khagrachhari</v>
      </c>
      <c r="P3" t="e" vm="2">
        <v>#VALUE!</v>
      </c>
    </row>
    <row r="4" spans="1:16" x14ac:dyDescent="0.25">
      <c r="A4">
        <v>3</v>
      </c>
      <c r="B4" t="str">
        <f t="shared" si="0"/>
        <v>Bing</v>
      </c>
      <c r="C4" t="s">
        <v>21</v>
      </c>
      <c r="D4" t="s">
        <v>22</v>
      </c>
      <c r="E4" t="str">
        <f t="shared" si="1"/>
        <v>bwoliter2@apache.org</v>
      </c>
      <c r="F4" t="s">
        <v>23</v>
      </c>
      <c r="G4" t="s">
        <v>18</v>
      </c>
      <c r="H4" t="str">
        <f t="shared" si="2"/>
        <v>Male</v>
      </c>
      <c r="I4" t="str">
        <f>"+880"&amp;RIGHT(SUBSTITUTE(SUBSTITUTE($J4," ",""),"-",""),10)</f>
        <v>+8808927031046</v>
      </c>
      <c r="J4" t="s">
        <v>24</v>
      </c>
      <c r="K4" t="s">
        <v>13</v>
      </c>
      <c r="L4" t="str">
        <f>_xlfn.XLOOKUP($K$3,K:K,K:K,$K$2)</f>
        <v>Bangladesh</v>
      </c>
      <c r="M4" t="s">
        <v>25</v>
      </c>
      <c r="N4" t="e" vm="3">
        <f>_xlfn.XLOOKUP($M4,$O:$O,$P:$P,"")</f>
        <v>#VALUE!</v>
      </c>
      <c r="O4" t="str">
        <v>NÄrÄyanganj</v>
      </c>
      <c r="P4" t="e" vm="3">
        <v>#VALUE!</v>
      </c>
    </row>
    <row r="5" spans="1:16" x14ac:dyDescent="0.25">
      <c r="A5">
        <v>4</v>
      </c>
      <c r="B5" t="str">
        <f t="shared" si="0"/>
        <v>Cirillo</v>
      </c>
      <c r="C5" t="s">
        <v>4024</v>
      </c>
      <c r="D5" t="s">
        <v>27</v>
      </c>
      <c r="E5" t="str">
        <f t="shared" si="1"/>
        <v>cdavidovic3@privacy.gov.au</v>
      </c>
      <c r="F5" t="s">
        <v>28</v>
      </c>
      <c r="G5" t="s">
        <v>29</v>
      </c>
      <c r="H5" t="str">
        <f t="shared" si="2"/>
        <v>Other</v>
      </c>
      <c r="I5" t="str">
        <f>"+880"&amp;RIGHT(SUBSTITUTE(SUBSTITUTE($J5," ",""),"-",""),10)</f>
        <v>+8803966603768</v>
      </c>
      <c r="J5" t="s">
        <v>30</v>
      </c>
      <c r="K5" t="s">
        <v>13</v>
      </c>
      <c r="L5" t="str">
        <f>_xlfn.XLOOKUP($K$3,K:K,K:K,$K$2)</f>
        <v>Bangladesh</v>
      </c>
      <c r="M5" t="s">
        <v>31</v>
      </c>
      <c r="N5" t="e" vm="4">
        <f>_xlfn.XLOOKUP($M5,$O:$O,$P:$P,"")</f>
        <v>#VALUE!</v>
      </c>
      <c r="O5" t="str">
        <v>TungipÄra</v>
      </c>
      <c r="P5" t="e" vm="4">
        <v>#VALUE!</v>
      </c>
    </row>
    <row r="6" spans="1:16" x14ac:dyDescent="0.25">
      <c r="A6">
        <v>5</v>
      </c>
      <c r="B6" t="str">
        <f t="shared" si="0"/>
        <v>Devinne</v>
      </c>
      <c r="C6" t="s">
        <v>32</v>
      </c>
      <c r="D6" t="s">
        <v>33</v>
      </c>
      <c r="E6" t="str">
        <f t="shared" si="1"/>
        <v>dcunnington4@flickr.com</v>
      </c>
      <c r="F6" t="s">
        <v>34</v>
      </c>
      <c r="G6" t="s">
        <v>11</v>
      </c>
      <c r="H6" t="str">
        <f t="shared" si="2"/>
        <v>Female</v>
      </c>
      <c r="I6" t="str">
        <f>"+880"&amp;RIGHT(SUBSTITUTE(SUBSTITUTE($J6," ",""),"-",""),10)</f>
        <v>+8808372998531</v>
      </c>
      <c r="J6" t="s">
        <v>35</v>
      </c>
      <c r="K6" t="s">
        <v>13</v>
      </c>
      <c r="L6" t="str">
        <f>_xlfn.XLOOKUP($K$3,K:K,K:K,$K$2)</f>
        <v>Bangladesh</v>
      </c>
      <c r="M6" t="s">
        <v>36</v>
      </c>
      <c r="N6" t="str">
        <f>_xlfn.XLOOKUP($M6,$O:$O,$P:$P,"")</f>
        <v>Lakshmapur</v>
      </c>
      <c r="O6" t="str">
        <v>LakshmÄ«pur</v>
      </c>
      <c r="P6" t="s">
        <v>4037</v>
      </c>
    </row>
    <row r="7" spans="1:16" x14ac:dyDescent="0.25">
      <c r="A7">
        <v>7</v>
      </c>
      <c r="B7" t="str">
        <f t="shared" si="0"/>
        <v>Gabriellia</v>
      </c>
      <c r="C7" t="s">
        <v>42</v>
      </c>
      <c r="D7" t="s">
        <v>43</v>
      </c>
      <c r="E7" t="str">
        <f t="shared" si="1"/>
        <v>gfeighry6@businesswire.com</v>
      </c>
      <c r="F7" t="s">
        <v>44</v>
      </c>
      <c r="G7" t="s">
        <v>11</v>
      </c>
      <c r="H7" t="str">
        <f t="shared" si="2"/>
        <v>Female</v>
      </c>
      <c r="I7" t="str">
        <f>"+880"&amp;RIGHT(SUBSTITUTE(SUBSTITUTE($J7," ",""),"-",""),10)</f>
        <v>+8806737447113</v>
      </c>
      <c r="J7" t="s">
        <v>45</v>
      </c>
      <c r="K7" t="s">
        <v>13</v>
      </c>
      <c r="L7" t="str">
        <f>_xlfn.XLOOKUP($K$3,K:K,K:K,$K$2)</f>
        <v>Bangladesh</v>
      </c>
      <c r="M7" t="s">
        <v>46</v>
      </c>
      <c r="N7" t="e" vm="5">
        <f>_xlfn.XLOOKUP($M7,$O:$O,$P:$P,"")</f>
        <v>#VALUE!</v>
      </c>
      <c r="O7" t="str">
        <v>RÄipur</v>
      </c>
      <c r="P7" t="e" vm="5">
        <v>#VALUE!</v>
      </c>
    </row>
    <row r="8" spans="1:16" x14ac:dyDescent="0.25">
      <c r="A8">
        <v>8</v>
      </c>
      <c r="B8" t="str">
        <f t="shared" si="0"/>
        <v>Diahann</v>
      </c>
      <c r="C8" t="s">
        <v>47</v>
      </c>
      <c r="D8" t="s">
        <v>48</v>
      </c>
      <c r="E8" t="str">
        <f t="shared" si="1"/>
        <v>ddimic7@fotki.com</v>
      </c>
      <c r="F8" t="s">
        <v>49</v>
      </c>
      <c r="G8" t="s">
        <v>11</v>
      </c>
      <c r="H8" t="str">
        <f t="shared" si="2"/>
        <v>Female</v>
      </c>
      <c r="I8" t="str">
        <f>"+880"&amp;RIGHT(SUBSTITUTE(SUBSTITUTE($J8," ",""),"-",""),10)</f>
        <v>+8809619405462</v>
      </c>
      <c r="J8" t="s">
        <v>50</v>
      </c>
      <c r="K8" t="s">
        <v>13</v>
      </c>
      <c r="L8" t="str">
        <f>_xlfn.XLOOKUP($K$3,K:K,K:K,$K$2)</f>
        <v>Bangladesh</v>
      </c>
      <c r="M8" t="s">
        <v>51</v>
      </c>
      <c r="N8" t="str">
        <f>_xlfn.XLOOKUP($M8,$O:$O,$P:$P,"")</f>
        <v>Mathba</v>
      </c>
      <c r="O8" t="str">
        <v>Mathba</v>
      </c>
      <c r="P8" t="s">
        <v>51</v>
      </c>
    </row>
    <row r="9" spans="1:16" x14ac:dyDescent="0.25">
      <c r="A9">
        <v>9</v>
      </c>
      <c r="B9" t="str">
        <f t="shared" si="0"/>
        <v>Nichole</v>
      </c>
      <c r="C9" t="s">
        <v>52</v>
      </c>
      <c r="D9" t="s">
        <v>53</v>
      </c>
      <c r="E9" t="str">
        <f t="shared" si="1"/>
        <v>ncridlan8@delicious.com</v>
      </c>
      <c r="F9" t="s">
        <v>54</v>
      </c>
      <c r="G9" t="s">
        <v>18</v>
      </c>
      <c r="H9" t="str">
        <f t="shared" si="2"/>
        <v>Male</v>
      </c>
      <c r="I9" t="str">
        <f>"+880"&amp;RIGHT(SUBSTITUTE(SUBSTITUTE($J9," ",""),"-",""),10)</f>
        <v>+8802629634530</v>
      </c>
      <c r="J9" t="s">
        <v>55</v>
      </c>
      <c r="K9" t="s">
        <v>13</v>
      </c>
      <c r="L9" t="str">
        <f>_xlfn.XLOOKUP($K$3,K:K,K:K,$K$2)</f>
        <v>Bangladesh</v>
      </c>
      <c r="M9" t="s">
        <v>56</v>
      </c>
      <c r="N9" t="e" vm="6">
        <f>_xlfn.XLOOKUP($M9,$O:$O,$P:$P,"")</f>
        <v>#VALUE!</v>
      </c>
      <c r="O9" t="str">
        <v>Comilla</v>
      </c>
      <c r="P9" t="e" vm="6">
        <v>#VALUE!</v>
      </c>
    </row>
    <row r="10" spans="1:16" x14ac:dyDescent="0.25">
      <c r="A10">
        <v>10</v>
      </c>
      <c r="B10" t="str">
        <f t="shared" si="0"/>
        <v>Francesca</v>
      </c>
      <c r="C10" t="s">
        <v>57</v>
      </c>
      <c r="D10" t="s">
        <v>58</v>
      </c>
      <c r="E10" t="str">
        <f t="shared" si="1"/>
        <v>fhasell9@pagesperso-orange.fr</v>
      </c>
      <c r="F10" t="s">
        <v>59</v>
      </c>
      <c r="G10" t="s">
        <v>11</v>
      </c>
      <c r="H10" t="str">
        <f t="shared" si="2"/>
        <v>Female</v>
      </c>
      <c r="I10" t="str">
        <f>"+880"&amp;RIGHT(SUBSTITUTE(SUBSTITUTE($J10," ",""),"-",""),10)</f>
        <v>+8806524950574</v>
      </c>
      <c r="J10" t="s">
        <v>60</v>
      </c>
      <c r="K10" t="s">
        <v>13</v>
      </c>
      <c r="L10" t="str">
        <f>_xlfn.XLOOKUP($K$3,K:K,K:K,$K$2)</f>
        <v>Bangladesh</v>
      </c>
      <c r="M10" t="s">
        <v>61</v>
      </c>
      <c r="N10" t="e" vm="7">
        <f>_xlfn.XLOOKUP($M10,$O:$O,$P:$P,"")</f>
        <v>#VALUE!</v>
      </c>
      <c r="O10" t="str">
        <v>LÄkshÄm</v>
      </c>
      <c r="P10" t="e" vm="7">
        <v>#VALUE!</v>
      </c>
    </row>
    <row r="11" spans="1:16" x14ac:dyDescent="0.25">
      <c r="A11">
        <v>11</v>
      </c>
      <c r="B11" t="str">
        <f t="shared" si="0"/>
        <v>Sherie</v>
      </c>
      <c r="C11" t="s">
        <v>62</v>
      </c>
      <c r="D11" t="s">
        <v>63</v>
      </c>
      <c r="E11" t="str">
        <f t="shared" si="1"/>
        <v>sacostaa@sphinn.com</v>
      </c>
      <c r="F11" t="s">
        <v>64</v>
      </c>
      <c r="G11" t="s">
        <v>11</v>
      </c>
      <c r="H11" t="str">
        <f t="shared" si="2"/>
        <v>Female</v>
      </c>
      <c r="I11" t="str">
        <f>"+880"&amp;RIGHT(SUBSTITUTE(SUBSTITUTE($J11," ",""),"-",""),10)</f>
        <v>+8806412030875</v>
      </c>
      <c r="J11" t="s">
        <v>65</v>
      </c>
      <c r="K11" t="s">
        <v>13</v>
      </c>
      <c r="L11" t="str">
        <f>_xlfn.XLOOKUP($K$3,K:K,K:K,$K$2)</f>
        <v>Bangladesh</v>
      </c>
      <c r="M11" t="s">
        <v>66</v>
      </c>
      <c r="N11" t="e" vm="8">
        <f>_xlfn.XLOOKUP($M11,$O:$O,$P:$P,"")</f>
        <v>#VALUE!</v>
      </c>
      <c r="O11" t="str">
        <v>Sakhipur</v>
      </c>
      <c r="P11" t="e" vm="8">
        <v>#VALUE!</v>
      </c>
    </row>
    <row r="12" spans="1:16" x14ac:dyDescent="0.25">
      <c r="A12">
        <v>12</v>
      </c>
      <c r="B12" t="str">
        <f t="shared" si="0"/>
        <v>Karel</v>
      </c>
      <c r="C12" t="s">
        <v>67</v>
      </c>
      <c r="D12" t="s">
        <v>68</v>
      </c>
      <c r="E12" t="str">
        <f t="shared" si="1"/>
        <v>ktutillb@tiny.cc</v>
      </c>
      <c r="F12" t="s">
        <v>69</v>
      </c>
      <c r="G12" t="s">
        <v>18</v>
      </c>
      <c r="H12" t="str">
        <f t="shared" si="2"/>
        <v>Male</v>
      </c>
      <c r="I12" t="str">
        <f>"+880"&amp;RIGHT(SUBSTITUTE(SUBSTITUTE($J12," ",""),"-",""),10)</f>
        <v>+8804956711440</v>
      </c>
      <c r="J12" t="s">
        <v>70</v>
      </c>
      <c r="K12" t="s">
        <v>13</v>
      </c>
      <c r="L12" t="str">
        <f>_xlfn.XLOOKUP($K$3,K:K,K:K,$K$2)</f>
        <v>Bangladesh</v>
      </c>
      <c r="M12" t="s">
        <v>71</v>
      </c>
      <c r="N12" t="e" vm="9">
        <f>_xlfn.XLOOKUP($M12,$O:$O,$P:$P,"")</f>
        <v>#VALUE!</v>
      </c>
      <c r="O12" t="str">
        <v>DinÄjpur</v>
      </c>
      <c r="P12" t="e" vm="9">
        <v>#VALUE!</v>
      </c>
    </row>
    <row r="13" spans="1:16" x14ac:dyDescent="0.25">
      <c r="A13">
        <v>13</v>
      </c>
      <c r="B13" t="str">
        <f t="shared" si="0"/>
        <v>Lorenzo</v>
      </c>
      <c r="C13" t="s">
        <v>72</v>
      </c>
      <c r="D13" t="s">
        <v>73</v>
      </c>
      <c r="E13" t="str">
        <f t="shared" si="1"/>
        <v>lsertinc@pcworld.com</v>
      </c>
      <c r="F13" t="s">
        <v>74</v>
      </c>
      <c r="G13" t="s">
        <v>18</v>
      </c>
      <c r="H13" t="str">
        <f t="shared" si="2"/>
        <v>Male</v>
      </c>
      <c r="I13" t="str">
        <f>"+880"&amp;RIGHT(SUBSTITUTE(SUBSTITUTE($J13," ",""),"-",""),10)</f>
        <v>+8804471777616</v>
      </c>
      <c r="J13" t="s">
        <v>75</v>
      </c>
      <c r="K13" t="s">
        <v>13</v>
      </c>
      <c r="L13" t="str">
        <f>_xlfn.XLOOKUP($K$3,K:K,K:K,$K$2)</f>
        <v>Bangladesh</v>
      </c>
      <c r="M13" t="s">
        <v>76</v>
      </c>
      <c r="N13" t="e" vm="10">
        <f>_xlfn.XLOOKUP($M13,$O:$O,$P:$P,"")</f>
        <v>#VALUE!</v>
      </c>
      <c r="O13" t="str">
        <v>NÄlchiti</v>
      </c>
      <c r="P13" t="e" vm="10">
        <v>#VALUE!</v>
      </c>
    </row>
    <row r="14" spans="1:16" x14ac:dyDescent="0.25">
      <c r="A14">
        <v>14</v>
      </c>
      <c r="B14" t="str">
        <f t="shared" si="0"/>
        <v>Celia</v>
      </c>
      <c r="C14" t="s">
        <v>77</v>
      </c>
      <c r="D14" t="s">
        <v>78</v>
      </c>
      <c r="E14" t="str">
        <f t="shared" si="1"/>
        <v>caseyd@illinois.edu</v>
      </c>
      <c r="F14" t="s">
        <v>79</v>
      </c>
      <c r="G14" t="s">
        <v>11</v>
      </c>
      <c r="H14" t="str">
        <f t="shared" si="2"/>
        <v>Female</v>
      </c>
      <c r="I14" t="str">
        <f>"+880"&amp;RIGHT(SUBSTITUTE(SUBSTITUTE($J14," ",""),"-",""),10)</f>
        <v>+8802339904153</v>
      </c>
      <c r="J14" t="s">
        <v>80</v>
      </c>
      <c r="K14" t="s">
        <v>13</v>
      </c>
      <c r="L14" t="str">
        <f>_xlfn.XLOOKUP($K$3,K:K,K:K,$K$2)</f>
        <v>Bangladesh</v>
      </c>
      <c r="M14" t="s">
        <v>81</v>
      </c>
      <c r="N14" t="e" vm="11">
        <f>_xlfn.XLOOKUP($M14,$O:$O,$P:$P,"")</f>
        <v>#VALUE!</v>
      </c>
      <c r="O14" t="str">
        <v>Sarankhola</v>
      </c>
      <c r="P14" t="e" vm="11">
        <v>#VALUE!</v>
      </c>
    </row>
    <row r="15" spans="1:16" x14ac:dyDescent="0.25">
      <c r="A15">
        <v>15</v>
      </c>
      <c r="B15" t="str">
        <f t="shared" si="0"/>
        <v>Jakob</v>
      </c>
      <c r="C15" t="s">
        <v>82</v>
      </c>
      <c r="D15" t="s">
        <v>83</v>
      </c>
      <c r="E15" t="str">
        <f t="shared" si="1"/>
        <v>jairde@ycombinator.com</v>
      </c>
      <c r="F15" t="s">
        <v>84</v>
      </c>
      <c r="G15" t="s">
        <v>18</v>
      </c>
      <c r="H15" t="str">
        <f t="shared" si="2"/>
        <v>Male</v>
      </c>
      <c r="I15" t="str">
        <f>"+880"&amp;RIGHT(SUBSTITUTE(SUBSTITUTE($J15," ",""),"-",""),10)</f>
        <v>+8806194500043</v>
      </c>
      <c r="J15" t="s">
        <v>85</v>
      </c>
      <c r="K15" t="s">
        <v>13</v>
      </c>
      <c r="L15" t="str">
        <f>_xlfn.XLOOKUP($K$3,K:K,K:K,$K$2)</f>
        <v>Bangladesh</v>
      </c>
      <c r="M15" t="s">
        <v>86</v>
      </c>
      <c r="N15" t="e" vm="12">
        <f>_xlfn.XLOOKUP($M15,$O:$O,$P:$P,"")</f>
        <v>#VALUE!</v>
      </c>
      <c r="O15" t="str">
        <v>Jessore</v>
      </c>
      <c r="P15" t="e" vm="12">
        <v>#VALUE!</v>
      </c>
    </row>
    <row r="16" spans="1:16" x14ac:dyDescent="0.25">
      <c r="A16">
        <v>16</v>
      </c>
      <c r="B16" t="str">
        <f t="shared" si="0"/>
        <v>Andrey</v>
      </c>
      <c r="C16" t="s">
        <v>87</v>
      </c>
      <c r="D16" t="s">
        <v>88</v>
      </c>
      <c r="E16" t="str">
        <f t="shared" si="1"/>
        <v>aluchellif@alexa.com</v>
      </c>
      <c r="F16" t="s">
        <v>89</v>
      </c>
      <c r="G16" t="s">
        <v>18</v>
      </c>
      <c r="H16" t="str">
        <f t="shared" si="2"/>
        <v>Male</v>
      </c>
      <c r="I16" t="str">
        <f>"+880"&amp;RIGHT(SUBSTITUTE(SUBSTITUTE($J16," ",""),"-",""),10)</f>
        <v>+8801826494641</v>
      </c>
      <c r="J16" t="s">
        <v>90</v>
      </c>
      <c r="K16" t="s">
        <v>13</v>
      </c>
      <c r="L16" t="str">
        <f>_xlfn.XLOOKUP($K$3,K:K,K:K,$K$2)</f>
        <v>Bangladesh</v>
      </c>
      <c r="M16" t="s">
        <v>91</v>
      </c>
      <c r="N16" t="e" vm="13">
        <f>_xlfn.XLOOKUP($M16,$O:$O,$P:$P,"")</f>
        <v>#VALUE!</v>
      </c>
      <c r="O16" t="str">
        <v>Tungi</v>
      </c>
      <c r="P16" t="e" vm="13">
        <v>#VALUE!</v>
      </c>
    </row>
    <row r="17" spans="1:16" x14ac:dyDescent="0.25">
      <c r="A17">
        <v>17</v>
      </c>
      <c r="B17" t="str">
        <f t="shared" si="0"/>
        <v>Molly</v>
      </c>
      <c r="C17" t="s">
        <v>92</v>
      </c>
      <c r="D17" t="s">
        <v>93</v>
      </c>
      <c r="E17" t="str">
        <f t="shared" si="1"/>
        <v>msteinhamg@mac.com</v>
      </c>
      <c r="F17" t="s">
        <v>94</v>
      </c>
      <c r="G17" t="s">
        <v>11</v>
      </c>
      <c r="H17" t="str">
        <f t="shared" si="2"/>
        <v>Female</v>
      </c>
      <c r="I17" t="str">
        <f>"+880"&amp;RIGHT(SUBSTITUTE(SUBSTITUTE($J17," ",""),"-",""),10)</f>
        <v>+8805149764876</v>
      </c>
      <c r="J17" t="s">
        <v>95</v>
      </c>
      <c r="K17" t="s">
        <v>13</v>
      </c>
      <c r="L17" t="str">
        <f>_xlfn.XLOOKUP($K$3,K:K,K:K,$K$2)</f>
        <v>Bangladesh</v>
      </c>
      <c r="M17" t="s">
        <v>96</v>
      </c>
      <c r="N17" t="e" vm="14">
        <f>_xlfn.XLOOKUP($M17,$O:$O,$P:$P,"")</f>
        <v>#VALUE!</v>
      </c>
      <c r="O17" t="str">
        <v>Shibganj</v>
      </c>
      <c r="P17" t="e" vm="14">
        <v>#VALUE!</v>
      </c>
    </row>
    <row r="18" spans="1:16" x14ac:dyDescent="0.25">
      <c r="A18">
        <v>18</v>
      </c>
      <c r="B18" t="str">
        <f t="shared" si="0"/>
        <v>Mercedes</v>
      </c>
      <c r="C18" t="s">
        <v>97</v>
      </c>
      <c r="D18" t="s">
        <v>98</v>
      </c>
      <c r="E18" t="str">
        <f t="shared" si="1"/>
        <v>mserjenth@omniture.com</v>
      </c>
      <c r="F18" t="s">
        <v>99</v>
      </c>
      <c r="G18" t="s">
        <v>11</v>
      </c>
      <c r="H18" t="str">
        <f t="shared" si="2"/>
        <v>Female</v>
      </c>
      <c r="I18" t="str">
        <f>"+880"&amp;RIGHT(SUBSTITUTE(SUBSTITUTE($J18," ",""),"-",""),10)</f>
        <v>+8806783237455</v>
      </c>
      <c r="J18" t="s">
        <v>100</v>
      </c>
      <c r="K18" t="s">
        <v>13</v>
      </c>
      <c r="L18" t="str">
        <f>_xlfn.XLOOKUP($K$3,K:K,K:K,$K$2)</f>
        <v>Bangladesh</v>
      </c>
      <c r="M18" t="s">
        <v>101</v>
      </c>
      <c r="N18" t="e" vm="15">
        <f>_xlfn.XLOOKUP($M18,$O:$O,$P:$P,"")</f>
        <v>#VALUE!</v>
      </c>
      <c r="O18" t="str">
        <v>Bera</v>
      </c>
      <c r="P18" t="e" vm="15">
        <v>#VALUE!</v>
      </c>
    </row>
    <row r="19" spans="1:16" x14ac:dyDescent="0.25">
      <c r="A19">
        <v>19</v>
      </c>
      <c r="B19" t="str">
        <f t="shared" si="0"/>
        <v>Marietta</v>
      </c>
      <c r="C19" t="s">
        <v>102</v>
      </c>
      <c r="D19" t="s">
        <v>103</v>
      </c>
      <c r="E19" t="str">
        <f t="shared" si="1"/>
        <v>mgolsworthyi@yahoo.com</v>
      </c>
      <c r="F19" t="s">
        <v>104</v>
      </c>
      <c r="G19" t="s">
        <v>18</v>
      </c>
      <c r="H19" t="str">
        <f t="shared" si="2"/>
        <v>Male</v>
      </c>
      <c r="I19" t="str">
        <f>"+880"&amp;RIGHT(SUBSTITUTE(SUBSTITUTE($J19," ",""),"-",""),10)</f>
        <v>+8807079599604</v>
      </c>
      <c r="J19" t="s">
        <v>105</v>
      </c>
      <c r="K19" t="s">
        <v>13</v>
      </c>
      <c r="L19" t="str">
        <f>_xlfn.XLOOKUP($K$3,K:K,K:K,$K$2)</f>
        <v>Bangladesh</v>
      </c>
      <c r="M19" t="s">
        <v>36</v>
      </c>
      <c r="N19" t="str">
        <f>_xlfn.XLOOKUP($M19,$O:$O,$P:$P,"")</f>
        <v>Lakshmapur</v>
      </c>
      <c r="O19" t="str">
        <v>Morrelgonj</v>
      </c>
      <c r="P19" t="e" vm="16">
        <v>#VALUE!</v>
      </c>
    </row>
    <row r="20" spans="1:16" x14ac:dyDescent="0.25">
      <c r="A20">
        <v>20</v>
      </c>
      <c r="B20" t="str">
        <f t="shared" si="0"/>
        <v>Sioux</v>
      </c>
      <c r="C20" t="s">
        <v>106</v>
      </c>
      <c r="D20" t="s">
        <v>107</v>
      </c>
      <c r="E20" t="str">
        <f t="shared" si="1"/>
        <v>srostonj@people.com.cn</v>
      </c>
      <c r="F20" t="s">
        <v>108</v>
      </c>
      <c r="G20" t="s">
        <v>11</v>
      </c>
      <c r="H20" t="str">
        <f t="shared" si="2"/>
        <v>Female</v>
      </c>
      <c r="I20" t="str">
        <f>"+880"&amp;RIGHT(SUBSTITUTE(SUBSTITUTE($J20," ",""),"-",""),10)</f>
        <v>+8806868609990</v>
      </c>
      <c r="J20" t="s">
        <v>109</v>
      </c>
      <c r="K20" t="s">
        <v>13</v>
      </c>
      <c r="L20" t="str">
        <f>_xlfn.XLOOKUP($K$3,K:K,K:K,$K$2)</f>
        <v>Bangladesh</v>
      </c>
      <c r="M20" t="s">
        <v>110</v>
      </c>
      <c r="N20" t="e" vm="16">
        <f>_xlfn.XLOOKUP($M20,$O:$O,$P:$P,"")</f>
        <v>#VALUE!</v>
      </c>
      <c r="O20" t="str">
        <v>SÄtkania</v>
      </c>
      <c r="P20" t="e" vm="17">
        <v>#VALUE!</v>
      </c>
    </row>
    <row r="21" spans="1:16" x14ac:dyDescent="0.25">
      <c r="A21">
        <v>21</v>
      </c>
      <c r="B21" t="str">
        <f t="shared" si="0"/>
        <v>Marna</v>
      </c>
      <c r="C21" t="s">
        <v>111</v>
      </c>
      <c r="D21" t="s">
        <v>112</v>
      </c>
      <c r="E21" t="str">
        <f t="shared" si="1"/>
        <v>mskiptonk@wikia.com</v>
      </c>
      <c r="F21" t="s">
        <v>113</v>
      </c>
      <c r="G21" t="s">
        <v>11</v>
      </c>
      <c r="H21" t="str">
        <f t="shared" si="2"/>
        <v>Female</v>
      </c>
      <c r="I21" t="str">
        <f>"+880"&amp;RIGHT(SUBSTITUTE(SUBSTITUTE($J21," ",""),"-",""),10)</f>
        <v>+8802124581232</v>
      </c>
      <c r="J21" t="s">
        <v>114</v>
      </c>
      <c r="K21" t="s">
        <v>13</v>
      </c>
      <c r="L21" t="str">
        <f>_xlfn.XLOOKUP($K$3,K:K,K:K,$K$2)</f>
        <v>Bangladesh</v>
      </c>
      <c r="M21" t="s">
        <v>115</v>
      </c>
      <c r="N21" t="e" vm="17">
        <f>_xlfn.XLOOKUP($M21,$O:$O,$P:$P,"")</f>
        <v>#VALUE!</v>
      </c>
      <c r="O21" t="str">
        <v>BhÄtpÄra Abhaynagar</v>
      </c>
      <c r="P21" t="s">
        <v>4038</v>
      </c>
    </row>
    <row r="22" spans="1:16" x14ac:dyDescent="0.25">
      <c r="A22">
        <v>22</v>
      </c>
      <c r="B22" t="str">
        <f t="shared" si="0"/>
        <v>Dallis</v>
      </c>
      <c r="C22" t="s">
        <v>116</v>
      </c>
      <c r="D22" t="s">
        <v>117</v>
      </c>
      <c r="E22" t="str">
        <f t="shared" si="1"/>
        <v>dsturrorl@blogtalkradio.com</v>
      </c>
      <c r="F22" t="s">
        <v>118</v>
      </c>
      <c r="G22" t="s">
        <v>18</v>
      </c>
      <c r="H22" t="str">
        <f t="shared" si="2"/>
        <v>Male</v>
      </c>
      <c r="I22" t="str">
        <f>"+880"&amp;RIGHT(SUBSTITUTE(SUBSTITUTE($J22," ",""),"-",""),10)</f>
        <v>+8804031629416</v>
      </c>
      <c r="J22" t="s">
        <v>119</v>
      </c>
      <c r="K22" t="s">
        <v>13</v>
      </c>
      <c r="L22" t="str">
        <f>_xlfn.XLOOKUP($K$3,K:K,K:K,$K$2)</f>
        <v>Bangladesh</v>
      </c>
      <c r="M22" t="s">
        <v>120</v>
      </c>
      <c r="N22" t="str">
        <f>_xlfn.XLOOKUP($M22,$O:$O,$P:$P,"")</f>
        <v>Bhatpara Abhaynagar</v>
      </c>
      <c r="O22" t="str">
        <v>Saidpur</v>
      </c>
      <c r="P22" t="e" vm="18">
        <v>#VALUE!</v>
      </c>
    </row>
    <row r="23" spans="1:16" x14ac:dyDescent="0.25">
      <c r="A23">
        <v>23</v>
      </c>
      <c r="B23" t="str">
        <f t="shared" si="0"/>
        <v>Haywood</v>
      </c>
      <c r="C23" t="s">
        <v>121</v>
      </c>
      <c r="D23" t="s">
        <v>122</v>
      </c>
      <c r="E23" t="str">
        <f t="shared" si="1"/>
        <v>hlangelaym@digg.com</v>
      </c>
      <c r="F23" t="s">
        <v>123</v>
      </c>
      <c r="G23" t="s">
        <v>18</v>
      </c>
      <c r="H23" t="str">
        <f t="shared" si="2"/>
        <v>Male</v>
      </c>
      <c r="I23" t="str">
        <f>"+880"&amp;RIGHT(SUBSTITUTE(SUBSTITUTE($J23," ",""),"-",""),10)</f>
        <v>+8809766312029</v>
      </c>
      <c r="J23" t="s">
        <v>124</v>
      </c>
      <c r="K23" t="s">
        <v>13</v>
      </c>
      <c r="L23" t="str">
        <f>_xlfn.XLOOKUP($K$3,K:K,K:K,$K$2)</f>
        <v>Bangladesh</v>
      </c>
      <c r="M23" t="s">
        <v>125</v>
      </c>
      <c r="N23" t="e" vm="18">
        <f>_xlfn.XLOOKUP($M23,$O:$O,$P:$P,"")</f>
        <v>#VALUE!</v>
      </c>
      <c r="O23" t="str">
        <v>Gaurnadi</v>
      </c>
      <c r="P23" t="e" vm="19">
        <v>#VALUE!</v>
      </c>
    </row>
    <row r="24" spans="1:16" x14ac:dyDescent="0.25">
      <c r="A24">
        <v>24</v>
      </c>
      <c r="B24" t="str">
        <f t="shared" si="0"/>
        <v>Gordon</v>
      </c>
      <c r="C24" t="s">
        <v>126</v>
      </c>
      <c r="D24" t="s">
        <v>127</v>
      </c>
      <c r="E24" t="str">
        <f t="shared" si="1"/>
        <v>gayresn@vimeo.com</v>
      </c>
      <c r="F24" t="s">
        <v>128</v>
      </c>
      <c r="G24" t="s">
        <v>18</v>
      </c>
      <c r="H24" t="str">
        <f t="shared" si="2"/>
        <v>Male</v>
      </c>
      <c r="I24" t="str">
        <f>"+880"&amp;RIGHT(SUBSTITUTE(SUBSTITUTE($J24," ",""),"-",""),10)</f>
        <v>+8803809676720</v>
      </c>
      <c r="J24" t="s">
        <v>129</v>
      </c>
      <c r="K24" t="s">
        <v>13</v>
      </c>
      <c r="L24" t="str">
        <f>_xlfn.XLOOKUP($K$3,K:K,K:K,$K$2)</f>
        <v>Bangladesh</v>
      </c>
      <c r="M24" t="s">
        <v>130</v>
      </c>
      <c r="N24" t="e" vm="19">
        <f>_xlfn.XLOOKUP($M24,$O:$O,$P:$P,"")</f>
        <v>#VALUE!</v>
      </c>
      <c r="O24" t="str">
        <v>SirÄjganj</v>
      </c>
      <c r="P24" t="e" vm="20">
        <v>#VALUE!</v>
      </c>
    </row>
    <row r="25" spans="1:16" x14ac:dyDescent="0.25">
      <c r="A25">
        <v>25</v>
      </c>
      <c r="B25" t="str">
        <f t="shared" si="0"/>
        <v>Jo</v>
      </c>
      <c r="C25" t="s">
        <v>131</v>
      </c>
      <c r="D25" t="s">
        <v>132</v>
      </c>
      <c r="E25" t="str">
        <f t="shared" si="1"/>
        <v>jcasbourneo@census.gov</v>
      </c>
      <c r="F25" t="s">
        <v>133</v>
      </c>
      <c r="G25" t="s">
        <v>11</v>
      </c>
      <c r="H25" t="str">
        <f t="shared" si="2"/>
        <v>Female</v>
      </c>
      <c r="I25" t="str">
        <f>"+880"&amp;RIGHT(SUBSTITUTE(SUBSTITUTE($J25," ",""),"-",""),10)</f>
        <v>+8809386940753</v>
      </c>
      <c r="J25" t="s">
        <v>134</v>
      </c>
      <c r="K25" t="s">
        <v>13</v>
      </c>
      <c r="L25" t="str">
        <f>_xlfn.XLOOKUP($K$3,K:K,K:K,$K$2)</f>
        <v>Bangladesh</v>
      </c>
      <c r="M25" t="s">
        <v>135</v>
      </c>
      <c r="N25" t="e" vm="20">
        <f>_xlfn.XLOOKUP($M25,$O:$O,$P:$P,"")</f>
        <v>#VALUE!</v>
      </c>
      <c r="O25" t="str">
        <v>Bhola</v>
      </c>
      <c r="P25" t="e" vm="21">
        <v>#VALUE!</v>
      </c>
    </row>
    <row r="26" spans="1:16" x14ac:dyDescent="0.25">
      <c r="A26">
        <v>26</v>
      </c>
      <c r="B26" t="str">
        <f t="shared" si="0"/>
        <v>Lorinda</v>
      </c>
      <c r="C26" t="s">
        <v>136</v>
      </c>
      <c r="D26" t="s">
        <v>137</v>
      </c>
      <c r="E26" t="str">
        <f t="shared" si="1"/>
        <v>lsawkinp@admin.ch</v>
      </c>
      <c r="F26" t="s">
        <v>138</v>
      </c>
      <c r="G26" t="s">
        <v>11</v>
      </c>
      <c r="H26" t="str">
        <f t="shared" si="2"/>
        <v>Female</v>
      </c>
      <c r="I26" t="str">
        <f>"+880"&amp;RIGHT(SUBSTITUTE(SUBSTITUTE($J26," ",""),"-",""),10)</f>
        <v>+8809438828583</v>
      </c>
      <c r="J26" t="s">
        <v>139</v>
      </c>
      <c r="K26" t="s">
        <v>13</v>
      </c>
      <c r="L26" t="str">
        <f>_xlfn.XLOOKUP($K$3,K:K,K:K,$K$2)</f>
        <v>Bangladesh</v>
      </c>
      <c r="M26" t="s">
        <v>140</v>
      </c>
      <c r="N26" t="e" vm="21">
        <f>_xlfn.XLOOKUP($M26,$O:$O,$P:$P,"")</f>
        <v>#VALUE!</v>
      </c>
      <c r="O26" t="str">
        <v>SandwÄ«p</v>
      </c>
      <c r="P26" t="e" vm="22">
        <v>#VALUE!</v>
      </c>
    </row>
    <row r="27" spans="1:16" x14ac:dyDescent="0.25">
      <c r="A27">
        <v>27</v>
      </c>
      <c r="B27" t="str">
        <f t="shared" si="0"/>
        <v>Inge</v>
      </c>
      <c r="C27" t="s">
        <v>141</v>
      </c>
      <c r="D27" t="s">
        <v>142</v>
      </c>
      <c r="E27" t="str">
        <f t="shared" si="1"/>
        <v>ikarlowiczq@elpais.com</v>
      </c>
      <c r="F27" t="s">
        <v>143</v>
      </c>
      <c r="G27" t="s">
        <v>11</v>
      </c>
      <c r="H27" t="str">
        <f t="shared" si="2"/>
        <v>Female</v>
      </c>
      <c r="I27" t="str">
        <f>"+880"&amp;RIGHT(SUBSTITUTE(SUBSTITUTE($J27," ",""),"-",""),10)</f>
        <v>+8808982152372</v>
      </c>
      <c r="J27" t="s">
        <v>144</v>
      </c>
      <c r="K27" t="s">
        <v>13</v>
      </c>
      <c r="L27" t="str">
        <f>_xlfn.XLOOKUP($K$3,K:K,K:K,$K$2)</f>
        <v>Bangladesh</v>
      </c>
      <c r="M27" t="s">
        <v>140</v>
      </c>
      <c r="N27" t="e" vm="21">
        <f>_xlfn.XLOOKUP($M27,$O:$O,$P:$P,"")</f>
        <v>#VALUE!</v>
      </c>
      <c r="O27" t="str">
        <v>Netrakona</v>
      </c>
      <c r="P27" t="e" vm="23">
        <v>#VALUE!</v>
      </c>
    </row>
    <row r="28" spans="1:16" x14ac:dyDescent="0.25">
      <c r="A28">
        <v>28</v>
      </c>
      <c r="B28" t="str">
        <f t="shared" si="0"/>
        <v>Joannes</v>
      </c>
      <c r="C28" t="s">
        <v>145</v>
      </c>
      <c r="D28" t="s">
        <v>146</v>
      </c>
      <c r="E28" t="str">
        <f t="shared" si="1"/>
        <v>jhartler@accuweather.com</v>
      </c>
      <c r="F28" t="s">
        <v>147</v>
      </c>
      <c r="G28" t="s">
        <v>11</v>
      </c>
      <c r="H28" t="str">
        <f t="shared" si="2"/>
        <v>Female</v>
      </c>
      <c r="I28" t="str">
        <f>"+880"&amp;RIGHT(SUBSTITUTE(SUBSTITUTE($J28," ",""),"-",""),10)</f>
        <v>+8803914811931</v>
      </c>
      <c r="J28" t="s">
        <v>148</v>
      </c>
      <c r="K28" t="s">
        <v>13</v>
      </c>
      <c r="L28" t="str">
        <f>_xlfn.XLOOKUP($K$3,K:K,K:K,$K$2)</f>
        <v>Bangladesh</v>
      </c>
      <c r="M28" t="s">
        <v>149</v>
      </c>
      <c r="N28" t="e" vm="22">
        <f>_xlfn.XLOOKUP($M28,$O:$O,$P:$P,"")</f>
        <v>#VALUE!</v>
      </c>
      <c r="O28" t="str">
        <v>RaojÄn</v>
      </c>
      <c r="P28" t="e" vm="24">
        <v>#VALUE!</v>
      </c>
    </row>
    <row r="29" spans="1:16" x14ac:dyDescent="0.25">
      <c r="A29">
        <v>29</v>
      </c>
      <c r="B29" t="str">
        <f t="shared" si="0"/>
        <v>Thorin</v>
      </c>
      <c r="C29" t="s">
        <v>150</v>
      </c>
      <c r="D29" t="s">
        <v>151</v>
      </c>
      <c r="E29" t="str">
        <f t="shared" si="1"/>
        <v>tsneesbies@eepurl.com</v>
      </c>
      <c r="F29" t="s">
        <v>152</v>
      </c>
      <c r="G29" t="s">
        <v>18</v>
      </c>
      <c r="H29" t="str">
        <f t="shared" si="2"/>
        <v>Male</v>
      </c>
      <c r="I29" t="str">
        <f>"+880"&amp;RIGHT(SUBSTITUTE(SUBSTITUTE($J29," ",""),"-",""),10)</f>
        <v>+8807351447492</v>
      </c>
      <c r="J29" t="s">
        <v>153</v>
      </c>
      <c r="K29" t="s">
        <v>4033</v>
      </c>
      <c r="L29" t="str">
        <f>_xlfn.XLOOKUP($K$3,K:K,K:K,$K$2)</f>
        <v>Bangladesh</v>
      </c>
      <c r="M29" t="s">
        <v>154</v>
      </c>
      <c r="N29" t="e" vm="23">
        <f>_xlfn.XLOOKUP($M29,$O:$O,$P:$P,"")</f>
        <v>#VALUE!</v>
      </c>
      <c r="O29" t="str">
        <v>Phultala</v>
      </c>
      <c r="P29" t="e" vm="25">
        <v>#VALUE!</v>
      </c>
    </row>
    <row r="30" spans="1:16" x14ac:dyDescent="0.25">
      <c r="A30">
        <v>30</v>
      </c>
      <c r="B30" t="str">
        <f t="shared" si="0"/>
        <v>Lars</v>
      </c>
      <c r="C30" t="s">
        <v>155</v>
      </c>
      <c r="D30" t="s">
        <v>156</v>
      </c>
      <c r="E30" t="str">
        <f t="shared" si="1"/>
        <v>ldismoret@simplemachines.org</v>
      </c>
      <c r="F30" t="s">
        <v>157</v>
      </c>
      <c r="G30" t="s">
        <v>18</v>
      </c>
      <c r="H30" t="str">
        <f t="shared" si="2"/>
        <v>Male</v>
      </c>
      <c r="I30" t="str">
        <f>"+880"&amp;RIGHT(SUBSTITUTE(SUBSTITUTE($J30," ",""),"-",""),10)</f>
        <v>+8808892318269</v>
      </c>
      <c r="J30" t="s">
        <v>158</v>
      </c>
      <c r="K30" t="s">
        <v>13</v>
      </c>
      <c r="L30" t="str">
        <f>_xlfn.XLOOKUP($K$3,K:K,K:K,$K$2)</f>
        <v>Bangladesh</v>
      </c>
      <c r="M30" t="s">
        <v>110</v>
      </c>
      <c r="N30" t="e" vm="16">
        <f>_xlfn.XLOOKUP($M30,$O:$O,$P:$P,"")</f>
        <v>#VALUE!</v>
      </c>
      <c r="O30" t="str">
        <v>Kishorganj</v>
      </c>
      <c r="P30" t="e" vm="26">
        <v>#VALUE!</v>
      </c>
    </row>
    <row r="31" spans="1:16" x14ac:dyDescent="0.25">
      <c r="A31">
        <v>31</v>
      </c>
      <c r="B31" t="str">
        <f t="shared" si="0"/>
        <v>Titos</v>
      </c>
      <c r="C31" t="s">
        <v>159</v>
      </c>
      <c r="D31" t="s">
        <v>160</v>
      </c>
      <c r="E31" t="str">
        <f t="shared" si="1"/>
        <v>tarmsbyu@posterous.com</v>
      </c>
      <c r="F31" t="s">
        <v>161</v>
      </c>
      <c r="G31" t="s">
        <v>18</v>
      </c>
      <c r="H31" t="str">
        <f t="shared" si="2"/>
        <v>Male</v>
      </c>
      <c r="I31" t="str">
        <f>"+880"&amp;RIGHT(SUBSTITUTE(SUBSTITUTE($J31," ",""),"-",""),10)</f>
        <v>+8809253265197</v>
      </c>
      <c r="J31" t="s">
        <v>162</v>
      </c>
      <c r="K31" t="s">
        <v>13</v>
      </c>
      <c r="L31" t="str">
        <f>_xlfn.XLOOKUP($K$3,K:K,K:K,$K$2)</f>
        <v>Bangladesh</v>
      </c>
      <c r="M31" t="s">
        <v>163</v>
      </c>
      <c r="N31" t="e" vm="24">
        <f>_xlfn.XLOOKUP($M31,$O:$O,$P:$P,"")</f>
        <v>#VALUE!</v>
      </c>
      <c r="O31" t="str">
        <v>DohÄr</v>
      </c>
      <c r="P31" t="e" vm="27">
        <v>#VALUE!</v>
      </c>
    </row>
    <row r="32" spans="1:16" x14ac:dyDescent="0.25">
      <c r="A32">
        <v>32</v>
      </c>
      <c r="B32" t="str">
        <f t="shared" si="0"/>
        <v>Daniela</v>
      </c>
      <c r="C32" t="s">
        <v>164</v>
      </c>
      <c r="D32" t="s">
        <v>165</v>
      </c>
      <c r="E32" t="str">
        <f t="shared" si="1"/>
        <v>dsabbatierv@mapquest.com</v>
      </c>
      <c r="F32" t="s">
        <v>166</v>
      </c>
      <c r="G32" t="s">
        <v>11</v>
      </c>
      <c r="H32" t="str">
        <f t="shared" si="2"/>
        <v>Female</v>
      </c>
      <c r="I32" t="str">
        <f>"+880"&amp;RIGHT(SUBSTITUTE(SUBSTITUTE($J32," ",""),"-",""),10)</f>
        <v>+8804425696113</v>
      </c>
      <c r="J32" t="s">
        <v>167</v>
      </c>
      <c r="K32" t="s">
        <v>13</v>
      </c>
      <c r="L32" t="str">
        <f>_xlfn.XLOOKUP($K$3,K:K,K:K,$K$2)</f>
        <v>Bangladesh</v>
      </c>
      <c r="M32" t="s">
        <v>168</v>
      </c>
      <c r="N32" t="e" vm="25">
        <f>_xlfn.XLOOKUP($M32,$O:$O,$P:$P,"")</f>
        <v>#VALUE!</v>
      </c>
      <c r="O32" t="str">
        <v>PÄbna</v>
      </c>
      <c r="P32" t="e" vm="28">
        <v>#VALUE!</v>
      </c>
    </row>
    <row r="33" spans="1:16" x14ac:dyDescent="0.25">
      <c r="A33">
        <v>33</v>
      </c>
      <c r="B33" t="str">
        <f t="shared" si="0"/>
        <v>Konstanze</v>
      </c>
      <c r="C33" t="s">
        <v>169</v>
      </c>
      <c r="D33" t="s">
        <v>170</v>
      </c>
      <c r="E33" t="str">
        <f t="shared" si="1"/>
        <v>khollingsheadw@sakura.ne.jp</v>
      </c>
      <c r="F33" t="s">
        <v>171</v>
      </c>
      <c r="G33" t="s">
        <v>11</v>
      </c>
      <c r="H33" t="str">
        <f t="shared" si="2"/>
        <v>Female</v>
      </c>
      <c r="I33" t="str">
        <f>"+880"&amp;RIGHT(SUBSTITUTE(SUBSTITUTE($J33," ",""),"-",""),10)</f>
        <v>+8808733055431</v>
      </c>
      <c r="J33" t="s">
        <v>172</v>
      </c>
      <c r="K33" t="s">
        <v>13</v>
      </c>
      <c r="L33" t="str">
        <f>_xlfn.XLOOKUP($K$3,K:K,K:K,$K$2)</f>
        <v>Bangladesh</v>
      </c>
      <c r="M33" t="s">
        <v>173</v>
      </c>
      <c r="N33" t="e" vm="26">
        <f>_xlfn.XLOOKUP($M33,$O:$O,$P:$P,"")</f>
        <v>#VALUE!</v>
      </c>
      <c r="O33" t="str">
        <v>Bogra</v>
      </c>
      <c r="P33" t="e" vm="29">
        <v>#VALUE!</v>
      </c>
    </row>
    <row r="34" spans="1:16" x14ac:dyDescent="0.25">
      <c r="A34">
        <v>34</v>
      </c>
      <c r="B34" t="str">
        <f t="shared" si="0"/>
        <v>Danna</v>
      </c>
      <c r="C34" t="s">
        <v>174</v>
      </c>
      <c r="D34" t="s">
        <v>175</v>
      </c>
      <c r="E34" t="str">
        <f t="shared" si="1"/>
        <v>drawlynsx@google.ru</v>
      </c>
      <c r="F34" t="s">
        <v>176</v>
      </c>
      <c r="G34" t="s">
        <v>11</v>
      </c>
      <c r="H34" t="str">
        <f t="shared" si="2"/>
        <v>Female</v>
      </c>
      <c r="I34" t="str">
        <f>"+880"&amp;RIGHT(SUBSTITUTE(SUBSTITUTE($J34," ",""),"-",""),10)</f>
        <v>+8804732818544</v>
      </c>
      <c r="J34" t="s">
        <v>177</v>
      </c>
      <c r="K34" t="s">
        <v>13</v>
      </c>
      <c r="L34" t="str">
        <f>_xlfn.XLOOKUP($K$3,K:K,K:K,$K$2)</f>
        <v>Bangladesh</v>
      </c>
      <c r="M34" t="s">
        <v>178</v>
      </c>
      <c r="N34" t="e" vm="27">
        <f>_xlfn.XLOOKUP($M34,$O:$O,$P:$P,"")</f>
        <v>#VALUE!</v>
      </c>
      <c r="O34" t="str">
        <v>SÄtkhira</v>
      </c>
      <c r="P34" t="e" vm="30">
        <v>#VALUE!</v>
      </c>
    </row>
    <row r="35" spans="1:16" x14ac:dyDescent="0.25">
      <c r="A35">
        <v>35</v>
      </c>
      <c r="B35" t="str">
        <f t="shared" si="0"/>
        <v>Trixy</v>
      </c>
      <c r="C35" t="s">
        <v>179</v>
      </c>
      <c r="D35" t="s">
        <v>180</v>
      </c>
      <c r="E35" t="str">
        <f t="shared" si="1"/>
        <v>twenmany@prlog.org</v>
      </c>
      <c r="F35" t="s">
        <v>181</v>
      </c>
      <c r="G35" t="s">
        <v>11</v>
      </c>
      <c r="H35" t="str">
        <f t="shared" si="2"/>
        <v>Female</v>
      </c>
      <c r="I35" t="str">
        <f>"+880"&amp;RIGHT(SUBSTITUTE(SUBSTITUTE($J35," ",""),"-",""),10)</f>
        <v>+8809441490674</v>
      </c>
      <c r="J35" t="s">
        <v>182</v>
      </c>
      <c r="K35" t="s">
        <v>13</v>
      </c>
      <c r="L35" t="str">
        <f>_xlfn.XLOOKUP($K$3,K:K,K:K,$K$2)</f>
        <v>Bangladesh</v>
      </c>
      <c r="M35" t="s">
        <v>183</v>
      </c>
      <c r="N35" t="e" vm="28">
        <f>_xlfn.XLOOKUP($M35,$O:$O,$P:$P,"")</f>
        <v>#VALUE!</v>
      </c>
      <c r="O35" t="str">
        <v>BherÄmÄra</v>
      </c>
      <c r="P35" t="e" vm="31">
        <v>#VALUE!</v>
      </c>
    </row>
    <row r="36" spans="1:16" x14ac:dyDescent="0.25">
      <c r="A36">
        <v>36</v>
      </c>
      <c r="B36" t="str">
        <f t="shared" si="0"/>
        <v>Peg</v>
      </c>
      <c r="C36" t="s">
        <v>184</v>
      </c>
      <c r="D36" t="s">
        <v>185</v>
      </c>
      <c r="E36" t="str">
        <f t="shared" si="1"/>
        <v>pdevonaldz@gov.uk</v>
      </c>
      <c r="F36" t="s">
        <v>186</v>
      </c>
      <c r="G36" t="s">
        <v>11</v>
      </c>
      <c r="H36" t="str">
        <f t="shared" si="2"/>
        <v>Female</v>
      </c>
      <c r="I36" t="str">
        <f>"+880"&amp;RIGHT(SUBSTITUTE(SUBSTITUTE($J36," ",""),"-",""),10)</f>
        <v>+8807419229213</v>
      </c>
      <c r="J36" t="s">
        <v>187</v>
      </c>
      <c r="K36" t="s">
        <v>13</v>
      </c>
      <c r="L36" t="str">
        <f>_xlfn.XLOOKUP($K$3,K:K,K:K,$K$2)</f>
        <v>Bangladesh</v>
      </c>
      <c r="M36" t="s">
        <v>188</v>
      </c>
      <c r="N36" t="e" vm="29">
        <f>_xlfn.XLOOKUP($M36,$O:$O,$P:$P,"")</f>
        <v>#VALUE!</v>
      </c>
      <c r="O36" t="str">
        <v>BhÄndÄria</v>
      </c>
      <c r="P36" t="e" vm="32">
        <v>#VALUE!</v>
      </c>
    </row>
    <row r="37" spans="1:16" x14ac:dyDescent="0.25">
      <c r="A37">
        <v>37</v>
      </c>
      <c r="B37" t="str">
        <f t="shared" si="0"/>
        <v>Goldarina</v>
      </c>
      <c r="C37" t="s">
        <v>189</v>
      </c>
      <c r="D37" t="s">
        <v>190</v>
      </c>
      <c r="E37" t="str">
        <f t="shared" si="1"/>
        <v>gjime10@cnn.com</v>
      </c>
      <c r="F37" t="s">
        <v>191</v>
      </c>
      <c r="G37" t="s">
        <v>11</v>
      </c>
      <c r="H37" t="str">
        <f t="shared" si="2"/>
        <v>Female</v>
      </c>
      <c r="I37" t="str">
        <f>"+880"&amp;RIGHT(SUBSTITUTE(SUBSTITUTE($J37," ",""),"-",""),10)</f>
        <v>+8802767845595</v>
      </c>
      <c r="J37" t="s">
        <v>192</v>
      </c>
      <c r="K37" t="s">
        <v>13</v>
      </c>
      <c r="L37" t="str">
        <f>_xlfn.XLOOKUP($K$3,K:K,K:K,$K$2)</f>
        <v>Bangladesh</v>
      </c>
      <c r="M37" t="s">
        <v>140</v>
      </c>
      <c r="N37" t="e" vm="21">
        <f>_xlfn.XLOOKUP($M37,$O:$O,$P:$P,"")</f>
        <v>#VALUE!</v>
      </c>
      <c r="O37" t="str">
        <v>Narsingdi</v>
      </c>
      <c r="P37" t="e" vm="33">
        <v>#VALUE!</v>
      </c>
    </row>
    <row r="38" spans="1:16" x14ac:dyDescent="0.25">
      <c r="A38">
        <v>38</v>
      </c>
      <c r="B38" t="str">
        <f t="shared" si="0"/>
        <v>Belinda</v>
      </c>
      <c r="C38" t="s">
        <v>193</v>
      </c>
      <c r="D38" t="s">
        <v>194</v>
      </c>
      <c r="E38" t="str">
        <f t="shared" si="1"/>
        <v>bmacelane11@nymag.com</v>
      </c>
      <c r="F38" t="s">
        <v>195</v>
      </c>
      <c r="G38" t="s">
        <v>11</v>
      </c>
      <c r="H38" t="str">
        <f t="shared" si="2"/>
        <v>Female</v>
      </c>
      <c r="I38" t="str">
        <f>"+880"&amp;RIGHT(SUBSTITUTE(SUBSTITUTE($J38," ",""),"-",""),10)</f>
        <v>+8806156128396</v>
      </c>
      <c r="J38" t="s">
        <v>196</v>
      </c>
      <c r="K38" t="s">
        <v>13</v>
      </c>
      <c r="L38" t="str">
        <f>_xlfn.XLOOKUP($K$3,K:K,K:K,$K$2)</f>
        <v>Bangladesh</v>
      </c>
      <c r="M38" t="s">
        <v>178</v>
      </c>
      <c r="N38" t="e" vm="27">
        <f>_xlfn.XLOOKUP($M38,$O:$O,$P:$P,"")</f>
        <v>#VALUE!</v>
      </c>
      <c r="O38" t="str">
        <v>SarishÄbÄri</v>
      </c>
      <c r="P38" t="e" vm="34">
        <v>#VALUE!</v>
      </c>
    </row>
    <row r="39" spans="1:16" x14ac:dyDescent="0.25">
      <c r="A39">
        <v>39</v>
      </c>
      <c r="B39" t="str">
        <f t="shared" si="0"/>
        <v>Orsola</v>
      </c>
      <c r="C39" t="s">
        <v>197</v>
      </c>
      <c r="D39" t="s">
        <v>198</v>
      </c>
      <c r="E39" t="str">
        <f t="shared" si="1"/>
        <v>otopper12@taobao.com</v>
      </c>
      <c r="F39" t="s">
        <v>199</v>
      </c>
      <c r="G39" t="s">
        <v>11</v>
      </c>
      <c r="H39" t="str">
        <f t="shared" si="2"/>
        <v>Female</v>
      </c>
      <c r="I39" t="str">
        <f>"+880"&amp;RIGHT(SUBSTITUTE(SUBSTITUTE($J39," ",""),"-",""),10)</f>
        <v>+8804485770881</v>
      </c>
      <c r="J39" t="s">
        <v>200</v>
      </c>
      <c r="K39" t="s">
        <v>13</v>
      </c>
      <c r="L39" t="str">
        <f>_xlfn.XLOOKUP($K$3,K:K,K:K,$K$2)</f>
        <v>Bangladesh</v>
      </c>
      <c r="M39" t="s">
        <v>115</v>
      </c>
      <c r="N39" t="e" vm="17">
        <f>_xlfn.XLOOKUP($M39,$O:$O,$P:$P,"")</f>
        <v>#VALUE!</v>
      </c>
      <c r="O39" t="str">
        <v>LÄlmohan</v>
      </c>
      <c r="P39" t="e" vm="35">
        <v>#VALUE!</v>
      </c>
    </row>
    <row r="40" spans="1:16" x14ac:dyDescent="0.25">
      <c r="A40">
        <v>40</v>
      </c>
      <c r="B40" t="str">
        <f t="shared" si="0"/>
        <v>Elliot</v>
      </c>
      <c r="C40" t="s">
        <v>4025</v>
      </c>
      <c r="D40" t="s">
        <v>202</v>
      </c>
      <c r="E40" t="str">
        <f t="shared" si="1"/>
        <v>ehavelin13@google.es</v>
      </c>
      <c r="F40" t="s">
        <v>203</v>
      </c>
      <c r="G40" t="s">
        <v>18</v>
      </c>
      <c r="H40" t="str">
        <f t="shared" si="2"/>
        <v>Male</v>
      </c>
      <c r="I40" t="str">
        <f>"+880"&amp;RIGHT(SUBSTITUTE(SUBSTITUTE($J40," ",""),"-",""),10)</f>
        <v>+8808282652936</v>
      </c>
      <c r="J40" t="s">
        <v>204</v>
      </c>
      <c r="K40" t="s">
        <v>13</v>
      </c>
      <c r="L40" t="str">
        <f>_xlfn.XLOOKUP($K$3,K:K,K:K,$K$2)</f>
        <v>Bangladesh</v>
      </c>
      <c r="M40" t="s">
        <v>205</v>
      </c>
      <c r="N40" t="e" vm="30">
        <f>_xlfn.XLOOKUP($M40,$O:$O,$P:$P,"")</f>
        <v>#VALUE!</v>
      </c>
      <c r="O40" t="str">
        <v>Uttar Char Fasson</v>
      </c>
      <c r="P40" t="e" vm="36">
        <v>#VALUE!</v>
      </c>
    </row>
    <row r="41" spans="1:16" x14ac:dyDescent="0.25">
      <c r="A41">
        <v>41</v>
      </c>
      <c r="B41" t="str">
        <f t="shared" si="0"/>
        <v>Shandy</v>
      </c>
      <c r="C41" t="s">
        <v>206</v>
      </c>
      <c r="D41" t="s">
        <v>207</v>
      </c>
      <c r="E41" t="str">
        <f t="shared" si="1"/>
        <v>smelley14@theguardian.com</v>
      </c>
      <c r="F41" t="s">
        <v>208</v>
      </c>
      <c r="G41" t="s">
        <v>11</v>
      </c>
      <c r="H41" t="str">
        <f t="shared" si="2"/>
        <v>Female</v>
      </c>
      <c r="I41" t="str">
        <f>"+880"&amp;RIGHT(SUBSTITUTE(SUBSTITUTE($J41," ",""),"-",""),10)</f>
        <v>+8809261349974</v>
      </c>
      <c r="J41" t="s">
        <v>209</v>
      </c>
      <c r="K41" t="s">
        <v>13</v>
      </c>
      <c r="L41" t="str">
        <f>_xlfn.XLOOKUP($K$3,K:K,K:K,$K$2)</f>
        <v>Bangladesh</v>
      </c>
      <c r="M41" t="s">
        <v>210</v>
      </c>
      <c r="N41" t="e" vm="31">
        <f>_xlfn.XLOOKUP($M41,$O:$O,$P:$P,"")</f>
        <v>#VALUE!</v>
      </c>
      <c r="O41" t="str">
        <v>Lalmanirhat</v>
      </c>
      <c r="P41" t="e" vm="37">
        <v>#VALUE!</v>
      </c>
    </row>
    <row r="42" spans="1:16" x14ac:dyDescent="0.25">
      <c r="A42">
        <v>42</v>
      </c>
      <c r="B42" t="str">
        <f t="shared" si="0"/>
        <v>Dell</v>
      </c>
      <c r="C42" t="s">
        <v>211</v>
      </c>
      <c r="D42" t="s">
        <v>212</v>
      </c>
      <c r="E42" t="str">
        <f t="shared" si="1"/>
        <v>ddensell15@businessinsider.com</v>
      </c>
      <c r="F42" t="s">
        <v>213</v>
      </c>
      <c r="G42" t="s">
        <v>11</v>
      </c>
      <c r="H42" t="str">
        <f t="shared" si="2"/>
        <v>Female</v>
      </c>
      <c r="I42" t="str">
        <f>"+880"&amp;RIGHT(SUBSTITUTE(SUBSTITUTE($J42," ",""),"-",""),10)</f>
        <v>+8801479741081</v>
      </c>
      <c r="J42" t="s">
        <v>214</v>
      </c>
      <c r="K42" t="s">
        <v>13</v>
      </c>
      <c r="L42" t="str">
        <f>_xlfn.XLOOKUP($K$3,K:K,K:K,$K$2)</f>
        <v>Bangladesh</v>
      </c>
      <c r="M42" t="s">
        <v>215</v>
      </c>
      <c r="N42" t="e" vm="32">
        <f>_xlfn.XLOOKUP($M42,$O:$O,$P:$P,"")</f>
        <v>#VALUE!</v>
      </c>
      <c r="O42" t="str">
        <v>Feni</v>
      </c>
      <c r="P42" t="e" vm="38">
        <v>#VALUE!</v>
      </c>
    </row>
    <row r="43" spans="1:16" x14ac:dyDescent="0.25">
      <c r="A43">
        <v>43</v>
      </c>
      <c r="B43" t="str">
        <f t="shared" si="0"/>
        <v>Kippie</v>
      </c>
      <c r="C43" t="s">
        <v>216</v>
      </c>
      <c r="D43" t="s">
        <v>217</v>
      </c>
      <c r="E43" t="str">
        <f t="shared" si="1"/>
        <v>kspirritt16@gov.uk</v>
      </c>
      <c r="F43" t="s">
        <v>218</v>
      </c>
      <c r="G43" t="s">
        <v>11</v>
      </c>
      <c r="H43" t="str">
        <f t="shared" si="2"/>
        <v>Female</v>
      </c>
      <c r="I43" t="str">
        <f>"+880"&amp;RIGHT(SUBSTITUTE(SUBSTITUTE($J43," ",""),"-",""),10)</f>
        <v>+8808932086695</v>
      </c>
      <c r="J43" t="s">
        <v>219</v>
      </c>
      <c r="K43" t="s">
        <v>13</v>
      </c>
      <c r="L43" t="str">
        <f>_xlfn.XLOOKUP($K$3,K:K,K:K,$K$2)</f>
        <v>Bangladesh</v>
      </c>
      <c r="M43" t="s">
        <v>115</v>
      </c>
      <c r="N43" t="e" vm="17">
        <f>_xlfn.XLOOKUP($M43,$O:$O,$P:$P,"")</f>
        <v>#VALUE!</v>
      </c>
      <c r="O43" t="str">
        <v>Khulna</v>
      </c>
      <c r="P43" t="e" vm="39">
        <v>#VALUE!</v>
      </c>
    </row>
    <row r="44" spans="1:16" x14ac:dyDescent="0.25">
      <c r="A44">
        <v>44</v>
      </c>
      <c r="B44" t="str">
        <f t="shared" si="0"/>
        <v>Isidoro</v>
      </c>
      <c r="C44" t="s">
        <v>220</v>
      </c>
      <c r="D44" t="s">
        <v>221</v>
      </c>
      <c r="E44" t="str">
        <f t="shared" si="1"/>
        <v>iharlin17@cdc.gov</v>
      </c>
      <c r="F44" t="s">
        <v>222</v>
      </c>
      <c r="G44" t="s">
        <v>18</v>
      </c>
      <c r="H44" t="str">
        <f t="shared" si="2"/>
        <v>Male</v>
      </c>
      <c r="I44" t="str">
        <f>"+880"&amp;RIGHT(SUBSTITUTE(SUBSTITUTE($J44," ",""),"-",""),10)</f>
        <v>+8805718022743</v>
      </c>
      <c r="J44" t="s">
        <v>223</v>
      </c>
      <c r="K44" t="s">
        <v>13</v>
      </c>
      <c r="L44" t="str">
        <f>_xlfn.XLOOKUP($K$3,K:K,K:K,$K$2)</f>
        <v>Bangladesh</v>
      </c>
      <c r="M44" t="s">
        <v>224</v>
      </c>
      <c r="N44" t="e" vm="33">
        <f>_xlfn.XLOOKUP($M44,$O:$O,$P:$P,"")</f>
        <v>#VALUE!</v>
      </c>
      <c r="O44" t="str">
        <v>KÄlia</v>
      </c>
      <c r="P44" t="e" vm="40">
        <v>#VALUE!</v>
      </c>
    </row>
    <row r="45" spans="1:16" x14ac:dyDescent="0.25">
      <c r="A45">
        <v>45</v>
      </c>
      <c r="B45" t="str">
        <f t="shared" si="0"/>
        <v>Flinn</v>
      </c>
      <c r="C45" t="s">
        <v>225</v>
      </c>
      <c r="D45" t="s">
        <v>226</v>
      </c>
      <c r="E45" t="str">
        <f t="shared" si="1"/>
        <v>fchattelaine18@deliciousdays.com</v>
      </c>
      <c r="F45" t="s">
        <v>227</v>
      </c>
      <c r="G45" t="s">
        <v>228</v>
      </c>
      <c r="H45" t="str">
        <f t="shared" si="2"/>
        <v>Other</v>
      </c>
      <c r="I45" t="str">
        <f>"+880"&amp;RIGHT(SUBSTITUTE(SUBSTITUTE($J45," ",""),"-",""),10)</f>
        <v>+8803672705135</v>
      </c>
      <c r="J45" t="s">
        <v>229</v>
      </c>
      <c r="K45" t="s">
        <v>13</v>
      </c>
      <c r="L45" t="str">
        <f>_xlfn.XLOOKUP($K$3,K:K,K:K,$K$2)</f>
        <v>Bangladesh</v>
      </c>
      <c r="M45" t="s">
        <v>230</v>
      </c>
      <c r="N45" t="e" vm="34">
        <f>_xlfn.XLOOKUP($M45,$O:$O,$P:$P,"")</f>
        <v>#VALUE!</v>
      </c>
      <c r="O45" t="str">
        <v>Narail</v>
      </c>
      <c r="P45" t="e" vm="41">
        <v>#VALUE!</v>
      </c>
    </row>
    <row r="46" spans="1:16" x14ac:dyDescent="0.25">
      <c r="A46">
        <v>46</v>
      </c>
      <c r="B46" t="str">
        <f t="shared" si="0"/>
        <v>Forster</v>
      </c>
      <c r="C46" t="s">
        <v>231</v>
      </c>
      <c r="D46" t="s">
        <v>232</v>
      </c>
      <c r="E46" t="str">
        <f t="shared" si="1"/>
        <v>frisman19@imgur.com</v>
      </c>
      <c r="F46" t="s">
        <v>233</v>
      </c>
      <c r="G46" t="s">
        <v>18</v>
      </c>
      <c r="H46" t="str">
        <f t="shared" si="2"/>
        <v>Male</v>
      </c>
      <c r="I46" t="str">
        <f>"+880"&amp;RIGHT(SUBSTITUTE(SUBSTITUTE($J46," ",""),"-",""),10)</f>
        <v>+8809408143346</v>
      </c>
      <c r="J46" t="s">
        <v>234</v>
      </c>
      <c r="K46" t="s">
        <v>13</v>
      </c>
      <c r="L46" t="str">
        <f>_xlfn.XLOOKUP($K$3,K:K,K:K,$K$2)</f>
        <v>Bangladesh</v>
      </c>
      <c r="M46" t="s">
        <v>135</v>
      </c>
      <c r="N46" t="e" vm="20">
        <f>_xlfn.XLOOKUP($M46,$O:$O,$P:$P,"")</f>
        <v>#VALUE!</v>
      </c>
      <c r="O46" t="str">
        <v>MirzÄpur</v>
      </c>
      <c r="P46" t="e" vm="42">
        <v>#VALUE!</v>
      </c>
    </row>
    <row r="47" spans="1:16" x14ac:dyDescent="0.25">
      <c r="A47">
        <v>47</v>
      </c>
      <c r="B47" t="str">
        <f t="shared" si="0"/>
        <v>Brandais</v>
      </c>
      <c r="C47" t="s">
        <v>235</v>
      </c>
      <c r="D47" t="s">
        <v>236</v>
      </c>
      <c r="E47" t="str">
        <f t="shared" si="1"/>
        <v>bfolkes1a@furl.net</v>
      </c>
      <c r="F47" t="s">
        <v>237</v>
      </c>
      <c r="G47" t="s">
        <v>11</v>
      </c>
      <c r="H47" t="str">
        <f t="shared" si="2"/>
        <v>Female</v>
      </c>
      <c r="I47" t="str">
        <f>"+880"&amp;RIGHT(SUBSTITUTE(SUBSTITUTE($J47," ",""),"-",""),10)</f>
        <v>+8804753366261</v>
      </c>
      <c r="J47" t="s">
        <v>238</v>
      </c>
      <c r="K47" t="s">
        <v>13</v>
      </c>
      <c r="L47" t="str">
        <f>_xlfn.XLOOKUP($K$3,K:K,K:K,$K$2)</f>
        <v>Bangladesh</v>
      </c>
      <c r="M47" t="s">
        <v>71</v>
      </c>
      <c r="N47" t="e" vm="9">
        <f>_xlfn.XLOOKUP($M47,$O:$O,$P:$P,"")</f>
        <v>#VALUE!</v>
      </c>
      <c r="O47" t="str">
        <v>RÄmganj</v>
      </c>
      <c r="P47" t="e" vm="43">
        <v>#VALUE!</v>
      </c>
    </row>
    <row r="48" spans="1:16" x14ac:dyDescent="0.25">
      <c r="A48">
        <v>48</v>
      </c>
      <c r="B48" t="str">
        <f t="shared" si="0"/>
        <v>Marylynne</v>
      </c>
      <c r="C48" t="s">
        <v>239</v>
      </c>
      <c r="D48" t="s">
        <v>240</v>
      </c>
      <c r="E48" t="str">
        <f t="shared" si="1"/>
        <v>mgundrey1b@msn.com</v>
      </c>
      <c r="F48" t="s">
        <v>241</v>
      </c>
      <c r="G48" t="s">
        <v>11</v>
      </c>
      <c r="H48" t="str">
        <f t="shared" si="2"/>
        <v>Female</v>
      </c>
      <c r="I48" t="str">
        <f>"+880"&amp;RIGHT(SUBSTITUTE(SUBSTITUTE($J48," ",""),"-",""),10)</f>
        <v>+8802462315646</v>
      </c>
      <c r="J48" t="s">
        <v>242</v>
      </c>
      <c r="K48" t="s">
        <v>13</v>
      </c>
      <c r="L48" t="str">
        <f>_xlfn.XLOOKUP($K$3,K:K,K:K,$K$2)</f>
        <v>Bangladesh</v>
      </c>
      <c r="M48" t="s">
        <v>243</v>
      </c>
      <c r="N48" t="e" vm="35">
        <f>_xlfn.XLOOKUP($M48,$O:$O,$P:$P,"")</f>
        <v>#VALUE!</v>
      </c>
      <c r="O48" t="str">
        <v>Panchagarh</v>
      </c>
      <c r="P48" t="e" vm="44">
        <v>#VALUE!</v>
      </c>
    </row>
    <row r="49" spans="1:16" x14ac:dyDescent="0.25">
      <c r="A49">
        <v>49</v>
      </c>
      <c r="B49" t="str">
        <f t="shared" si="0"/>
        <v>Eolanda</v>
      </c>
      <c r="C49" t="s">
        <v>244</v>
      </c>
      <c r="D49" t="s">
        <v>245</v>
      </c>
      <c r="E49" t="str">
        <f t="shared" si="1"/>
        <v>epach1c@odnoklassniki.ru</v>
      </c>
      <c r="F49" t="s">
        <v>246</v>
      </c>
      <c r="G49" t="s">
        <v>11</v>
      </c>
      <c r="H49" t="str">
        <f t="shared" si="2"/>
        <v>Female</v>
      </c>
      <c r="I49" t="str">
        <f>"+880"&amp;RIGHT(SUBSTITUTE(SUBSTITUTE($J49," ",""),"-",""),10)</f>
        <v>+8807209124139</v>
      </c>
      <c r="J49" t="s">
        <v>247</v>
      </c>
      <c r="K49" t="s">
        <v>13</v>
      </c>
      <c r="L49" t="str">
        <f>_xlfn.XLOOKUP($K$3,K:K,K:K,$K$2)</f>
        <v>Bangladesh</v>
      </c>
      <c r="M49" t="s">
        <v>163</v>
      </c>
      <c r="N49" t="e" vm="24">
        <f>_xlfn.XLOOKUP($M49,$O:$O,$P:$P,"")</f>
        <v>#VALUE!</v>
      </c>
      <c r="O49" t="str">
        <v>PÄr Naogaon</v>
      </c>
      <c r="P49" t="e" vm="45">
        <v>#VALUE!</v>
      </c>
    </row>
    <row r="50" spans="1:16" x14ac:dyDescent="0.25">
      <c r="A50">
        <v>50</v>
      </c>
      <c r="B50" t="str">
        <f t="shared" si="0"/>
        <v>Charlene</v>
      </c>
      <c r="C50" t="s">
        <v>248</v>
      </c>
      <c r="D50" t="s">
        <v>249</v>
      </c>
      <c r="E50" t="str">
        <f t="shared" si="1"/>
        <v>cmattaus1d@bigcartel.com</v>
      </c>
      <c r="F50" t="s">
        <v>250</v>
      </c>
      <c r="G50" t="s">
        <v>11</v>
      </c>
      <c r="H50" t="str">
        <f t="shared" si="2"/>
        <v>Female</v>
      </c>
      <c r="I50" t="str">
        <f>"+880"&amp;RIGHT(SUBSTITUTE(SUBSTITUTE($J50," ",""),"-",""),10)</f>
        <v>+8805365745764</v>
      </c>
      <c r="J50" t="s">
        <v>251</v>
      </c>
      <c r="K50" t="s">
        <v>13</v>
      </c>
      <c r="L50" t="str">
        <f>_xlfn.XLOOKUP($K$3,K:K,K:K,$K$2)</f>
        <v>Bangladesh</v>
      </c>
      <c r="M50" t="s">
        <v>252</v>
      </c>
      <c r="N50" t="e" vm="36">
        <f>_xlfn.XLOOKUP($M50,$O:$O,$P:$P,"")</f>
        <v>#VALUE!</v>
      </c>
      <c r="O50" t="str">
        <v>Habiganj</v>
      </c>
      <c r="P50" t="e" vm="46">
        <v>#VALUE!</v>
      </c>
    </row>
    <row r="51" spans="1:16" x14ac:dyDescent="0.25">
      <c r="A51">
        <v>51</v>
      </c>
      <c r="B51" t="str">
        <f t="shared" si="0"/>
        <v>Miguelita</v>
      </c>
      <c r="C51" t="s">
        <v>253</v>
      </c>
      <c r="D51" t="s">
        <v>254</v>
      </c>
      <c r="E51" t="str">
        <f t="shared" si="1"/>
        <v>mandres1e@discovery.com</v>
      </c>
      <c r="F51" t="s">
        <v>255</v>
      </c>
      <c r="G51" t="s">
        <v>11</v>
      </c>
      <c r="H51" t="str">
        <f t="shared" si="2"/>
        <v>Female</v>
      </c>
      <c r="I51" t="str">
        <f>"+880"&amp;RIGHT(SUBSTITUTE(SUBSTITUTE($J51," ",""),"-",""),10)</f>
        <v>+8808234971495</v>
      </c>
      <c r="J51" t="s">
        <v>256</v>
      </c>
      <c r="K51" t="s">
        <v>13</v>
      </c>
      <c r="L51" t="str">
        <f>_xlfn.XLOOKUP($K$3,K:K,K:K,$K$2)</f>
        <v>Bangladesh</v>
      </c>
      <c r="M51" t="s">
        <v>66</v>
      </c>
      <c r="N51" t="e" vm="8">
        <f>_xlfn.XLOOKUP($M51,$O:$O,$P:$P,"")</f>
        <v>#VALUE!</v>
      </c>
      <c r="O51" t="str">
        <v>Bhairab BÄzÄr</v>
      </c>
      <c r="P51" t="s">
        <v>4040</v>
      </c>
    </row>
    <row r="52" spans="1:16" x14ac:dyDescent="0.25">
      <c r="A52">
        <v>52</v>
      </c>
      <c r="B52" t="str">
        <f t="shared" si="0"/>
        <v>Irvin</v>
      </c>
      <c r="C52" t="s">
        <v>257</v>
      </c>
      <c r="D52" t="s">
        <v>258</v>
      </c>
      <c r="E52" t="str">
        <f t="shared" si="1"/>
        <v>ipanswick1f@istockphoto.com</v>
      </c>
      <c r="F52" t="s">
        <v>259</v>
      </c>
      <c r="G52" t="s">
        <v>18</v>
      </c>
      <c r="H52" t="str">
        <f t="shared" si="2"/>
        <v>Male</v>
      </c>
      <c r="I52" t="str">
        <f>"+880"&amp;RIGHT(SUBSTITUTE(SUBSTITUTE($J52," ",""),"-",""),10)</f>
        <v>+8804516002915</v>
      </c>
      <c r="J52" t="s">
        <v>260</v>
      </c>
      <c r="K52" t="s">
        <v>13</v>
      </c>
      <c r="L52" t="str">
        <f>_xlfn.XLOOKUP($K$3,K:K,K:K,$K$2)</f>
        <v>Bangladesh</v>
      </c>
      <c r="M52" t="s">
        <v>261</v>
      </c>
      <c r="N52" t="e" vm="37">
        <f>_xlfn.XLOOKUP($M52,$O:$O,$P:$P,"")</f>
        <v>#VALUE!</v>
      </c>
      <c r="O52" t="str">
        <v>JhingergÄcha</v>
      </c>
      <c r="P52" t="e" vm="47">
        <v>#VALUE!</v>
      </c>
    </row>
    <row r="53" spans="1:16" x14ac:dyDescent="0.25">
      <c r="A53">
        <v>53</v>
      </c>
      <c r="B53" t="str">
        <f t="shared" si="0"/>
        <v>Janice</v>
      </c>
      <c r="C53" t="s">
        <v>262</v>
      </c>
      <c r="D53" t="s">
        <v>263</v>
      </c>
      <c r="E53" t="str">
        <f t="shared" si="1"/>
        <v>jbuscher1g@shutterfly.com</v>
      </c>
      <c r="F53" t="s">
        <v>264</v>
      </c>
      <c r="G53" t="s">
        <v>11</v>
      </c>
      <c r="H53" t="str">
        <f t="shared" si="2"/>
        <v>Female</v>
      </c>
      <c r="I53" t="str">
        <f>"+880"&amp;RIGHT(SUBSTITUTE(SUBSTITUTE($J53," ",""),"-",""),10)</f>
        <v>+8809828515926</v>
      </c>
      <c r="J53" t="s">
        <v>265</v>
      </c>
      <c r="K53" t="s">
        <v>13</v>
      </c>
      <c r="L53" t="str">
        <f>_xlfn.XLOOKUP($K$3,K:K,K:K,$K$2)</f>
        <v>Bangladesh</v>
      </c>
      <c r="M53" t="s">
        <v>266</v>
      </c>
      <c r="N53" t="e" vm="38">
        <f>_xlfn.XLOOKUP($M53,$O:$O,$P:$P,"")</f>
        <v>#VALUE!</v>
      </c>
      <c r="O53" t="str">
        <v>Gafargaon</v>
      </c>
      <c r="P53" t="e" vm="48">
        <v>#VALUE!</v>
      </c>
    </row>
    <row r="54" spans="1:16" x14ac:dyDescent="0.25">
      <c r="A54">
        <v>54</v>
      </c>
      <c r="B54" t="str">
        <f t="shared" si="0"/>
        <v>Nady</v>
      </c>
      <c r="C54" t="s">
        <v>267</v>
      </c>
      <c r="D54" t="s">
        <v>268</v>
      </c>
      <c r="E54" t="str">
        <f t="shared" si="1"/>
        <v>njanaud1h@fastcompany.com</v>
      </c>
      <c r="F54" t="s">
        <v>269</v>
      </c>
      <c r="G54" t="s">
        <v>11</v>
      </c>
      <c r="H54" t="str">
        <f t="shared" si="2"/>
        <v>Female</v>
      </c>
      <c r="I54" t="str">
        <f>"+880"&amp;RIGHT(SUBSTITUTE(SUBSTITUTE($J54," ",""),"-",""),10)</f>
        <v>+8804922368271</v>
      </c>
      <c r="J54" t="s">
        <v>270</v>
      </c>
      <c r="K54" t="s">
        <v>13</v>
      </c>
      <c r="L54" t="str">
        <f>_xlfn.XLOOKUP($K$3,K:K,K:K,$K$2)</f>
        <v>Bangladesh</v>
      </c>
      <c r="M54" t="s">
        <v>205</v>
      </c>
      <c r="N54" t="e" vm="30">
        <f>_xlfn.XLOOKUP($M54,$O:$O,$P:$P,"")</f>
        <v>#VALUE!</v>
      </c>
      <c r="O54" t="str">
        <v>Sylhet</v>
      </c>
      <c r="P54" t="e" vm="49">
        <v>#VALUE!</v>
      </c>
    </row>
    <row r="55" spans="1:16" x14ac:dyDescent="0.25">
      <c r="A55">
        <v>55</v>
      </c>
      <c r="B55" t="str">
        <f t="shared" si="0"/>
        <v>Lindsey</v>
      </c>
      <c r="C55" t="s">
        <v>271</v>
      </c>
      <c r="D55" t="s">
        <v>272</v>
      </c>
      <c r="E55" t="str">
        <f t="shared" si="1"/>
        <v>lridges1i@usa.gov</v>
      </c>
      <c r="F55" t="s">
        <v>273</v>
      </c>
      <c r="G55" t="s">
        <v>274</v>
      </c>
      <c r="H55" t="str">
        <f t="shared" si="2"/>
        <v>Other</v>
      </c>
      <c r="I55" t="str">
        <f>"+880"&amp;RIGHT(SUBSTITUTE(SUBSTITUTE($J55," ",""),"-",""),10)</f>
        <v>+8804185224465</v>
      </c>
      <c r="J55" t="s">
        <v>275</v>
      </c>
      <c r="K55" t="s">
        <v>13</v>
      </c>
      <c r="L55" t="str">
        <f>_xlfn.XLOOKUP($K$3,K:K,K:K,$K$2)</f>
        <v>Bangladesh</v>
      </c>
      <c r="M55" t="s">
        <v>276</v>
      </c>
      <c r="N55" t="e" vm="39">
        <f>_xlfn.XLOOKUP($M55,$O:$O,$P:$P,"")</f>
        <v>#VALUE!</v>
      </c>
      <c r="O55" t="str">
        <v>HÄjÄ«ganj</v>
      </c>
      <c r="P55" t="s">
        <v>4039</v>
      </c>
    </row>
    <row r="56" spans="1:16" x14ac:dyDescent="0.25">
      <c r="A56">
        <v>56</v>
      </c>
      <c r="B56" t="str">
        <f t="shared" si="0"/>
        <v>Lewie</v>
      </c>
      <c r="C56" t="s">
        <v>277</v>
      </c>
      <c r="D56" t="s">
        <v>278</v>
      </c>
      <c r="E56" t="str">
        <f t="shared" si="1"/>
        <v>lgolder1j@howstuffworks.com</v>
      </c>
      <c r="F56" t="s">
        <v>279</v>
      </c>
      <c r="G56" t="s">
        <v>280</v>
      </c>
      <c r="H56" t="str">
        <f t="shared" si="2"/>
        <v>Other</v>
      </c>
      <c r="I56" t="str">
        <f>"+880"&amp;RIGHT(SUBSTITUTE(SUBSTITUTE($J56," ",""),"-",""),10)</f>
        <v>+8807505670648</v>
      </c>
      <c r="J56" t="s">
        <v>281</v>
      </c>
      <c r="K56" t="s">
        <v>13</v>
      </c>
      <c r="L56" t="str">
        <f>_xlfn.XLOOKUP($K$3,K:K,K:K,$K$2)</f>
        <v>Bangladesh</v>
      </c>
      <c r="M56" t="s">
        <v>282</v>
      </c>
      <c r="N56" t="e" vm="40">
        <f>_xlfn.XLOOKUP($M56,$O:$O,$P:$P,"")</f>
        <v>#VALUE!</v>
      </c>
      <c r="O56" t="str">
        <v>KÄlÄ«ganj</v>
      </c>
      <c r="P56" t="e" vm="50">
        <v>#VALUE!</v>
      </c>
    </row>
    <row r="57" spans="1:16" x14ac:dyDescent="0.25">
      <c r="A57">
        <v>57</v>
      </c>
      <c r="B57" t="str">
        <f t="shared" si="0"/>
        <v>Huntington</v>
      </c>
      <c r="C57" t="s">
        <v>283</v>
      </c>
      <c r="D57" t="s">
        <v>284</v>
      </c>
      <c r="E57" t="str">
        <f t="shared" si="1"/>
        <v>hleyband1k@last.fm</v>
      </c>
      <c r="F57" t="s">
        <v>285</v>
      </c>
      <c r="G57" t="s">
        <v>18</v>
      </c>
      <c r="H57" t="str">
        <f t="shared" si="2"/>
        <v>Male</v>
      </c>
      <c r="I57" t="str">
        <f>"+880"&amp;RIGHT(SUBSTITUTE(SUBSTITUTE($J57," ",""),"-",""),10)</f>
        <v>+8803575474147</v>
      </c>
      <c r="J57" t="s">
        <v>286</v>
      </c>
      <c r="K57" t="s">
        <v>13</v>
      </c>
      <c r="L57" t="str">
        <f>_xlfn.XLOOKUP($K$3,K:K,K:K,$K$2)</f>
        <v>Bangladesh</v>
      </c>
      <c r="M57" t="s">
        <v>287</v>
      </c>
      <c r="N57" t="e" vm="41">
        <f>_xlfn.XLOOKUP($M57,$O:$O,$P:$P,"")</f>
        <v>#VALUE!</v>
      </c>
      <c r="O57" t="str">
        <v>NawÄbganj</v>
      </c>
      <c r="P57" t="e" vm="51">
        <v>#VALUE!</v>
      </c>
    </row>
    <row r="58" spans="1:16" x14ac:dyDescent="0.25">
      <c r="A58">
        <v>60</v>
      </c>
      <c r="B58" t="str">
        <f t="shared" si="0"/>
        <v>Lu</v>
      </c>
      <c r="C58" t="s">
        <v>297</v>
      </c>
      <c r="D58" t="s">
        <v>298</v>
      </c>
      <c r="E58" t="str">
        <f t="shared" si="1"/>
        <v>lsexton1n@w3.org</v>
      </c>
      <c r="F58" t="s">
        <v>299</v>
      </c>
      <c r="G58" t="s">
        <v>11</v>
      </c>
      <c r="H58" t="str">
        <f t="shared" si="2"/>
        <v>Female</v>
      </c>
      <c r="I58" t="str">
        <f>"+880"&amp;RIGHT(SUBSTITUTE(SUBSTITUTE($J58," ",""),"-",""),10)</f>
        <v>+8807675187052</v>
      </c>
      <c r="J58" t="s">
        <v>300</v>
      </c>
      <c r="K58" t="s">
        <v>13</v>
      </c>
      <c r="L58" t="str">
        <f>_xlfn.XLOOKUP($K$3,K:K,K:K,$K$2)</f>
        <v>Bangladesh</v>
      </c>
      <c r="M58" t="s">
        <v>140</v>
      </c>
      <c r="N58" t="e" vm="21">
        <f>_xlfn.XLOOKUP($M58,$O:$O,$P:$P,"")</f>
        <v>#VALUE!</v>
      </c>
      <c r="O58" t="str">
        <v>Manikchari</v>
      </c>
      <c r="P58" t="e" vm="52">
        <v>#VALUE!</v>
      </c>
    </row>
    <row r="59" spans="1:16" x14ac:dyDescent="0.25">
      <c r="A59">
        <v>61</v>
      </c>
      <c r="B59" t="str">
        <f t="shared" si="0"/>
        <v>Gabriellia</v>
      </c>
      <c r="C59" t="s">
        <v>42</v>
      </c>
      <c r="D59" t="s">
        <v>301</v>
      </c>
      <c r="E59" t="str">
        <f t="shared" si="1"/>
        <v>gfrango1o@wikimedia.org</v>
      </c>
      <c r="F59" t="s">
        <v>302</v>
      </c>
      <c r="G59" t="s">
        <v>11</v>
      </c>
      <c r="H59" t="str">
        <f t="shared" si="2"/>
        <v>Female</v>
      </c>
      <c r="I59" t="str">
        <f>"+880"&amp;RIGHT(SUBSTITUTE(SUBSTITUTE($J59," ",""),"-",""),10)</f>
        <v>+8806496884737</v>
      </c>
      <c r="J59" t="s">
        <v>303</v>
      </c>
      <c r="K59" t="s">
        <v>13</v>
      </c>
      <c r="L59" t="str">
        <f>_xlfn.XLOOKUP($K$3,K:K,K:K,$K$2)</f>
        <v>Bangladesh</v>
      </c>
      <c r="M59" t="s">
        <v>101</v>
      </c>
      <c r="N59" t="e" vm="15">
        <f>_xlfn.XLOOKUP($M59,$O:$O,$P:$P,"")</f>
        <v>#VALUE!</v>
      </c>
      <c r="O59" t="str">
        <v>MÄdÄrÄ«pur</v>
      </c>
      <c r="P59" t="e" vm="53">
        <v>#VALUE!</v>
      </c>
    </row>
    <row r="60" spans="1:16" x14ac:dyDescent="0.25">
      <c r="A60">
        <v>62</v>
      </c>
      <c r="B60" t="str">
        <f t="shared" si="0"/>
        <v>Rochester</v>
      </c>
      <c r="C60" t="s">
        <v>304</v>
      </c>
      <c r="D60" t="s">
        <v>305</v>
      </c>
      <c r="E60" t="str">
        <f t="shared" si="1"/>
        <v>rarniz1p@creativecommons.org</v>
      </c>
      <c r="F60" t="s">
        <v>306</v>
      </c>
      <c r="G60" t="s">
        <v>18</v>
      </c>
      <c r="H60" t="str">
        <f t="shared" si="2"/>
        <v>Male</v>
      </c>
      <c r="I60" t="str">
        <f>"+880"&amp;RIGHT(SUBSTITUTE(SUBSTITUTE($J60," ",""),"-",""),10)</f>
        <v>+8805023651544</v>
      </c>
      <c r="J60" t="s">
        <v>307</v>
      </c>
      <c r="K60" t="s">
        <v>13</v>
      </c>
      <c r="L60" t="str">
        <f>_xlfn.XLOOKUP($K$3,K:K,K:K,$K$2)</f>
        <v>Bangladesh</v>
      </c>
      <c r="M60" t="s">
        <v>308</v>
      </c>
      <c r="N60" t="e" vm="42">
        <f>_xlfn.XLOOKUP($M60,$O:$O,$P:$P,"")</f>
        <v>#VALUE!</v>
      </c>
      <c r="O60" t="str">
        <v>FarÄ«dpur</v>
      </c>
      <c r="P60" t="e" vm="54">
        <v>#VALUE!</v>
      </c>
    </row>
    <row r="61" spans="1:16" x14ac:dyDescent="0.25">
      <c r="A61">
        <v>63</v>
      </c>
      <c r="B61" t="str">
        <f t="shared" si="0"/>
        <v>Balduin</v>
      </c>
      <c r="C61" t="s">
        <v>309</v>
      </c>
      <c r="D61" t="s">
        <v>310</v>
      </c>
      <c r="E61" t="str">
        <f t="shared" si="1"/>
        <v>bmedler1q@gravatar.com</v>
      </c>
      <c r="F61" t="s">
        <v>311</v>
      </c>
      <c r="G61" t="s">
        <v>18</v>
      </c>
      <c r="H61" t="str">
        <f t="shared" si="2"/>
        <v>Male</v>
      </c>
      <c r="I61" t="str">
        <f>"+880"&amp;RIGHT(SUBSTITUTE(SUBSTITUTE($J61," ",""),"-",""),10)</f>
        <v>+8804171074906</v>
      </c>
      <c r="J61" t="s">
        <v>312</v>
      </c>
      <c r="K61" t="s">
        <v>13</v>
      </c>
      <c r="L61" t="str">
        <f>_xlfn.XLOOKUP($K$3,K:K,K:K,$K$2)</f>
        <v>Bangladesh</v>
      </c>
      <c r="M61" t="s">
        <v>31</v>
      </c>
      <c r="N61" t="e" vm="4">
        <f>_xlfn.XLOOKUP($M61,$O:$O,$P:$P,"")</f>
        <v>#VALUE!</v>
      </c>
      <c r="O61" t="str">
        <v>Fatikchari</v>
      </c>
      <c r="P61" t="e" vm="55">
        <v>#VALUE!</v>
      </c>
    </row>
    <row r="62" spans="1:16" x14ac:dyDescent="0.25">
      <c r="A62">
        <v>64</v>
      </c>
      <c r="B62" t="str">
        <f t="shared" si="0"/>
        <v>Connie</v>
      </c>
      <c r="C62" t="s">
        <v>313</v>
      </c>
      <c r="D62" t="s">
        <v>314</v>
      </c>
      <c r="E62" t="str">
        <f t="shared" si="1"/>
        <v>cthomesson1r@mozilla.com</v>
      </c>
      <c r="F62" t="s">
        <v>315</v>
      </c>
      <c r="G62" t="s">
        <v>280</v>
      </c>
      <c r="H62" t="str">
        <f t="shared" si="2"/>
        <v>Other</v>
      </c>
      <c r="I62" t="str">
        <f>"+880"&amp;RIGHT(SUBSTITUTE(SUBSTITUTE($J62," ",""),"-",""),10)</f>
        <v>+8809482834744</v>
      </c>
      <c r="J62" t="s">
        <v>316</v>
      </c>
      <c r="K62" t="s">
        <v>13</v>
      </c>
      <c r="L62" t="str">
        <f>_xlfn.XLOOKUP($K$3,K:K,K:K,$K$2)</f>
        <v>Bangladesh</v>
      </c>
      <c r="M62" t="s">
        <v>317</v>
      </c>
      <c r="N62" t="e" vm="43">
        <f>_xlfn.XLOOKUP($M62,$O:$O,$P:$P,"")</f>
        <v>#VALUE!</v>
      </c>
      <c r="O62" t="str">
        <v>BurhÄnuddin</v>
      </c>
      <c r="P62" t="e" vm="56">
        <v>#VALUE!</v>
      </c>
    </row>
    <row r="63" spans="1:16" x14ac:dyDescent="0.25">
      <c r="A63">
        <v>65</v>
      </c>
      <c r="B63" t="str">
        <f t="shared" si="0"/>
        <v>Violette</v>
      </c>
      <c r="C63" t="s">
        <v>318</v>
      </c>
      <c r="D63" t="s">
        <v>319</v>
      </c>
      <c r="E63" t="str">
        <f t="shared" si="1"/>
        <v>vfildes1s@imgur.com</v>
      </c>
      <c r="F63" t="s">
        <v>320</v>
      </c>
      <c r="G63" t="s">
        <v>11</v>
      </c>
      <c r="H63" t="str">
        <f t="shared" si="2"/>
        <v>Female</v>
      </c>
      <c r="I63" t="str">
        <f>"+880"&amp;RIGHT(SUBSTITUTE(SUBSTITUTE($J63," ",""),"-",""),10)</f>
        <v>+8809726599486</v>
      </c>
      <c r="J63" t="s">
        <v>321</v>
      </c>
      <c r="K63" t="s">
        <v>13</v>
      </c>
      <c r="L63" t="str">
        <f>_xlfn.XLOOKUP($K$3,K:K,K:K,$K$2)</f>
        <v>Bangladesh</v>
      </c>
      <c r="M63" t="s">
        <v>322</v>
      </c>
      <c r="N63" t="e" vm="44">
        <f>_xlfn.XLOOKUP($M63,$O:$O,$P:$P,"")</f>
        <v>#VALUE!</v>
      </c>
      <c r="O63" t="str">
        <v>ShÄhzÄdpur</v>
      </c>
      <c r="P63" t="e" vm="57">
        <v>#VALUE!</v>
      </c>
    </row>
    <row r="64" spans="1:16" x14ac:dyDescent="0.25">
      <c r="A64">
        <v>66</v>
      </c>
      <c r="B64" t="str">
        <f t="shared" ref="B64:B102" si="3">PROPER(TRIM($C64))</f>
        <v>Em</v>
      </c>
      <c r="C64" t="s">
        <v>323</v>
      </c>
      <c r="D64" t="s">
        <v>324</v>
      </c>
      <c r="E64" t="str">
        <f t="shared" ref="E64:E102" si="4">LOWER(TRIM($F64))</f>
        <v>eokenden1t@jugem.jp</v>
      </c>
      <c r="F64" t="s">
        <v>325</v>
      </c>
      <c r="G64" t="s">
        <v>11</v>
      </c>
      <c r="H64" t="str">
        <f t="shared" ref="H64:H102" si="5">IF(OR($G64="M",LOWER($G64)="male"),"Male",
IF(OR($G64="F",LOWER($G64)="female"),"Female","Other"))</f>
        <v>Female</v>
      </c>
      <c r="I64" t="str">
        <f>"+880"&amp;RIGHT(SUBSTITUTE(SUBSTITUTE($J64," ",""),"-",""),10)</f>
        <v>+8809134724408</v>
      </c>
      <c r="J64" t="s">
        <v>326</v>
      </c>
      <c r="K64" t="s">
        <v>13</v>
      </c>
      <c r="L64" t="str">
        <f>_xlfn.XLOOKUP($K$3,K:K,K:K,$K$2)</f>
        <v>Bangladesh</v>
      </c>
      <c r="M64" t="s">
        <v>135</v>
      </c>
      <c r="N64" t="e" vm="20">
        <f>_xlfn.XLOOKUP($M64,$O:$O,$P:$P,"")</f>
        <v>#VALUE!</v>
      </c>
      <c r="O64" t="str">
        <v>Char BhadrÄsan</v>
      </c>
      <c r="P64" t="e" vm="58">
        <v>#VALUE!</v>
      </c>
    </row>
    <row r="65" spans="1:16" x14ac:dyDescent="0.25">
      <c r="A65">
        <v>68</v>
      </c>
      <c r="B65" t="str">
        <f t="shared" si="3"/>
        <v>Bryon</v>
      </c>
      <c r="C65" t="s">
        <v>332</v>
      </c>
      <c r="D65" t="s">
        <v>333</v>
      </c>
      <c r="E65" t="str">
        <f t="shared" si="4"/>
        <v>bkingett1v@unc.edu</v>
      </c>
      <c r="F65" t="s">
        <v>334</v>
      </c>
      <c r="G65" t="s">
        <v>18</v>
      </c>
      <c r="H65" t="str">
        <f t="shared" si="5"/>
        <v>Male</v>
      </c>
      <c r="I65" t="str">
        <f>"+880"&amp;RIGHT(SUBSTITUTE(SUBSTITUTE($J65," ",""),"-",""),10)</f>
        <v>+8803792130012</v>
      </c>
      <c r="J65" t="s">
        <v>335</v>
      </c>
      <c r="K65" t="s">
        <v>13</v>
      </c>
      <c r="L65" t="str">
        <f>_xlfn.XLOOKUP($K$3,K:K,K:K,$K$2)</f>
        <v>Bangladesh</v>
      </c>
      <c r="M65" t="s">
        <v>336</v>
      </c>
      <c r="N65" t="e" vm="45">
        <f>_xlfn.XLOOKUP($M65,$O:$O,$P:$P,"")</f>
        <v>#VALUE!</v>
      </c>
      <c r="O65" t="str">
        <v>BarisÄl</v>
      </c>
      <c r="P65" t="e" vm="59">
        <v>#VALUE!</v>
      </c>
    </row>
    <row r="66" spans="1:16" x14ac:dyDescent="0.25">
      <c r="A66">
        <v>69</v>
      </c>
      <c r="B66" t="str">
        <f t="shared" si="3"/>
        <v>Rica</v>
      </c>
      <c r="C66" t="s">
        <v>337</v>
      </c>
      <c r="D66" t="s">
        <v>338</v>
      </c>
      <c r="E66" t="str">
        <f t="shared" si="4"/>
        <v>rrew1w@trellian.com</v>
      </c>
      <c r="F66" t="s">
        <v>339</v>
      </c>
      <c r="G66" t="s">
        <v>11</v>
      </c>
      <c r="H66" t="str">
        <f t="shared" si="5"/>
        <v>Female</v>
      </c>
      <c r="I66" t="str">
        <f>"+880"&amp;RIGHT(SUBSTITUTE(SUBSTITUTE($J66," ",""),"-",""),10)</f>
        <v>+8804338250262</v>
      </c>
      <c r="J66" t="s">
        <v>340</v>
      </c>
      <c r="K66" t="s">
        <v>13</v>
      </c>
      <c r="L66" t="str">
        <f>_xlfn.XLOOKUP($K$3,K:K,K:K,$K$2)</f>
        <v>Bangladesh</v>
      </c>
      <c r="M66" t="s">
        <v>178</v>
      </c>
      <c r="N66" t="e" vm="27">
        <f>_xlfn.XLOOKUP($M66,$O:$O,$P:$P,"")</f>
        <v>#VALUE!</v>
      </c>
      <c r="O66" t="str">
        <v>Baniachang</v>
      </c>
      <c r="P66" t="e" vm="60">
        <v>#VALUE!</v>
      </c>
    </row>
    <row r="67" spans="1:16" x14ac:dyDescent="0.25">
      <c r="A67">
        <v>70</v>
      </c>
      <c r="B67" t="str">
        <f t="shared" si="3"/>
        <v>Bertina</v>
      </c>
      <c r="C67" t="s">
        <v>341</v>
      </c>
      <c r="D67" t="s">
        <v>342</v>
      </c>
      <c r="E67" t="str">
        <f t="shared" si="4"/>
        <v>bparlet1x@unblog.fr</v>
      </c>
      <c r="F67" t="s">
        <v>343</v>
      </c>
      <c r="G67" t="s">
        <v>11</v>
      </c>
      <c r="H67" t="str">
        <f t="shared" si="5"/>
        <v>Female</v>
      </c>
      <c r="I67" t="str">
        <f>"+880"&amp;RIGHT(SUBSTITUTE(SUBSTITUTE($J67," ",""),"-",""),10)</f>
        <v>+8804475245778</v>
      </c>
      <c r="J67" t="s">
        <v>344</v>
      </c>
      <c r="K67" t="s">
        <v>13</v>
      </c>
      <c r="L67" t="str">
        <f>_xlfn.XLOOKUP($K$3,K:K,K:K,$K$2)</f>
        <v>Bangladesh</v>
      </c>
      <c r="M67" t="s">
        <v>345</v>
      </c>
      <c r="N67" t="e" vm="46">
        <f>_xlfn.XLOOKUP($M67,$O:$O,$P:$P,"")</f>
        <v>#VALUE!</v>
      </c>
      <c r="O67" t="str">
        <v>Dhaka</v>
      </c>
      <c r="P67" t="e" vm="61">
        <v>#VALUE!</v>
      </c>
    </row>
    <row r="68" spans="1:16" x14ac:dyDescent="0.25">
      <c r="A68">
        <v>71</v>
      </c>
      <c r="B68" t="str">
        <f t="shared" si="3"/>
        <v>La Verne</v>
      </c>
      <c r="C68" t="s">
        <v>346</v>
      </c>
      <c r="D68" t="s">
        <v>347</v>
      </c>
      <c r="E68" t="str">
        <f t="shared" si="4"/>
        <v>lhassett1y@dion.ne.jp</v>
      </c>
      <c r="F68" t="s">
        <v>348</v>
      </c>
      <c r="G68" t="s">
        <v>11</v>
      </c>
      <c r="H68" t="str">
        <f t="shared" si="5"/>
        <v>Female</v>
      </c>
      <c r="I68" t="str">
        <f>"+880"&amp;RIGHT(SUBSTITUTE(SUBSTITUTE($J68," ",""),"-",""),10)</f>
        <v>+8803896076143</v>
      </c>
      <c r="J68" t="s">
        <v>349</v>
      </c>
      <c r="K68" t="s">
        <v>13</v>
      </c>
      <c r="L68" t="str">
        <f>_xlfn.XLOOKUP($K$3,K:K,K:K,$K$2)</f>
        <v>Bangladesh</v>
      </c>
      <c r="M68" t="s">
        <v>350</v>
      </c>
      <c r="N68" t="str">
        <f>_xlfn.XLOOKUP($M68,$O:$O,$P:$P,"")</f>
        <v>Pir Naogaon</v>
      </c>
      <c r="O68" t="str">
        <v>Joypur HÄt</v>
      </c>
      <c r="P68" t="e" vm="62">
        <v>#VALUE!</v>
      </c>
    </row>
    <row r="69" spans="1:16" x14ac:dyDescent="0.25">
      <c r="A69">
        <v>72</v>
      </c>
      <c r="B69" t="str">
        <f t="shared" si="3"/>
        <v>Georgiana</v>
      </c>
      <c r="C69" t="s">
        <v>351</v>
      </c>
      <c r="D69" t="s">
        <v>352</v>
      </c>
      <c r="E69" t="str">
        <f t="shared" si="4"/>
        <v>gnaisey1z@ifeng.com</v>
      </c>
      <c r="F69" t="s">
        <v>353</v>
      </c>
      <c r="G69" t="s">
        <v>11</v>
      </c>
      <c r="H69" t="str">
        <f t="shared" si="5"/>
        <v>Female</v>
      </c>
      <c r="I69" t="str">
        <f>"+880"&amp;RIGHT(SUBSTITUTE(SUBSTITUTE($J69," ",""),"-",""),10)</f>
        <v>+8809428198688</v>
      </c>
      <c r="J69" t="s">
        <v>354</v>
      </c>
      <c r="K69" t="s">
        <v>13</v>
      </c>
      <c r="L69" t="str">
        <f>_xlfn.XLOOKUP($K$3,K:K,K:K,$K$2)</f>
        <v>Bangladesh</v>
      </c>
      <c r="M69" t="s">
        <v>308</v>
      </c>
      <c r="N69" t="e" vm="42">
        <f>_xlfn.XLOOKUP($M69,$O:$O,$P:$P,"")</f>
        <v>#VALUE!</v>
      </c>
      <c r="O69" t="str">
        <v>Nowlamary</v>
      </c>
      <c r="P69" t="e" vm="63">
        <v>#VALUE!</v>
      </c>
    </row>
    <row r="70" spans="1:16" x14ac:dyDescent="0.25">
      <c r="A70">
        <v>74</v>
      </c>
      <c r="B70" t="str">
        <f t="shared" si="3"/>
        <v>Rora</v>
      </c>
      <c r="C70" t="s">
        <v>361</v>
      </c>
      <c r="D70" t="s">
        <v>362</v>
      </c>
      <c r="E70" t="str">
        <f t="shared" si="4"/>
        <v>rhennington21@g.co</v>
      </c>
      <c r="F70" t="s">
        <v>363</v>
      </c>
      <c r="G70" t="s">
        <v>11</v>
      </c>
      <c r="H70" t="str">
        <f t="shared" si="5"/>
        <v>Female</v>
      </c>
      <c r="I70" t="str">
        <f>"+880"&amp;RIGHT(SUBSTITUTE(SUBSTITUTE($J70," ",""),"-",""),10)</f>
        <v>+8805787032099</v>
      </c>
      <c r="J70" t="s">
        <v>364</v>
      </c>
      <c r="K70" t="s">
        <v>13</v>
      </c>
      <c r="L70" t="str">
        <f>_xlfn.XLOOKUP($K$3,K:K,K:K,$K$2)</f>
        <v>Bangladesh</v>
      </c>
      <c r="M70" t="s">
        <v>365</v>
      </c>
      <c r="N70" t="e" vm="47">
        <f>_xlfn.XLOOKUP($M70,$O:$O,$P:$P,"")</f>
        <v>#VALUE!</v>
      </c>
      <c r="O70" t="str">
        <v>Parbatipur</v>
      </c>
      <c r="P70" t="e" vm="64">
        <v>#VALUE!</v>
      </c>
    </row>
    <row r="71" spans="1:16" x14ac:dyDescent="0.25">
      <c r="A71">
        <v>76</v>
      </c>
      <c r="B71" t="str">
        <f t="shared" si="3"/>
        <v>Uriah</v>
      </c>
      <c r="C71" t="s">
        <v>370</v>
      </c>
      <c r="D71" t="s">
        <v>371</v>
      </c>
      <c r="E71" t="str">
        <f t="shared" si="4"/>
        <v>umcclary23@sphinn.com</v>
      </c>
      <c r="F71" t="s">
        <v>372</v>
      </c>
      <c r="G71" t="s">
        <v>18</v>
      </c>
      <c r="H71" t="str">
        <f t="shared" si="5"/>
        <v>Male</v>
      </c>
      <c r="I71" t="str">
        <f>"+880"&amp;RIGHT(SUBSTITUTE(SUBSTITUTE($J71," ",""),"-",""),10)</f>
        <v>+8808226588084</v>
      </c>
      <c r="J71" t="s">
        <v>373</v>
      </c>
      <c r="K71" t="s">
        <v>13</v>
      </c>
      <c r="L71" t="str">
        <f>_xlfn.XLOOKUP($K$3,K:K,K:K,$K$2)</f>
        <v>Bangladesh</v>
      </c>
      <c r="M71" t="s">
        <v>374</v>
      </c>
      <c r="N71" t="e" vm="48">
        <f>_xlfn.XLOOKUP($M71,$O:$O,$P:$P,"")</f>
        <v>#VALUE!</v>
      </c>
      <c r="O71" t="str">
        <v>Rangpur</v>
      </c>
      <c r="P71" t="e" vm="65">
        <v>#VALUE!</v>
      </c>
    </row>
    <row r="72" spans="1:16" x14ac:dyDescent="0.25">
      <c r="A72">
        <v>77</v>
      </c>
      <c r="B72" t="str">
        <f t="shared" si="3"/>
        <v>Kenon</v>
      </c>
      <c r="C72" t="s">
        <v>375</v>
      </c>
      <c r="D72" t="s">
        <v>376</v>
      </c>
      <c r="E72" t="str">
        <f t="shared" si="4"/>
        <v>kbellon24@noaa.gov</v>
      </c>
      <c r="F72" t="s">
        <v>377</v>
      </c>
      <c r="G72" t="s">
        <v>18</v>
      </c>
      <c r="H72" t="str">
        <f t="shared" si="5"/>
        <v>Male</v>
      </c>
      <c r="I72" t="str">
        <f>"+880"&amp;RIGHT(SUBSTITUTE(SUBSTITUTE($J72," ",""),"-",""),10)</f>
        <v>+8803398387658</v>
      </c>
      <c r="J72" t="s">
        <v>378</v>
      </c>
      <c r="K72" t="s">
        <v>13</v>
      </c>
      <c r="L72" t="str">
        <f>_xlfn.XLOOKUP($K$3,K:K,K:K,$K$2)</f>
        <v>Bangladesh</v>
      </c>
      <c r="M72" t="s">
        <v>379</v>
      </c>
      <c r="N72" t="e" vm="49">
        <f>_xlfn.XLOOKUP($M72,$O:$O,$P:$P,"")</f>
        <v>#VALUE!</v>
      </c>
      <c r="O72" t="str">
        <v>Badarganj</v>
      </c>
      <c r="P72" t="e" vm="66">
        <v>#VALUE!</v>
      </c>
    </row>
    <row r="73" spans="1:16" x14ac:dyDescent="0.25">
      <c r="A73">
        <v>78</v>
      </c>
      <c r="B73" t="str">
        <f t="shared" si="3"/>
        <v>Ange</v>
      </c>
      <c r="C73" t="s">
        <v>4026</v>
      </c>
      <c r="D73" t="s">
        <v>381</v>
      </c>
      <c r="E73" t="str">
        <f t="shared" si="4"/>
        <v>ahaydock25@jigsy.com</v>
      </c>
      <c r="F73" t="s">
        <v>382</v>
      </c>
      <c r="G73" t="s">
        <v>11</v>
      </c>
      <c r="H73" t="str">
        <f t="shared" si="5"/>
        <v>Female</v>
      </c>
      <c r="I73" t="str">
        <f>"+880"&amp;RIGHT(SUBSTITUTE(SUBSTITUTE($J73," ",""),"-",""),10)</f>
        <v>+8806249663077</v>
      </c>
      <c r="J73" t="s">
        <v>383</v>
      </c>
      <c r="K73" t="s">
        <v>13</v>
      </c>
      <c r="L73" t="str">
        <f>_xlfn.XLOOKUP($K$3,K:K,K:K,$K$2)</f>
        <v>Bangladesh</v>
      </c>
      <c r="M73" t="s">
        <v>91</v>
      </c>
      <c r="N73" t="e" vm="13">
        <f>_xlfn.XLOOKUP($M73,$O:$O,$P:$P,"")</f>
        <v>#VALUE!</v>
      </c>
      <c r="O73" t="str">
        <v>ChhÄtak</v>
      </c>
      <c r="P73" t="e" vm="67">
        <v>#VALUE!</v>
      </c>
    </row>
    <row r="74" spans="1:16" x14ac:dyDescent="0.25">
      <c r="A74">
        <v>79</v>
      </c>
      <c r="B74" t="str">
        <f t="shared" si="3"/>
        <v>Janel</v>
      </c>
      <c r="C74" t="s">
        <v>384</v>
      </c>
      <c r="D74" t="s">
        <v>385</v>
      </c>
      <c r="E74" t="str">
        <f t="shared" si="4"/>
        <v>jgotfrey26@taobao.com</v>
      </c>
      <c r="F74" t="s">
        <v>386</v>
      </c>
      <c r="G74" t="s">
        <v>274</v>
      </c>
      <c r="H74" t="str">
        <f t="shared" si="5"/>
        <v>Other</v>
      </c>
      <c r="I74" t="str">
        <f>"+880"&amp;RIGHT(SUBSTITUTE(SUBSTITUTE($J74," ",""),"-",""),10)</f>
        <v>+8808331772931</v>
      </c>
      <c r="J74" t="s">
        <v>387</v>
      </c>
      <c r="K74" t="s">
        <v>13</v>
      </c>
      <c r="L74" t="str">
        <f>_xlfn.XLOOKUP($K$3,K:K,K:K,$K$2)</f>
        <v>Bangladesh</v>
      </c>
      <c r="M74" t="s">
        <v>56</v>
      </c>
      <c r="N74" t="e" vm="6">
        <f>_xlfn.XLOOKUP($M74,$O:$O,$P:$P,"")</f>
        <v>#VALUE!</v>
      </c>
      <c r="O74" t="str">
        <v>ChhÄgalnÄiya</v>
      </c>
      <c r="P74" t="e" vm="68">
        <v>#VALUE!</v>
      </c>
    </row>
    <row r="75" spans="1:16" x14ac:dyDescent="0.25">
      <c r="A75">
        <v>80</v>
      </c>
      <c r="B75" t="str">
        <f t="shared" si="3"/>
        <v>Rhodia</v>
      </c>
      <c r="C75" t="s">
        <v>388</v>
      </c>
      <c r="D75" t="s">
        <v>389</v>
      </c>
      <c r="E75" t="str">
        <f t="shared" si="4"/>
        <v>rcleft27@auda.org.au</v>
      </c>
      <c r="F75" t="s">
        <v>390</v>
      </c>
      <c r="G75" t="s">
        <v>11</v>
      </c>
      <c r="H75" t="str">
        <f t="shared" si="5"/>
        <v>Female</v>
      </c>
      <c r="I75" t="str">
        <f>"+880"&amp;RIGHT(SUBSTITUTE(SUBSTITUTE($J75," ",""),"-",""),10)</f>
        <v>+8809152240054</v>
      </c>
      <c r="J75" t="s">
        <v>391</v>
      </c>
      <c r="K75" t="s">
        <v>13</v>
      </c>
      <c r="L75" t="str">
        <f>_xlfn.XLOOKUP($K$3,K:K,K:K,$K$2)</f>
        <v>Bangladesh</v>
      </c>
      <c r="M75" t="s">
        <v>154</v>
      </c>
      <c r="N75" t="e" vm="23">
        <f>_xlfn.XLOOKUP($M75,$O:$O,$P:$P,"")</f>
        <v>#VALUE!</v>
      </c>
      <c r="O75" t="str">
        <v>TeknÄf</v>
      </c>
      <c r="P75" t="s">
        <v>4041</v>
      </c>
    </row>
    <row r="76" spans="1:16" x14ac:dyDescent="0.25">
      <c r="A76">
        <v>81</v>
      </c>
      <c r="B76" t="str">
        <f t="shared" si="3"/>
        <v>Val</v>
      </c>
      <c r="C76" t="s">
        <v>392</v>
      </c>
      <c r="D76" t="s">
        <v>393</v>
      </c>
      <c r="E76" t="str">
        <f t="shared" si="4"/>
        <v>vodell28@auda.org.au</v>
      </c>
      <c r="F76" t="s">
        <v>394</v>
      </c>
      <c r="G76" t="s">
        <v>274</v>
      </c>
      <c r="H76" t="str">
        <f t="shared" si="5"/>
        <v>Other</v>
      </c>
      <c r="I76" t="str">
        <f>"+880"&amp;RIGHT(SUBSTITUTE(SUBSTITUTE($J76," ",""),"-",""),10)</f>
        <v>+8805085976466</v>
      </c>
      <c r="J76" t="s">
        <v>395</v>
      </c>
      <c r="K76" t="s">
        <v>13</v>
      </c>
      <c r="L76" t="str">
        <f>_xlfn.XLOOKUP($K$3,K:K,K:K,$K$2)</f>
        <v>Bangladesh</v>
      </c>
      <c r="M76" t="s">
        <v>287</v>
      </c>
      <c r="N76" t="e" vm="41">
        <f>_xlfn.XLOOKUP($M76,$O:$O,$P:$P,"")</f>
        <v>#VALUE!</v>
      </c>
      <c r="O76" t="str">
        <v>NÄgarpur</v>
      </c>
      <c r="P76" t="e" vm="69">
        <v>#VALUE!</v>
      </c>
    </row>
    <row r="77" spans="1:16" x14ac:dyDescent="0.25">
      <c r="A77">
        <v>82</v>
      </c>
      <c r="B77" t="str">
        <f t="shared" si="3"/>
        <v>Thorin</v>
      </c>
      <c r="C77" t="s">
        <v>150</v>
      </c>
      <c r="D77" t="s">
        <v>396</v>
      </c>
      <c r="E77" t="str">
        <f t="shared" si="4"/>
        <v>tdanielovitch29@storify.com</v>
      </c>
      <c r="F77" t="s">
        <v>397</v>
      </c>
      <c r="G77" t="s">
        <v>18</v>
      </c>
      <c r="H77" t="str">
        <f t="shared" si="5"/>
        <v>Male</v>
      </c>
      <c r="I77" t="str">
        <f>"+880"&amp;RIGHT(SUBSTITUTE(SUBSTITUTE($J77," ",""),"-",""),10)</f>
        <v>+8802786793581</v>
      </c>
      <c r="J77" t="s">
        <v>398</v>
      </c>
      <c r="K77" t="s">
        <v>13</v>
      </c>
      <c r="L77" t="str">
        <f>_xlfn.XLOOKUP($K$3,K:K,K:K,$K$2)</f>
        <v>Bangladesh</v>
      </c>
      <c r="M77" t="s">
        <v>399</v>
      </c>
      <c r="N77" t="str">
        <f>_xlfn.XLOOKUP($M77,$O:$O,$P:$P,"")</f>
        <v>Jhingergacha</v>
      </c>
      <c r="O77" t="str">
        <v>ChilmÄri</v>
      </c>
      <c r="P77" t="e" vm="70">
        <v>#VALUE!</v>
      </c>
    </row>
    <row r="78" spans="1:16" x14ac:dyDescent="0.25">
      <c r="A78">
        <v>83</v>
      </c>
      <c r="B78" t="str">
        <f t="shared" si="3"/>
        <v>Gavin</v>
      </c>
      <c r="C78" t="s">
        <v>400</v>
      </c>
      <c r="D78" t="s">
        <v>401</v>
      </c>
      <c r="E78" t="str">
        <f t="shared" si="4"/>
        <v>glawrey2a@google.nl</v>
      </c>
      <c r="F78" t="s">
        <v>402</v>
      </c>
      <c r="G78" t="s">
        <v>18</v>
      </c>
      <c r="H78" t="str">
        <f t="shared" si="5"/>
        <v>Male</v>
      </c>
      <c r="I78" t="str">
        <f>"+880"&amp;RIGHT(SUBSTITUTE(SUBSTITUTE($J78," ",""),"-",""),10)</f>
        <v>+8802496961801</v>
      </c>
      <c r="J78" t="s">
        <v>403</v>
      </c>
      <c r="K78" t="s">
        <v>13</v>
      </c>
      <c r="L78" t="str">
        <f>_xlfn.XLOOKUP($K$3,K:K,K:K,$K$2)</f>
        <v>Bangladesh</v>
      </c>
      <c r="M78" t="s">
        <v>404</v>
      </c>
      <c r="N78" t="e" vm="50">
        <f>_xlfn.XLOOKUP($M78,$O:$O,$P:$P,"")</f>
        <v>#VALUE!</v>
      </c>
      <c r="O78" t="str">
        <v>PÄ«rgaaj</v>
      </c>
      <c r="P78" t="e" vm="71">
        <v>#VALUE!</v>
      </c>
    </row>
    <row r="79" spans="1:16" x14ac:dyDescent="0.25">
      <c r="A79">
        <v>84</v>
      </c>
      <c r="B79" t="str">
        <f t="shared" si="3"/>
        <v>Ailina</v>
      </c>
      <c r="C79" t="s">
        <v>405</v>
      </c>
      <c r="D79" t="s">
        <v>406</v>
      </c>
      <c r="E79" t="str">
        <f t="shared" si="4"/>
        <v>amcvicar2b@amazon.co.uk</v>
      </c>
      <c r="F79" t="s">
        <v>407</v>
      </c>
      <c r="G79" t="s">
        <v>11</v>
      </c>
      <c r="H79" t="str">
        <f t="shared" si="5"/>
        <v>Female</v>
      </c>
      <c r="I79" t="str">
        <f>"+880"&amp;RIGHT(SUBSTITUTE(SUBSTITUTE($J79," ",""),"-",""),10)</f>
        <v>+8807692389574</v>
      </c>
      <c r="J79" t="s">
        <v>408</v>
      </c>
      <c r="K79" t="s">
        <v>13</v>
      </c>
      <c r="L79" t="str">
        <f>_xlfn.XLOOKUP($K$3,K:K,K:K,$K$2)</f>
        <v>Bangladesh</v>
      </c>
      <c r="M79" t="s">
        <v>125</v>
      </c>
      <c r="N79" t="e" vm="18">
        <f>_xlfn.XLOOKUP($M79,$O:$O,$P:$P,"")</f>
        <v>#VALUE!</v>
      </c>
      <c r="O79" t="str">
        <v>ThÄkurgaon</v>
      </c>
      <c r="P79" t="e" vm="72">
        <v>#VALUE!</v>
      </c>
    </row>
    <row r="80" spans="1:16" x14ac:dyDescent="0.25">
      <c r="A80">
        <v>85</v>
      </c>
      <c r="B80" t="str">
        <f t="shared" si="3"/>
        <v>Norman</v>
      </c>
      <c r="C80" t="s">
        <v>409</v>
      </c>
      <c r="D80" t="s">
        <v>410</v>
      </c>
      <c r="E80" t="str">
        <f t="shared" si="4"/>
        <v>nstancer2c@free.fr</v>
      </c>
      <c r="F80" t="s">
        <v>411</v>
      </c>
      <c r="G80" t="s">
        <v>18</v>
      </c>
      <c r="H80" t="str">
        <f t="shared" si="5"/>
        <v>Male</v>
      </c>
      <c r="I80" t="str">
        <f>"+880"&amp;RIGHT(SUBSTITUTE(SUBSTITUTE($J80," ",""),"-",""),10)</f>
        <v>+8807846321624</v>
      </c>
      <c r="J80" t="s">
        <v>412</v>
      </c>
      <c r="K80" t="s">
        <v>13</v>
      </c>
      <c r="L80" t="str">
        <f>_xlfn.XLOOKUP($K$3,K:K,K:K,$K$2)</f>
        <v>Bangladesh</v>
      </c>
      <c r="M80" t="s">
        <v>71</v>
      </c>
      <c r="N80" t="e" vm="9">
        <f>_xlfn.XLOOKUP($M80,$O:$O,$P:$P,"")</f>
        <v>#VALUE!</v>
      </c>
      <c r="O80" t="str">
        <v>Ishurdi</v>
      </c>
      <c r="P80" t="e" vm="73">
        <v>#VALUE!</v>
      </c>
    </row>
    <row r="81" spans="1:16" x14ac:dyDescent="0.25">
      <c r="A81">
        <v>86</v>
      </c>
      <c r="B81" t="str">
        <f t="shared" si="3"/>
        <v>Carina</v>
      </c>
      <c r="C81" t="s">
        <v>413</v>
      </c>
      <c r="D81" t="s">
        <v>414</v>
      </c>
      <c r="E81" t="str">
        <f t="shared" si="4"/>
        <v>cbaytrop2d@dropbox.com</v>
      </c>
      <c r="F81" t="s">
        <v>415</v>
      </c>
      <c r="G81" t="s">
        <v>11</v>
      </c>
      <c r="H81" t="str">
        <f t="shared" si="5"/>
        <v>Female</v>
      </c>
      <c r="I81" t="str">
        <f>"+880"&amp;RIGHT(SUBSTITUTE(SUBSTITUTE($J81," ",""),"-",""),10)</f>
        <v>+8802311445091</v>
      </c>
      <c r="J81" t="s">
        <v>416</v>
      </c>
      <c r="K81" t="s">
        <v>13</v>
      </c>
      <c r="L81" t="str">
        <f>_xlfn.XLOOKUP($K$3,K:K,K:K,$K$2)</f>
        <v>Bangladesh</v>
      </c>
      <c r="M81" t="s">
        <v>154</v>
      </c>
      <c r="N81" t="e" vm="23">
        <f>_xlfn.XLOOKUP($M81,$O:$O,$P:$P,"")</f>
        <v>#VALUE!</v>
      </c>
      <c r="O81" t="str">
        <v>Chittagong</v>
      </c>
      <c r="P81" t="e" vm="74">
        <v>#VALUE!</v>
      </c>
    </row>
    <row r="82" spans="1:16" x14ac:dyDescent="0.25">
      <c r="A82">
        <v>87</v>
      </c>
      <c r="B82" t="str">
        <f t="shared" si="3"/>
        <v>Xenos</v>
      </c>
      <c r="C82" t="s">
        <v>417</v>
      </c>
      <c r="D82" t="s">
        <v>418</v>
      </c>
      <c r="E82" t="str">
        <f t="shared" si="4"/>
        <v>xmills2e@last.fm</v>
      </c>
      <c r="F82" t="s">
        <v>419</v>
      </c>
      <c r="G82" t="s">
        <v>18</v>
      </c>
      <c r="H82" t="str">
        <f t="shared" si="5"/>
        <v>Male</v>
      </c>
      <c r="I82" t="str">
        <f>"+880"&amp;RIGHT(SUBSTITUTE(SUBSTITUTE($J82," ",""),"-",""),10)</f>
        <v>+8803075792258</v>
      </c>
      <c r="J82" t="s">
        <v>420</v>
      </c>
      <c r="K82" t="s">
        <v>13</v>
      </c>
      <c r="L82" t="str">
        <f>_xlfn.XLOOKUP($K$3,K:K,K:K,$K$2)</f>
        <v>Bangladesh</v>
      </c>
      <c r="M82" t="s">
        <v>215</v>
      </c>
      <c r="N82" t="e" vm="32">
        <f>_xlfn.XLOOKUP($M82,$O:$O,$P:$P,"")</f>
        <v>#VALUE!</v>
      </c>
      <c r="O82" t="str">
        <v>BÄjitpur</v>
      </c>
      <c r="P82" t="e" vm="75">
        <v>#VALUE!</v>
      </c>
    </row>
    <row r="83" spans="1:16" x14ac:dyDescent="0.25">
      <c r="A83">
        <v>88</v>
      </c>
      <c r="B83" t="str">
        <f t="shared" si="3"/>
        <v>Vale</v>
      </c>
      <c r="C83" t="s">
        <v>421</v>
      </c>
      <c r="D83" t="s">
        <v>422</v>
      </c>
      <c r="E83" t="str">
        <f t="shared" si="4"/>
        <v>vfreiburger2f@sitemeter.com</v>
      </c>
      <c r="F83" t="s">
        <v>423</v>
      </c>
      <c r="G83" t="s">
        <v>18</v>
      </c>
      <c r="H83" t="str">
        <f t="shared" si="5"/>
        <v>Male</v>
      </c>
      <c r="I83" t="str">
        <f>"+880"&amp;RIGHT(SUBSTITUTE(SUBSTITUTE($J83," ",""),"-",""),10)</f>
        <v>+8808881771930</v>
      </c>
      <c r="J83" t="s">
        <v>424</v>
      </c>
      <c r="K83" t="s">
        <v>13</v>
      </c>
      <c r="L83" t="str">
        <f>_xlfn.XLOOKUP($K$3,K:K,K:K,$K$2)</f>
        <v>Bangladesh</v>
      </c>
      <c r="M83" t="s">
        <v>425</v>
      </c>
      <c r="N83" t="e" vm="51">
        <f>_xlfn.XLOOKUP($M83,$O:$O,$P:$P,"")</f>
        <v>#VALUE!</v>
      </c>
      <c r="O83" t="str">
        <v>Maulavi BÄzÄr</v>
      </c>
      <c r="P83" t="e" vm="76">
        <v>#VALUE!</v>
      </c>
    </row>
    <row r="84" spans="1:16" x14ac:dyDescent="0.25">
      <c r="A84">
        <v>89</v>
      </c>
      <c r="B84" t="str">
        <f t="shared" si="3"/>
        <v>Yance</v>
      </c>
      <c r="C84" t="s">
        <v>426</v>
      </c>
      <c r="D84" t="s">
        <v>427</v>
      </c>
      <c r="E84" t="str">
        <f t="shared" si="4"/>
        <v>ywhistlecraft2g@bluehost.com</v>
      </c>
      <c r="F84" t="s">
        <v>428</v>
      </c>
      <c r="G84" t="s">
        <v>18</v>
      </c>
      <c r="H84" t="str">
        <f t="shared" si="5"/>
        <v>Male</v>
      </c>
      <c r="I84" t="str">
        <f>"+880"&amp;RIGHT(SUBSTITUTE(SUBSTITUTE($J84," ",""),"-",""),10)</f>
        <v>+8807328253960</v>
      </c>
      <c r="J84" t="s">
        <v>429</v>
      </c>
      <c r="K84" t="s">
        <v>13</v>
      </c>
      <c r="L84" t="str">
        <f>_xlfn.XLOOKUP($K$3,K:K,K:K,$K$2)</f>
        <v>Bangladesh</v>
      </c>
      <c r="M84" t="s">
        <v>81</v>
      </c>
      <c r="N84" t="e" vm="11">
        <f>_xlfn.XLOOKUP($M84,$O:$O,$P:$P,"")</f>
        <v>#VALUE!</v>
      </c>
      <c r="O84" t="str">
        <v>Nageswari</v>
      </c>
      <c r="P84" t="e" vm="77">
        <v>#VALUE!</v>
      </c>
    </row>
    <row r="85" spans="1:16" x14ac:dyDescent="0.25">
      <c r="A85">
        <v>90</v>
      </c>
      <c r="B85" t="str">
        <f t="shared" si="3"/>
        <v>Daniel</v>
      </c>
      <c r="C85" t="s">
        <v>430</v>
      </c>
      <c r="D85" t="s">
        <v>431</v>
      </c>
      <c r="E85" t="str">
        <f t="shared" si="4"/>
        <v>dbonfield2h@elpais.com</v>
      </c>
      <c r="F85" t="s">
        <v>432</v>
      </c>
      <c r="G85" t="s">
        <v>18</v>
      </c>
      <c r="H85" t="str">
        <f t="shared" si="5"/>
        <v>Male</v>
      </c>
      <c r="I85" t="str">
        <f>"+880"&amp;RIGHT(SUBSTITUTE(SUBSTITUTE($J85," ",""),"-",""),10)</f>
        <v>+8803985424889</v>
      </c>
      <c r="J85" t="s">
        <v>433</v>
      </c>
      <c r="K85" t="s">
        <v>13</v>
      </c>
      <c r="L85" t="str">
        <f>_xlfn.XLOOKUP($K$3,K:K,K:K,$K$2)</f>
        <v>Bangladesh</v>
      </c>
      <c r="M85" t="s">
        <v>46</v>
      </c>
      <c r="N85" t="e" vm="5">
        <f>_xlfn.XLOOKUP($M85,$O:$O,$P:$P,"")</f>
        <v>#VALUE!</v>
      </c>
      <c r="O85" t="str">
        <v>Sherpur</v>
      </c>
      <c r="P85" t="e" vm="78">
        <v>#VALUE!</v>
      </c>
    </row>
    <row r="86" spans="1:16" x14ac:dyDescent="0.25">
      <c r="A86">
        <v>91</v>
      </c>
      <c r="B86" t="str">
        <f t="shared" si="3"/>
        <v>Anny</v>
      </c>
      <c r="C86" t="s">
        <v>434</v>
      </c>
      <c r="D86" t="s">
        <v>435</v>
      </c>
      <c r="E86" t="str">
        <f t="shared" si="4"/>
        <v>adowd2i@microsoft.com</v>
      </c>
      <c r="F86" t="s">
        <v>436</v>
      </c>
      <c r="G86" t="s">
        <v>11</v>
      </c>
      <c r="H86" t="str">
        <f t="shared" si="5"/>
        <v>Female</v>
      </c>
      <c r="I86" t="str">
        <f>"+880"&amp;RIGHT(SUBSTITUTE(SUBSTITUTE($J86," ",""),"-",""),10)</f>
        <v>+8808186736991</v>
      </c>
      <c r="J86" t="s">
        <v>437</v>
      </c>
      <c r="K86" t="s">
        <v>13</v>
      </c>
      <c r="L86" t="str">
        <f>_xlfn.XLOOKUP($K$3,K:K,K:K,$K$2)</f>
        <v>Bangladesh</v>
      </c>
      <c r="M86" t="s">
        <v>438</v>
      </c>
      <c r="N86" t="e" vm="52">
        <f>_xlfn.XLOOKUP($M86,$O:$O,$P:$P,"")</f>
        <v>#VALUE!</v>
      </c>
      <c r="O86" t="str">
        <v>Pirojpur</v>
      </c>
      <c r="P86" t="e" vm="79">
        <v>#VALUE!</v>
      </c>
    </row>
    <row r="87" spans="1:16" x14ac:dyDescent="0.25">
      <c r="A87">
        <v>92</v>
      </c>
      <c r="B87" t="str">
        <f t="shared" si="3"/>
        <v>Lorna</v>
      </c>
      <c r="C87" t="s">
        <v>439</v>
      </c>
      <c r="D87" t="s">
        <v>440</v>
      </c>
      <c r="E87" t="str">
        <f t="shared" si="4"/>
        <v>lchaize2j@php.net</v>
      </c>
      <c r="F87" t="s">
        <v>441</v>
      </c>
      <c r="G87" t="s">
        <v>11</v>
      </c>
      <c r="H87" t="str">
        <f t="shared" si="5"/>
        <v>Female</v>
      </c>
      <c r="I87" t="str">
        <f>"+880"&amp;RIGHT(SUBSTITUTE(SUBSTITUTE($J87," ",""),"-",""),10)</f>
        <v>+8806968905351</v>
      </c>
      <c r="J87" t="s">
        <v>442</v>
      </c>
      <c r="K87" t="s">
        <v>13</v>
      </c>
      <c r="L87" t="str">
        <f>_xlfn.XLOOKUP($K$3,K:K,K:K,$K$2)</f>
        <v>Bangladesh</v>
      </c>
      <c r="M87" t="s">
        <v>252</v>
      </c>
      <c r="N87" t="e" vm="36">
        <f>_xlfn.XLOOKUP($M87,$O:$O,$P:$P,"")</f>
        <v>#VALUE!</v>
      </c>
      <c r="O87" t="str">
        <v>Patiya</v>
      </c>
      <c r="P87" t="e" vm="80">
        <v>#VALUE!</v>
      </c>
    </row>
    <row r="88" spans="1:16" x14ac:dyDescent="0.25">
      <c r="A88">
        <v>93</v>
      </c>
      <c r="B88" t="str">
        <f t="shared" si="3"/>
        <v>Callean</v>
      </c>
      <c r="C88" t="s">
        <v>443</v>
      </c>
      <c r="D88" t="s">
        <v>444</v>
      </c>
      <c r="E88" t="str">
        <f t="shared" si="4"/>
        <v>cmelby2k@cbc.ca</v>
      </c>
      <c r="F88" t="s">
        <v>445</v>
      </c>
      <c r="G88" t="s">
        <v>18</v>
      </c>
      <c r="H88" t="str">
        <f t="shared" si="5"/>
        <v>Male</v>
      </c>
      <c r="I88" t="str">
        <f>"+880"&amp;RIGHT(SUBSTITUTE(SUBSTITUTE($J88," ",""),"-",""),10)</f>
        <v>+8804441077504</v>
      </c>
      <c r="J88" t="s">
        <v>446</v>
      </c>
      <c r="K88" t="s">
        <v>13</v>
      </c>
      <c r="L88" t="str">
        <f>_xlfn.XLOOKUP($K$3,K:K,K:K,$K$2)</f>
        <v>Bangladesh</v>
      </c>
      <c r="M88" t="s">
        <v>365</v>
      </c>
      <c r="N88" t="e" vm="47">
        <f>_xlfn.XLOOKUP($M88,$O:$O,$P:$P,"")</f>
        <v>#VALUE!</v>
      </c>
      <c r="O88" t="str">
        <v>Mymensingh</v>
      </c>
      <c r="P88" t="e" vm="81">
        <v>#VALUE!</v>
      </c>
    </row>
    <row r="89" spans="1:16" x14ac:dyDescent="0.25">
      <c r="A89">
        <v>95</v>
      </c>
      <c r="B89" t="str">
        <f t="shared" si="3"/>
        <v>Didi</v>
      </c>
      <c r="C89" t="s">
        <v>451</v>
      </c>
      <c r="D89" t="s">
        <v>452</v>
      </c>
      <c r="E89" t="str">
        <f t="shared" si="4"/>
        <v>dbulmer2m@intel.com</v>
      </c>
      <c r="F89" t="s">
        <v>453</v>
      </c>
      <c r="G89" t="s">
        <v>11</v>
      </c>
      <c r="H89" t="str">
        <f t="shared" si="5"/>
        <v>Female</v>
      </c>
      <c r="I89" t="str">
        <f>"+880"&amp;RIGHT(SUBSTITUTE(SUBSTITUTE($J89," ",""),"-",""),10)</f>
        <v>+8807124211663</v>
      </c>
      <c r="J89" t="s">
        <v>454</v>
      </c>
      <c r="K89" t="s">
        <v>13</v>
      </c>
      <c r="L89" t="str">
        <f>_xlfn.XLOOKUP($K$3,K:K,K:K,$K$2)</f>
        <v>Bangladesh</v>
      </c>
      <c r="M89" t="s">
        <v>46</v>
      </c>
      <c r="N89" t="e" vm="5">
        <f>_xlfn.XLOOKUP($M89,$O:$O,$P:$P,"")</f>
        <v>#VALUE!</v>
      </c>
      <c r="O89" t="str">
        <v>JamÄlpur</v>
      </c>
      <c r="P89" t="e" vm="82">
        <v>#VALUE!</v>
      </c>
    </row>
    <row r="90" spans="1:16" x14ac:dyDescent="0.25">
      <c r="A90">
        <v>96</v>
      </c>
      <c r="B90" t="str">
        <f t="shared" si="3"/>
        <v>Amanda</v>
      </c>
      <c r="C90" t="s">
        <v>455</v>
      </c>
      <c r="D90" t="s">
        <v>456</v>
      </c>
      <c r="E90" t="str">
        <f t="shared" si="4"/>
        <v>aniesel2n@jiathis.com</v>
      </c>
      <c r="F90" t="s">
        <v>457</v>
      </c>
      <c r="G90" t="s">
        <v>280</v>
      </c>
      <c r="H90" t="str">
        <f t="shared" si="5"/>
        <v>Other</v>
      </c>
      <c r="I90" t="str">
        <f>"+880"&amp;RIGHT(SUBSTITUTE(SUBSTITUTE($J90," ",""),"-",""),10)</f>
        <v>+8807441368320</v>
      </c>
      <c r="J90" t="s">
        <v>458</v>
      </c>
      <c r="K90" t="s">
        <v>13</v>
      </c>
      <c r="L90" t="str">
        <f>_xlfn.XLOOKUP($K$3,K:K,K:K,$K$2)</f>
        <v>Bangladesh</v>
      </c>
      <c r="M90" t="s">
        <v>56</v>
      </c>
      <c r="N90" t="e" vm="6">
        <f>_xlfn.XLOOKUP($M90,$O:$O,$P:$P,"")</f>
        <v>#VALUE!</v>
      </c>
      <c r="O90" t="str">
        <v>PÄlang</v>
      </c>
      <c r="P90" t="e" vm="83">
        <v>#VALUE!</v>
      </c>
    </row>
    <row r="91" spans="1:16" x14ac:dyDescent="0.25">
      <c r="A91">
        <v>97</v>
      </c>
      <c r="B91" t="str">
        <f t="shared" si="3"/>
        <v>Weidar</v>
      </c>
      <c r="C91" t="s">
        <v>459</v>
      </c>
      <c r="D91" t="s">
        <v>460</v>
      </c>
      <c r="E91" t="str">
        <f t="shared" si="4"/>
        <v>wmcerlaine2o@goodreads.com</v>
      </c>
      <c r="F91" t="s">
        <v>461</v>
      </c>
      <c r="G91" t="s">
        <v>18</v>
      </c>
      <c r="H91" t="str">
        <f t="shared" si="5"/>
        <v>Male</v>
      </c>
      <c r="I91" t="str">
        <f>"+880"&amp;RIGHT(SUBSTITUTE(SUBSTITUTE($J91," ",""),"-",""),10)</f>
        <v>+8808741077509</v>
      </c>
      <c r="J91" t="s">
        <v>462</v>
      </c>
      <c r="K91" t="s">
        <v>13</v>
      </c>
      <c r="L91" t="str">
        <f>_xlfn.XLOOKUP($K$3,K:K,K:K,$K$2)</f>
        <v>Bangladesh</v>
      </c>
      <c r="M91" t="s">
        <v>224</v>
      </c>
      <c r="N91" t="e" vm="33">
        <f>_xlfn.XLOOKUP($M91,$O:$O,$P:$P,"")</f>
        <v>#VALUE!</v>
      </c>
      <c r="O91" t="str">
        <v>Kushtia</v>
      </c>
      <c r="P91" t="e" vm="84">
        <v>#VALUE!</v>
      </c>
    </row>
    <row r="92" spans="1:16" x14ac:dyDescent="0.25">
      <c r="A92">
        <v>117</v>
      </c>
      <c r="B92" t="str">
        <f t="shared" si="3"/>
        <v>Wallie</v>
      </c>
      <c r="C92" t="s">
        <v>541</v>
      </c>
      <c r="D92" t="s">
        <v>542</v>
      </c>
      <c r="E92" t="str">
        <f t="shared" si="4"/>
        <v>wswaine38@theguardian.com</v>
      </c>
      <c r="F92" t="s">
        <v>543</v>
      </c>
      <c r="G92" t="s">
        <v>11</v>
      </c>
      <c r="H92" t="str">
        <f t="shared" si="5"/>
        <v>Female</v>
      </c>
      <c r="I92" t="str">
        <f>"+880"&amp;RIGHT(SUBSTITUTE(SUBSTITUTE($J92," ",""),"-",""),10)</f>
        <v>+8801805961257</v>
      </c>
      <c r="J92" t="s">
        <v>544</v>
      </c>
      <c r="K92" t="s">
        <v>13</v>
      </c>
      <c r="L92" t="str">
        <f>_xlfn.XLOOKUP($K$3,K:K,K:K,$K$2)</f>
        <v>Bangladesh</v>
      </c>
      <c r="M92" t="s">
        <v>31</v>
      </c>
      <c r="N92" t="e" vm="4">
        <f>_xlfn.XLOOKUP($M92,$O:$O,$P:$P,"")</f>
        <v>#VALUE!</v>
      </c>
    </row>
    <row r="93" spans="1:16" x14ac:dyDescent="0.25">
      <c r="A93">
        <v>119</v>
      </c>
      <c r="B93" t="str">
        <f t="shared" si="3"/>
        <v>Lolita</v>
      </c>
      <c r="C93" t="s">
        <v>550</v>
      </c>
      <c r="D93" t="s">
        <v>551</v>
      </c>
      <c r="E93" t="str">
        <f t="shared" si="4"/>
        <v>lketteman3a@tinypic.com</v>
      </c>
      <c r="F93" t="s">
        <v>552</v>
      </c>
      <c r="G93" t="s">
        <v>11</v>
      </c>
      <c r="H93" t="str">
        <f t="shared" si="5"/>
        <v>Female</v>
      </c>
      <c r="I93" t="str">
        <f>"+880"&amp;RIGHT(SUBSTITUTE(SUBSTITUTE($J93," ",""),"-",""),10)</f>
        <v>+8802735543782</v>
      </c>
      <c r="J93" t="s">
        <v>553</v>
      </c>
      <c r="K93" t="s">
        <v>13</v>
      </c>
      <c r="L93" t="str">
        <f>_xlfn.XLOOKUP($K$3,K:K,K:K,$K$2)</f>
        <v>Bangladesh</v>
      </c>
      <c r="M93" t="s">
        <v>210</v>
      </c>
      <c r="N93" t="e" vm="31">
        <f>_xlfn.XLOOKUP($M93,$O:$O,$P:$P,"")</f>
        <v>#VALUE!</v>
      </c>
    </row>
    <row r="94" spans="1:16" x14ac:dyDescent="0.25">
      <c r="A94">
        <v>120</v>
      </c>
      <c r="B94" t="str">
        <f t="shared" si="3"/>
        <v>Aldric</v>
      </c>
      <c r="C94" t="s">
        <v>554</v>
      </c>
      <c r="D94" t="s">
        <v>555</v>
      </c>
      <c r="E94" t="str">
        <f t="shared" si="4"/>
        <v>adotterill3b@alibaba.com</v>
      </c>
      <c r="F94" t="s">
        <v>556</v>
      </c>
      <c r="G94" t="s">
        <v>18</v>
      </c>
      <c r="H94" t="str">
        <f t="shared" si="5"/>
        <v>Male</v>
      </c>
      <c r="I94" t="str">
        <f>"+880"&amp;RIGHT(SUBSTITUTE(SUBSTITUTE($J94," ",""),"-",""),10)</f>
        <v>+8803715341168</v>
      </c>
      <c r="J94" t="s">
        <v>557</v>
      </c>
      <c r="K94" t="s">
        <v>13</v>
      </c>
      <c r="L94" t="str">
        <f>_xlfn.XLOOKUP($K$3,K:K,K:K,$K$2)</f>
        <v>Bangladesh</v>
      </c>
      <c r="M94" t="s">
        <v>558</v>
      </c>
      <c r="N94" t="e" vm="53">
        <f>_xlfn.XLOOKUP($M94,$O:$O,$P:$P,"")</f>
        <v>#VALUE!</v>
      </c>
    </row>
    <row r="95" spans="1:16" x14ac:dyDescent="0.25">
      <c r="A95">
        <v>121</v>
      </c>
      <c r="B95" t="str">
        <f t="shared" si="3"/>
        <v>North</v>
      </c>
      <c r="C95" t="s">
        <v>559</v>
      </c>
      <c r="D95" t="s">
        <v>560</v>
      </c>
      <c r="E95" t="str">
        <f t="shared" si="4"/>
        <v>nromme3c@opensource.org</v>
      </c>
      <c r="F95" t="s">
        <v>561</v>
      </c>
      <c r="G95" t="s">
        <v>18</v>
      </c>
      <c r="H95" t="str">
        <f t="shared" si="5"/>
        <v>Male</v>
      </c>
      <c r="I95" t="str">
        <f>"+880"&amp;RIGHT(SUBSTITUTE(SUBSTITUTE($J95," ",""),"-",""),10)</f>
        <v>+8809855575701</v>
      </c>
      <c r="J95" t="s">
        <v>562</v>
      </c>
      <c r="K95" t="s">
        <v>13</v>
      </c>
      <c r="L95" t="str">
        <f>_xlfn.XLOOKUP($K$3,K:K,K:K,$K$2)</f>
        <v>Bangladesh</v>
      </c>
      <c r="M95" t="s">
        <v>504</v>
      </c>
      <c r="N95" t="e" vm="54">
        <f>_xlfn.XLOOKUP($M95,$O:$O,$P:$P,"")</f>
        <v>#VALUE!</v>
      </c>
    </row>
    <row r="96" spans="1:16" x14ac:dyDescent="0.25">
      <c r="A96">
        <v>122</v>
      </c>
      <c r="B96" t="str">
        <f t="shared" si="3"/>
        <v>Madelle</v>
      </c>
      <c r="C96" t="s">
        <v>563</v>
      </c>
      <c r="D96" t="s">
        <v>564</v>
      </c>
      <c r="E96" t="str">
        <f t="shared" si="4"/>
        <v>mrosentholer3d@ibm.com</v>
      </c>
      <c r="F96" t="s">
        <v>565</v>
      </c>
      <c r="G96" t="s">
        <v>280</v>
      </c>
      <c r="H96" t="str">
        <f t="shared" si="5"/>
        <v>Other</v>
      </c>
      <c r="I96" t="str">
        <f>"+880"&amp;RIGHT(SUBSTITUTE(SUBSTITUTE($J96," ",""),"-",""),10)</f>
        <v>+8802834950079</v>
      </c>
      <c r="J96" t="s">
        <v>566</v>
      </c>
      <c r="K96" t="s">
        <v>13</v>
      </c>
      <c r="L96" t="str">
        <f>_xlfn.XLOOKUP($K$3,K:K,K:K,$K$2)</f>
        <v>Bangladesh</v>
      </c>
      <c r="M96" t="s">
        <v>567</v>
      </c>
      <c r="N96" t="e" vm="55">
        <f>_xlfn.XLOOKUP($M96,$O:$O,$P:$P,"")</f>
        <v>#VALUE!</v>
      </c>
    </row>
    <row r="97" spans="1:14" x14ac:dyDescent="0.25">
      <c r="A97">
        <v>123</v>
      </c>
      <c r="B97" t="str">
        <f t="shared" si="3"/>
        <v>Reinaldo</v>
      </c>
      <c r="C97" t="s">
        <v>568</v>
      </c>
      <c r="D97" t="s">
        <v>569</v>
      </c>
      <c r="E97" t="str">
        <f t="shared" si="4"/>
        <v>rllopis3e@plala.or.jp</v>
      </c>
      <c r="F97" t="s">
        <v>570</v>
      </c>
      <c r="G97" t="s">
        <v>18</v>
      </c>
      <c r="H97" t="str">
        <f t="shared" si="5"/>
        <v>Male</v>
      </c>
      <c r="I97" t="str">
        <f>"+880"&amp;RIGHT(SUBSTITUTE(SUBSTITUTE($J97," ",""),"-",""),10)</f>
        <v>+8806566188606</v>
      </c>
      <c r="J97" t="s">
        <v>571</v>
      </c>
      <c r="K97" t="s">
        <v>13</v>
      </c>
      <c r="L97" t="str">
        <f>_xlfn.XLOOKUP($K$3,K:K,K:K,$K$2)</f>
        <v>Bangladesh</v>
      </c>
      <c r="M97" t="s">
        <v>558</v>
      </c>
      <c r="N97" t="e" vm="53">
        <f>_xlfn.XLOOKUP($M97,$O:$O,$P:$P,"")</f>
        <v>#VALUE!</v>
      </c>
    </row>
    <row r="98" spans="1:14" x14ac:dyDescent="0.25">
      <c r="A98">
        <v>125</v>
      </c>
      <c r="B98" t="str">
        <f t="shared" si="3"/>
        <v>Hugibert</v>
      </c>
      <c r="C98" t="s">
        <v>576</v>
      </c>
      <c r="D98" t="s">
        <v>577</v>
      </c>
      <c r="E98" t="str">
        <f t="shared" si="4"/>
        <v>hroth3g@networksolutions.com</v>
      </c>
      <c r="F98" t="s">
        <v>578</v>
      </c>
      <c r="G98" t="s">
        <v>18</v>
      </c>
      <c r="H98" t="str">
        <f t="shared" si="5"/>
        <v>Male</v>
      </c>
      <c r="I98" t="str">
        <f>"+880"&amp;RIGHT(SUBSTITUTE(SUBSTITUTE($J98," ",""),"-",""),10)</f>
        <v>+8803858756509</v>
      </c>
      <c r="J98" t="s">
        <v>579</v>
      </c>
      <c r="K98" t="s">
        <v>13</v>
      </c>
      <c r="L98" t="str">
        <f>_xlfn.XLOOKUP($K$3,K:K,K:K,$K$2)</f>
        <v>Bangladesh</v>
      </c>
      <c r="M98" t="s">
        <v>31</v>
      </c>
      <c r="N98" t="e" vm="4">
        <f>_xlfn.XLOOKUP($M98,$O:$O,$P:$P,"")</f>
        <v>#VALUE!</v>
      </c>
    </row>
    <row r="99" spans="1:14" x14ac:dyDescent="0.25">
      <c r="A99">
        <v>126</v>
      </c>
      <c r="B99" t="str">
        <f t="shared" si="3"/>
        <v>Evie</v>
      </c>
      <c r="C99" t="s">
        <v>580</v>
      </c>
      <c r="D99" t="s">
        <v>581</v>
      </c>
      <c r="E99" t="str">
        <f t="shared" si="4"/>
        <v>edobsons3h@hc360.com</v>
      </c>
      <c r="F99" t="s">
        <v>582</v>
      </c>
      <c r="G99" t="s">
        <v>11</v>
      </c>
      <c r="H99" t="str">
        <f t="shared" si="5"/>
        <v>Female</v>
      </c>
      <c r="I99" t="str">
        <f>"+880"&amp;RIGHT(SUBSTITUTE(SUBSTITUTE($J99," ",""),"-",""),10)</f>
        <v>+8803284223623</v>
      </c>
      <c r="J99" t="s">
        <v>583</v>
      </c>
      <c r="K99" t="s">
        <v>13</v>
      </c>
      <c r="L99" t="str">
        <f>_xlfn.XLOOKUP($K$3,K:K,K:K,$K$2)</f>
        <v>Bangladesh</v>
      </c>
      <c r="M99" t="s">
        <v>360</v>
      </c>
      <c r="N99" t="e" vm="56">
        <f>_xlfn.XLOOKUP($M99,$O:$O,$P:$P,"")</f>
        <v>#VALUE!</v>
      </c>
    </row>
    <row r="100" spans="1:14" x14ac:dyDescent="0.25">
      <c r="A100">
        <v>127</v>
      </c>
      <c r="B100" t="str">
        <f t="shared" si="3"/>
        <v>Cord</v>
      </c>
      <c r="C100" t="s">
        <v>584</v>
      </c>
      <c r="D100" t="s">
        <v>585</v>
      </c>
      <c r="E100" t="str">
        <f t="shared" si="4"/>
        <v>ckrabbe3i@walmart.com</v>
      </c>
      <c r="F100" t="s">
        <v>586</v>
      </c>
      <c r="G100" t="s">
        <v>18</v>
      </c>
      <c r="H100" t="str">
        <f t="shared" si="5"/>
        <v>Male</v>
      </c>
      <c r="I100" t="str">
        <f>"+880"&amp;RIGHT(SUBSTITUTE(SUBSTITUTE($J100," ",""),"-",""),10)</f>
        <v>+8803993925061</v>
      </c>
      <c r="J100" t="s">
        <v>587</v>
      </c>
      <c r="K100" t="s">
        <v>13</v>
      </c>
      <c r="L100" t="str">
        <f>_xlfn.XLOOKUP($K$3,K:K,K:K,$K$2)</f>
        <v>Bangladesh</v>
      </c>
      <c r="M100" t="s">
        <v>588</v>
      </c>
      <c r="N100" t="e" vm="57">
        <f>_xlfn.XLOOKUP($M100,$O:$O,$P:$P,"")</f>
        <v>#VALUE!</v>
      </c>
    </row>
    <row r="101" spans="1:14" x14ac:dyDescent="0.25">
      <c r="A101">
        <v>128</v>
      </c>
      <c r="B101" t="str">
        <f t="shared" si="3"/>
        <v>Lyndsey</v>
      </c>
      <c r="C101" t="s">
        <v>589</v>
      </c>
      <c r="D101" t="s">
        <v>590</v>
      </c>
      <c r="E101" t="str">
        <f t="shared" si="4"/>
        <v>lboldock3j@qq.com</v>
      </c>
      <c r="F101" t="s">
        <v>591</v>
      </c>
      <c r="G101" t="s">
        <v>11</v>
      </c>
      <c r="H101" t="str">
        <f t="shared" si="5"/>
        <v>Female</v>
      </c>
      <c r="I101" t="str">
        <f>"+880"&amp;RIGHT(SUBSTITUTE(SUBSTITUTE($J101," ",""),"-",""),10)</f>
        <v>+8803996934271</v>
      </c>
      <c r="J101" t="s">
        <v>592</v>
      </c>
      <c r="K101" t="s">
        <v>13</v>
      </c>
      <c r="L101" t="str">
        <f>_xlfn.XLOOKUP($K$3,K:K,K:K,$K$2)</f>
        <v>Bangladesh</v>
      </c>
      <c r="M101" t="s">
        <v>41</v>
      </c>
      <c r="N101" t="e" vm="58">
        <f>_xlfn.XLOOKUP($M101,$O:$O,$P:$P,"")</f>
        <v>#VALUE!</v>
      </c>
    </row>
    <row r="102" spans="1:14" x14ac:dyDescent="0.25">
      <c r="A102">
        <v>129</v>
      </c>
      <c r="B102" t="str">
        <f t="shared" si="3"/>
        <v>Daisey</v>
      </c>
      <c r="C102" t="s">
        <v>593</v>
      </c>
      <c r="D102" t="s">
        <v>594</v>
      </c>
      <c r="E102" t="str">
        <f t="shared" si="4"/>
        <v>dhaddeston3k@wufoo.com</v>
      </c>
      <c r="F102" t="s">
        <v>595</v>
      </c>
      <c r="G102" t="s">
        <v>11</v>
      </c>
      <c r="H102" t="str">
        <f t="shared" si="5"/>
        <v>Female</v>
      </c>
      <c r="I102" t="str">
        <f>"+880"&amp;RIGHT(SUBSTITUTE(SUBSTITUTE($J102," ",""),"-",""),10)</f>
        <v>+8802418433101</v>
      </c>
      <c r="J102" t="s">
        <v>596</v>
      </c>
      <c r="K102" t="s">
        <v>13</v>
      </c>
      <c r="L102" t="str">
        <f>_xlfn.XLOOKUP($K$3,K:K,K:K,$K$2)</f>
        <v>Bangladesh</v>
      </c>
      <c r="M102" t="s">
        <v>597</v>
      </c>
      <c r="N102" t="e" vm="59">
        <f>_xlfn.XLOOKUP($M102,$O:$O,$P:$P,"")</f>
        <v>#VALUE!</v>
      </c>
    </row>
    <row r="103" spans="1:14" x14ac:dyDescent="0.25">
      <c r="A103">
        <v>130</v>
      </c>
      <c r="B103" t="str">
        <f t="shared" ref="B103:B166" si="6">PROPER(TRIM($C103))</f>
        <v>Maximo</v>
      </c>
      <c r="C103" t="s">
        <v>598</v>
      </c>
      <c r="D103" t="s">
        <v>599</v>
      </c>
      <c r="E103" t="str">
        <f t="shared" ref="E103:E166" si="7">LOWER(TRIM($F103))</f>
        <v>mbarrington3l@exblog.jp</v>
      </c>
      <c r="F103" t="s">
        <v>600</v>
      </c>
      <c r="G103" t="s">
        <v>18</v>
      </c>
      <c r="H103" t="str">
        <f t="shared" ref="H103:H166" si="8">IF(OR($G103="M",LOWER($G103)="male"),"Male",
IF(OR($G103="F",LOWER($G103)="female"),"Female","Other"))</f>
        <v>Male</v>
      </c>
      <c r="I103" t="str">
        <f>"+880"&amp;RIGHT(SUBSTITUTE(SUBSTITUTE($J103," ",""),"-",""),10)</f>
        <v>+8804617556384</v>
      </c>
      <c r="J103" t="s">
        <v>601</v>
      </c>
      <c r="K103" t="s">
        <v>13</v>
      </c>
      <c r="L103" t="str">
        <f>_xlfn.XLOOKUP($K$3,K:K,K:K,$K$2)</f>
        <v>Bangladesh</v>
      </c>
      <c r="M103" t="s">
        <v>602</v>
      </c>
      <c r="N103" t="e" vm="60">
        <f>_xlfn.XLOOKUP($M103,$O:$O,$P:$P,"")</f>
        <v>#VALUE!</v>
      </c>
    </row>
    <row r="104" spans="1:14" x14ac:dyDescent="0.25">
      <c r="A104">
        <v>131</v>
      </c>
      <c r="B104" t="str">
        <f t="shared" si="6"/>
        <v>Davy</v>
      </c>
      <c r="C104" t="s">
        <v>603</v>
      </c>
      <c r="D104" t="s">
        <v>604</v>
      </c>
      <c r="E104" t="str">
        <f t="shared" si="7"/>
        <v>drhodes3m@sina.com.cn</v>
      </c>
      <c r="F104" t="s">
        <v>605</v>
      </c>
      <c r="G104" t="s">
        <v>18</v>
      </c>
      <c r="H104" t="str">
        <f t="shared" si="8"/>
        <v>Male</v>
      </c>
      <c r="I104" t="str">
        <f>"+880"&amp;RIGHT(SUBSTITUTE(SUBSTITUTE($J104," ",""),"-",""),10)</f>
        <v>+8808858482088</v>
      </c>
      <c r="J104" t="s">
        <v>606</v>
      </c>
      <c r="K104" t="s">
        <v>13</v>
      </c>
      <c r="L104" t="str">
        <f>_xlfn.XLOOKUP($K$3,K:K,K:K,$K$2)</f>
        <v>Bangladesh</v>
      </c>
      <c r="M104" t="s">
        <v>230</v>
      </c>
      <c r="N104" t="e" vm="34">
        <f>_xlfn.XLOOKUP($M104,$O:$O,$P:$P,"")</f>
        <v>#VALUE!</v>
      </c>
    </row>
    <row r="105" spans="1:14" x14ac:dyDescent="0.25">
      <c r="A105">
        <v>132</v>
      </c>
      <c r="B105" t="str">
        <f t="shared" si="6"/>
        <v>Roda</v>
      </c>
      <c r="C105" t="s">
        <v>607</v>
      </c>
      <c r="D105" t="s">
        <v>608</v>
      </c>
      <c r="E105" t="str">
        <f t="shared" si="7"/>
        <v>rkornousek3n@dedecms.com</v>
      </c>
      <c r="F105" t="s">
        <v>609</v>
      </c>
      <c r="G105" t="s">
        <v>11</v>
      </c>
      <c r="H105" t="str">
        <f t="shared" si="8"/>
        <v>Female</v>
      </c>
      <c r="I105" t="str">
        <f>"+880"&amp;RIGHT(SUBSTITUTE(SUBSTITUTE($J105," ",""),"-",""),10)</f>
        <v>+8809373545973</v>
      </c>
      <c r="J105" t="s">
        <v>610</v>
      </c>
      <c r="K105" t="s">
        <v>13</v>
      </c>
      <c r="L105" t="str">
        <f>_xlfn.XLOOKUP($K$3,K:K,K:K,$K$2)</f>
        <v>Bangladesh</v>
      </c>
      <c r="M105" t="s">
        <v>154</v>
      </c>
      <c r="N105" t="e" vm="23">
        <f>_xlfn.XLOOKUP($M105,$O:$O,$P:$P,"")</f>
        <v>#VALUE!</v>
      </c>
    </row>
    <row r="106" spans="1:14" x14ac:dyDescent="0.25">
      <c r="A106">
        <v>133</v>
      </c>
      <c r="B106" t="str">
        <f t="shared" si="6"/>
        <v>Ruthi</v>
      </c>
      <c r="C106" t="s">
        <v>611</v>
      </c>
      <c r="D106" t="s">
        <v>612</v>
      </c>
      <c r="E106" t="str">
        <f t="shared" si="7"/>
        <v>rmaccarlich3o@google.ru</v>
      </c>
      <c r="F106" t="s">
        <v>613</v>
      </c>
      <c r="G106" t="s">
        <v>11</v>
      </c>
      <c r="H106" t="str">
        <f t="shared" si="8"/>
        <v>Female</v>
      </c>
      <c r="I106" t="str">
        <f>"+880"&amp;RIGHT(SUBSTITUTE(SUBSTITUTE($J106," ",""),"-",""),10)</f>
        <v>+8805653425292</v>
      </c>
      <c r="J106" t="s">
        <v>614</v>
      </c>
      <c r="K106" t="s">
        <v>13</v>
      </c>
      <c r="L106" t="str">
        <f>_xlfn.XLOOKUP($K$3,K:K,K:K,$K$2)</f>
        <v>Bangladesh</v>
      </c>
      <c r="M106" t="s">
        <v>317</v>
      </c>
      <c r="N106" t="e" vm="43">
        <f>_xlfn.XLOOKUP($M106,$O:$O,$P:$P,"")</f>
        <v>#VALUE!</v>
      </c>
    </row>
    <row r="107" spans="1:14" x14ac:dyDescent="0.25">
      <c r="A107">
        <v>134</v>
      </c>
      <c r="B107" t="str">
        <f t="shared" si="6"/>
        <v>Pearla</v>
      </c>
      <c r="C107" t="s">
        <v>615</v>
      </c>
      <c r="D107" t="s">
        <v>616</v>
      </c>
      <c r="E107" t="str">
        <f t="shared" si="7"/>
        <v>pwhybrow3p@telegraph.co.uk</v>
      </c>
      <c r="F107" t="s">
        <v>617</v>
      </c>
      <c r="G107" t="s">
        <v>11</v>
      </c>
      <c r="H107" t="str">
        <f t="shared" si="8"/>
        <v>Female</v>
      </c>
      <c r="I107" t="str">
        <f>"+880"&amp;RIGHT(SUBSTITUTE(SUBSTITUTE($J107," ",""),"-",""),10)</f>
        <v>+8806016691037</v>
      </c>
      <c r="J107" t="s">
        <v>618</v>
      </c>
      <c r="K107" t="s">
        <v>13</v>
      </c>
      <c r="L107" t="str">
        <f>_xlfn.XLOOKUP($K$3,K:K,K:K,$K$2)</f>
        <v>Bangladesh</v>
      </c>
      <c r="M107" t="s">
        <v>619</v>
      </c>
      <c r="N107" t="e" vm="61">
        <f>_xlfn.XLOOKUP($M107,$O:$O,$P:$P,"")</f>
        <v>#VALUE!</v>
      </c>
    </row>
    <row r="108" spans="1:14" x14ac:dyDescent="0.25">
      <c r="A108">
        <v>135</v>
      </c>
      <c r="B108" t="str">
        <f t="shared" si="6"/>
        <v>Carrol</v>
      </c>
      <c r="C108" t="s">
        <v>620</v>
      </c>
      <c r="D108" t="s">
        <v>621</v>
      </c>
      <c r="E108" t="str">
        <f t="shared" si="7"/>
        <v>cminihane3q@studiopress.com</v>
      </c>
      <c r="F108" t="s">
        <v>622</v>
      </c>
      <c r="G108" t="s">
        <v>358</v>
      </c>
      <c r="H108" t="str">
        <f t="shared" si="8"/>
        <v>Other</v>
      </c>
      <c r="I108" t="str">
        <f>"+880"&amp;RIGHT(SUBSTITUTE(SUBSTITUTE($J108," ",""),"-",""),10)</f>
        <v>+8803785573980</v>
      </c>
      <c r="J108" t="s">
        <v>623</v>
      </c>
      <c r="K108" t="s">
        <v>13</v>
      </c>
      <c r="L108" t="str">
        <f>_xlfn.XLOOKUP($K$3,K:K,K:K,$K$2)</f>
        <v>Bangladesh</v>
      </c>
      <c r="M108" t="s">
        <v>31</v>
      </c>
      <c r="N108" t="e" vm="4">
        <f>_xlfn.XLOOKUP($M108,$O:$O,$P:$P,"")</f>
        <v>#VALUE!</v>
      </c>
    </row>
    <row r="109" spans="1:14" x14ac:dyDescent="0.25">
      <c r="A109">
        <v>136</v>
      </c>
      <c r="B109" t="str">
        <f t="shared" si="6"/>
        <v>Millisent</v>
      </c>
      <c r="C109" t="s">
        <v>624</v>
      </c>
      <c r="D109" t="s">
        <v>625</v>
      </c>
      <c r="E109" t="str">
        <f t="shared" si="7"/>
        <v>mroma3r@vk.com</v>
      </c>
      <c r="F109" t="s">
        <v>626</v>
      </c>
      <c r="G109" t="s">
        <v>11</v>
      </c>
      <c r="H109" t="str">
        <f t="shared" si="8"/>
        <v>Female</v>
      </c>
      <c r="I109" t="str">
        <f>"+880"&amp;RIGHT(SUBSTITUTE(SUBSTITUTE($J109," ",""),"-",""),10)</f>
        <v>+8803311338546</v>
      </c>
      <c r="J109" t="s">
        <v>627</v>
      </c>
      <c r="K109" t="s">
        <v>13</v>
      </c>
      <c r="L109" t="str">
        <f>_xlfn.XLOOKUP($K$3,K:K,K:K,$K$2)</f>
        <v>Bangladesh</v>
      </c>
      <c r="M109" t="s">
        <v>628</v>
      </c>
      <c r="N109" t="e" vm="62">
        <f>_xlfn.XLOOKUP($M109,$O:$O,$P:$P,"")</f>
        <v>#VALUE!</v>
      </c>
    </row>
    <row r="110" spans="1:14" x14ac:dyDescent="0.25">
      <c r="A110">
        <v>137</v>
      </c>
      <c r="B110" t="str">
        <f t="shared" si="6"/>
        <v>Talia</v>
      </c>
      <c r="C110" t="s">
        <v>629</v>
      </c>
      <c r="D110" t="s">
        <v>630</v>
      </c>
      <c r="E110" t="str">
        <f t="shared" si="7"/>
        <v>tbould3s@mayoclinic.com</v>
      </c>
      <c r="F110" t="s">
        <v>631</v>
      </c>
      <c r="G110" t="s">
        <v>11</v>
      </c>
      <c r="H110" t="str">
        <f t="shared" si="8"/>
        <v>Female</v>
      </c>
      <c r="I110" t="str">
        <f>"+880"&amp;RIGHT(SUBSTITUTE(SUBSTITUTE($J110," ",""),"-",""),10)</f>
        <v>+8808425526872</v>
      </c>
      <c r="J110" t="s">
        <v>632</v>
      </c>
      <c r="K110" t="s">
        <v>13</v>
      </c>
      <c r="L110" t="str">
        <f>_xlfn.XLOOKUP($K$3,K:K,K:K,$K$2)</f>
        <v>Bangladesh</v>
      </c>
      <c r="M110" t="s">
        <v>183</v>
      </c>
      <c r="N110" t="e" vm="28">
        <f>_xlfn.XLOOKUP($M110,$O:$O,$P:$P,"")</f>
        <v>#VALUE!</v>
      </c>
    </row>
    <row r="111" spans="1:14" x14ac:dyDescent="0.25">
      <c r="A111">
        <v>138</v>
      </c>
      <c r="B111" t="str">
        <f t="shared" si="6"/>
        <v>Rob</v>
      </c>
      <c r="C111" t="s">
        <v>633</v>
      </c>
      <c r="D111" t="s">
        <v>634</v>
      </c>
      <c r="E111" t="str">
        <f t="shared" si="7"/>
        <v>rrowena3t@irs.gov</v>
      </c>
      <c r="F111" t="s">
        <v>635</v>
      </c>
      <c r="G111" t="s">
        <v>18</v>
      </c>
      <c r="H111" t="str">
        <f t="shared" si="8"/>
        <v>Male</v>
      </c>
      <c r="I111" t="str">
        <f>"+880"&amp;RIGHT(SUBSTITUTE(SUBSTITUTE($J111," ",""),"-",""),10)</f>
        <v>+8803731803458</v>
      </c>
      <c r="J111" t="s">
        <v>636</v>
      </c>
      <c r="K111" t="s">
        <v>13</v>
      </c>
      <c r="L111" t="str">
        <f>_xlfn.XLOOKUP($K$3,K:K,K:K,$K$2)</f>
        <v>Bangladesh</v>
      </c>
      <c r="M111" t="s">
        <v>360</v>
      </c>
      <c r="N111" t="e" vm="56">
        <f>_xlfn.XLOOKUP($M111,$O:$O,$P:$P,"")</f>
        <v>#VALUE!</v>
      </c>
    </row>
    <row r="112" spans="1:14" x14ac:dyDescent="0.25">
      <c r="A112">
        <v>139</v>
      </c>
      <c r="B112" t="str">
        <f t="shared" si="6"/>
        <v>Sancho</v>
      </c>
      <c r="C112" t="s">
        <v>637</v>
      </c>
      <c r="D112" t="s">
        <v>638</v>
      </c>
      <c r="E112" t="str">
        <f t="shared" si="7"/>
        <v>sconey3u@cbc.ca</v>
      </c>
      <c r="F112" t="s">
        <v>639</v>
      </c>
      <c r="G112" t="s">
        <v>18</v>
      </c>
      <c r="H112" t="str">
        <f t="shared" si="8"/>
        <v>Male</v>
      </c>
      <c r="I112" t="str">
        <f>"+880"&amp;RIGHT(SUBSTITUTE(SUBSTITUTE($J112," ",""),"-",""),10)</f>
        <v>+8801526155868</v>
      </c>
      <c r="J112" t="s">
        <v>640</v>
      </c>
      <c r="K112" t="s">
        <v>13</v>
      </c>
      <c r="L112" t="str">
        <f>_xlfn.XLOOKUP($K$3,K:K,K:K,$K$2)</f>
        <v>Bangladesh</v>
      </c>
      <c r="M112" t="s">
        <v>641</v>
      </c>
      <c r="N112" t="e" vm="63">
        <f>_xlfn.XLOOKUP($M112,$O:$O,$P:$P,"")</f>
        <v>#VALUE!</v>
      </c>
    </row>
    <row r="113" spans="1:14" x14ac:dyDescent="0.25">
      <c r="A113">
        <v>140</v>
      </c>
      <c r="B113" t="str">
        <f t="shared" si="6"/>
        <v>Addy</v>
      </c>
      <c r="C113" t="s">
        <v>642</v>
      </c>
      <c r="D113" t="s">
        <v>643</v>
      </c>
      <c r="E113" t="str">
        <f t="shared" si="7"/>
        <v>aromke3v@craigslist.org</v>
      </c>
      <c r="F113" t="s">
        <v>644</v>
      </c>
      <c r="G113" t="s">
        <v>18</v>
      </c>
      <c r="H113" t="str">
        <f t="shared" si="8"/>
        <v>Male</v>
      </c>
      <c r="I113" t="str">
        <f>"+880"&amp;RIGHT(SUBSTITUTE(SUBSTITUTE($J113," ",""),"-",""),10)</f>
        <v>+8803393543848</v>
      </c>
      <c r="J113" t="s">
        <v>645</v>
      </c>
      <c r="K113" t="s">
        <v>13</v>
      </c>
      <c r="L113" t="str">
        <f>_xlfn.XLOOKUP($K$3,K:K,K:K,$K$2)</f>
        <v>Bangladesh</v>
      </c>
      <c r="M113" t="s">
        <v>331</v>
      </c>
      <c r="N113" t="e" vm="64">
        <f>_xlfn.XLOOKUP($M113,$O:$O,$P:$P,"")</f>
        <v>#VALUE!</v>
      </c>
    </row>
    <row r="114" spans="1:14" x14ac:dyDescent="0.25">
      <c r="A114">
        <v>141</v>
      </c>
      <c r="B114" t="str">
        <f t="shared" si="6"/>
        <v>Caro</v>
      </c>
      <c r="C114" t="s">
        <v>646</v>
      </c>
      <c r="D114" t="s">
        <v>647</v>
      </c>
      <c r="E114" t="str">
        <f t="shared" si="7"/>
        <v>ckuschke3w@ebay.com</v>
      </c>
      <c r="F114" t="s">
        <v>648</v>
      </c>
      <c r="G114" t="s">
        <v>280</v>
      </c>
      <c r="H114" t="str">
        <f t="shared" si="8"/>
        <v>Other</v>
      </c>
      <c r="I114" t="str">
        <f>"+880"&amp;RIGHT(SUBSTITUTE(SUBSTITUTE($J114," ",""),"-",""),10)</f>
        <v>+8801837787160</v>
      </c>
      <c r="J114" t="s">
        <v>649</v>
      </c>
      <c r="K114" t="s">
        <v>13</v>
      </c>
      <c r="L114" t="str">
        <f>_xlfn.XLOOKUP($K$3,K:K,K:K,$K$2)</f>
        <v>Bangladesh</v>
      </c>
      <c r="M114" t="s">
        <v>650</v>
      </c>
      <c r="N114" t="e" vm="65">
        <f>_xlfn.XLOOKUP($M114,$O:$O,$P:$P,"")</f>
        <v>#VALUE!</v>
      </c>
    </row>
    <row r="115" spans="1:14" x14ac:dyDescent="0.25">
      <c r="A115">
        <v>142</v>
      </c>
      <c r="B115" t="str">
        <f t="shared" si="6"/>
        <v>Vivie</v>
      </c>
      <c r="C115" t="s">
        <v>651</v>
      </c>
      <c r="D115" t="s">
        <v>652</v>
      </c>
      <c r="E115" t="str">
        <f t="shared" si="7"/>
        <v>vkelsow3x@typepad.com</v>
      </c>
      <c r="F115" t="s">
        <v>653</v>
      </c>
      <c r="G115" t="s">
        <v>11</v>
      </c>
      <c r="H115" t="str">
        <f t="shared" si="8"/>
        <v>Female</v>
      </c>
      <c r="I115" t="str">
        <f>"+880"&amp;RIGHT(SUBSTITUTE(SUBSTITUTE($J115," ",""),"-",""),10)</f>
        <v>+8801438822083</v>
      </c>
      <c r="J115" t="s">
        <v>654</v>
      </c>
      <c r="K115" t="s">
        <v>13</v>
      </c>
      <c r="L115" t="str">
        <f>_xlfn.XLOOKUP($K$3,K:K,K:K,$K$2)</f>
        <v>Bangladesh</v>
      </c>
      <c r="M115" t="s">
        <v>655</v>
      </c>
      <c r="N115" t="e" vm="66">
        <f>_xlfn.XLOOKUP($M115,$O:$O,$P:$P,"")</f>
        <v>#VALUE!</v>
      </c>
    </row>
    <row r="116" spans="1:14" x14ac:dyDescent="0.25">
      <c r="A116">
        <v>143</v>
      </c>
      <c r="B116" t="str">
        <f t="shared" si="6"/>
        <v>Neel</v>
      </c>
      <c r="C116" t="s">
        <v>656</v>
      </c>
      <c r="D116" t="s">
        <v>657</v>
      </c>
      <c r="E116" t="str">
        <f t="shared" si="7"/>
        <v>npartrick3y@aol.com</v>
      </c>
      <c r="F116" t="s">
        <v>658</v>
      </c>
      <c r="G116" t="s">
        <v>18</v>
      </c>
      <c r="H116" t="str">
        <f t="shared" si="8"/>
        <v>Male</v>
      </c>
      <c r="I116" t="str">
        <f>"+880"&amp;RIGHT(SUBSTITUTE(SUBSTITUTE($J116," ",""),"-",""),10)</f>
        <v>+8802728115462</v>
      </c>
      <c r="J116" t="s">
        <v>659</v>
      </c>
      <c r="K116" t="s">
        <v>13</v>
      </c>
      <c r="L116" t="str">
        <f>_xlfn.XLOOKUP($K$3,K:K,K:K,$K$2)</f>
        <v>Bangladesh</v>
      </c>
      <c r="M116" t="s">
        <v>660</v>
      </c>
      <c r="N116" t="e" vm="67">
        <f>_xlfn.XLOOKUP($M116,$O:$O,$P:$P,"")</f>
        <v>#VALUE!</v>
      </c>
    </row>
    <row r="117" spans="1:14" x14ac:dyDescent="0.25">
      <c r="A117">
        <v>144</v>
      </c>
      <c r="B117" t="str">
        <f t="shared" si="6"/>
        <v>Any</v>
      </c>
      <c r="C117" t="s">
        <v>661</v>
      </c>
      <c r="D117" t="s">
        <v>662</v>
      </c>
      <c r="E117" t="str">
        <f t="shared" si="7"/>
        <v>apostlewhite3z@posterous.com</v>
      </c>
      <c r="F117" t="s">
        <v>663</v>
      </c>
      <c r="G117" t="s">
        <v>18</v>
      </c>
      <c r="H117" t="str">
        <f t="shared" si="8"/>
        <v>Male</v>
      </c>
      <c r="I117" t="str">
        <f>"+880"&amp;RIGHT(SUBSTITUTE(SUBSTITUTE($J117," ",""),"-",""),10)</f>
        <v>+8805784031599</v>
      </c>
      <c r="J117" t="s">
        <v>664</v>
      </c>
      <c r="K117" t="s">
        <v>13</v>
      </c>
      <c r="L117" t="str">
        <f>_xlfn.XLOOKUP($K$3,K:K,K:K,$K$2)</f>
        <v>Bangladesh</v>
      </c>
      <c r="M117" t="s">
        <v>360</v>
      </c>
      <c r="N117" t="e" vm="56">
        <f>_xlfn.XLOOKUP($M117,$O:$O,$P:$P,"")</f>
        <v>#VALUE!</v>
      </c>
    </row>
    <row r="118" spans="1:14" x14ac:dyDescent="0.25">
      <c r="A118">
        <v>145</v>
      </c>
      <c r="B118" t="str">
        <f t="shared" si="6"/>
        <v>Carny</v>
      </c>
      <c r="C118" t="s">
        <v>665</v>
      </c>
      <c r="D118" t="s">
        <v>666</v>
      </c>
      <c r="E118" t="str">
        <f t="shared" si="7"/>
        <v>ctapsell40@mysql.com</v>
      </c>
      <c r="F118" t="s">
        <v>667</v>
      </c>
      <c r="G118" t="s">
        <v>358</v>
      </c>
      <c r="H118" t="str">
        <f t="shared" si="8"/>
        <v>Other</v>
      </c>
      <c r="I118" t="str">
        <f>"+880"&amp;RIGHT(SUBSTITUTE(SUBSTITUTE($J118," ",""),"-",""),10)</f>
        <v>+8806357746070</v>
      </c>
      <c r="J118" t="s">
        <v>668</v>
      </c>
      <c r="K118" t="s">
        <v>13</v>
      </c>
      <c r="L118" t="str">
        <f>_xlfn.XLOOKUP($K$3,K:K,K:K,$K$2)</f>
        <v>Bangladesh</v>
      </c>
      <c r="M118" t="s">
        <v>14</v>
      </c>
      <c r="N118" t="e" vm="1">
        <f>_xlfn.XLOOKUP($M118,$O:$O,$P:$P,"")</f>
        <v>#VALUE!</v>
      </c>
    </row>
    <row r="119" spans="1:14" x14ac:dyDescent="0.25">
      <c r="A119">
        <v>146</v>
      </c>
      <c r="B119" t="str">
        <f t="shared" si="6"/>
        <v>Marta</v>
      </c>
      <c r="C119" t="s">
        <v>669</v>
      </c>
      <c r="D119" t="s">
        <v>670</v>
      </c>
      <c r="E119" t="str">
        <f t="shared" si="7"/>
        <v>mpudden41@ebay.com</v>
      </c>
      <c r="F119" t="s">
        <v>671</v>
      </c>
      <c r="G119" t="s">
        <v>358</v>
      </c>
      <c r="H119" t="str">
        <f t="shared" si="8"/>
        <v>Other</v>
      </c>
      <c r="I119" t="str">
        <f>"+880"&amp;RIGHT(SUBSTITUTE(SUBSTITUTE($J119," ",""),"-",""),10)</f>
        <v>+8802504328473</v>
      </c>
      <c r="J119" t="s">
        <v>672</v>
      </c>
      <c r="K119" t="s">
        <v>13</v>
      </c>
      <c r="L119" t="str">
        <f>_xlfn.XLOOKUP($K$3,K:K,K:K,$K$2)</f>
        <v>Bangladesh</v>
      </c>
      <c r="M119" t="s">
        <v>673</v>
      </c>
      <c r="N119" t="e" vm="68">
        <f>_xlfn.XLOOKUP($M119,$O:$O,$P:$P,"")</f>
        <v>#VALUE!</v>
      </c>
    </row>
    <row r="120" spans="1:14" x14ac:dyDescent="0.25">
      <c r="A120">
        <v>147</v>
      </c>
      <c r="B120" t="str">
        <f t="shared" si="6"/>
        <v>Erny</v>
      </c>
      <c r="C120" t="s">
        <v>674</v>
      </c>
      <c r="D120" t="s">
        <v>675</v>
      </c>
      <c r="E120" t="str">
        <f t="shared" si="7"/>
        <v>ekirsop42@umich.edu</v>
      </c>
      <c r="F120" t="s">
        <v>676</v>
      </c>
      <c r="G120" t="s">
        <v>18</v>
      </c>
      <c r="H120" t="str">
        <f t="shared" si="8"/>
        <v>Male</v>
      </c>
      <c r="I120" t="str">
        <f>"+880"&amp;RIGHT(SUBSTITUTE(SUBSTITUTE($J120," ",""),"-",""),10)</f>
        <v>+8803241671114</v>
      </c>
      <c r="J120" t="s">
        <v>677</v>
      </c>
      <c r="K120" t="s">
        <v>13</v>
      </c>
      <c r="L120" t="str">
        <f>_xlfn.XLOOKUP($K$3,K:K,K:K,$K$2)</f>
        <v>Bangladesh</v>
      </c>
      <c r="M120" t="s">
        <v>678</v>
      </c>
      <c r="N120" t="str">
        <f>_xlfn.XLOOKUP($M120,$O:$O,$P:$P,"")</f>
        <v>Pargaaj</v>
      </c>
    </row>
    <row r="121" spans="1:14" x14ac:dyDescent="0.25">
      <c r="A121">
        <v>148</v>
      </c>
      <c r="B121" t="str">
        <f t="shared" si="6"/>
        <v>Brocky</v>
      </c>
      <c r="C121" t="s">
        <v>679</v>
      </c>
      <c r="D121" t="s">
        <v>680</v>
      </c>
      <c r="E121" t="str">
        <f t="shared" si="7"/>
        <v>bneising43@apple.com</v>
      </c>
      <c r="F121" t="s">
        <v>681</v>
      </c>
      <c r="G121" t="s">
        <v>18</v>
      </c>
      <c r="H121" t="str">
        <f t="shared" si="8"/>
        <v>Male</v>
      </c>
      <c r="I121" t="str">
        <f>"+880"&amp;RIGHT(SUBSTITUTE(SUBSTITUTE($J121," ",""),"-",""),10)</f>
        <v>+8802552614258</v>
      </c>
      <c r="J121" t="s">
        <v>682</v>
      </c>
      <c r="K121" t="s">
        <v>13</v>
      </c>
      <c r="L121" t="str">
        <f>_xlfn.XLOOKUP($K$3,K:K,K:K,$K$2)</f>
        <v>Bangladesh</v>
      </c>
      <c r="M121" t="s">
        <v>14</v>
      </c>
      <c r="N121" t="e" vm="1">
        <f>_xlfn.XLOOKUP($M121,$O:$O,$P:$P,"")</f>
        <v>#VALUE!</v>
      </c>
    </row>
    <row r="122" spans="1:14" x14ac:dyDescent="0.25">
      <c r="A122">
        <v>149</v>
      </c>
      <c r="B122" t="str">
        <f t="shared" si="6"/>
        <v>Kylie</v>
      </c>
      <c r="C122" t="s">
        <v>683</v>
      </c>
      <c r="D122" t="s">
        <v>684</v>
      </c>
      <c r="E122" t="str">
        <f t="shared" si="7"/>
        <v>kbraker44@usatoday.com</v>
      </c>
      <c r="F122" t="s">
        <v>685</v>
      </c>
      <c r="G122" t="s">
        <v>18</v>
      </c>
      <c r="H122" t="str">
        <f t="shared" si="8"/>
        <v>Male</v>
      </c>
      <c r="I122" t="str">
        <f>"+880"&amp;RIGHT(SUBSTITUTE(SUBSTITUTE($J122," ",""),"-",""),10)</f>
        <v>+8805773248780</v>
      </c>
      <c r="J122" t="s">
        <v>686</v>
      </c>
      <c r="K122" t="s">
        <v>13</v>
      </c>
      <c r="L122" t="str">
        <f>_xlfn.XLOOKUP($K$3,K:K,K:K,$K$2)</f>
        <v>Bangladesh</v>
      </c>
      <c r="M122" t="s">
        <v>687</v>
      </c>
      <c r="N122" t="e" vm="69">
        <f>_xlfn.XLOOKUP($M122,$O:$O,$P:$P,"")</f>
        <v>#VALUE!</v>
      </c>
    </row>
    <row r="123" spans="1:14" x14ac:dyDescent="0.25">
      <c r="A123">
        <v>150</v>
      </c>
      <c r="B123" t="str">
        <f t="shared" si="6"/>
        <v>Silvia</v>
      </c>
      <c r="C123" t="s">
        <v>688</v>
      </c>
      <c r="D123" t="s">
        <v>689</v>
      </c>
      <c r="E123" t="str">
        <f t="shared" si="7"/>
        <v>ssawart45@tripod.com</v>
      </c>
      <c r="F123" t="s">
        <v>690</v>
      </c>
      <c r="G123" t="s">
        <v>11</v>
      </c>
      <c r="H123" t="str">
        <f t="shared" si="8"/>
        <v>Female</v>
      </c>
      <c r="I123" t="str">
        <f>"+880"&amp;RIGHT(SUBSTITUTE(SUBSTITUTE($J123," ",""),"-",""),10)</f>
        <v>+8805474326015</v>
      </c>
      <c r="J123" t="s">
        <v>691</v>
      </c>
      <c r="K123" t="s">
        <v>13</v>
      </c>
      <c r="L123" t="str">
        <f>_xlfn.XLOOKUP($K$3,K:K,K:K,$K$2)</f>
        <v>Bangladesh</v>
      </c>
      <c r="M123" t="s">
        <v>66</v>
      </c>
      <c r="N123" t="e" vm="8">
        <f>_xlfn.XLOOKUP($M123,$O:$O,$P:$P,"")</f>
        <v>#VALUE!</v>
      </c>
    </row>
    <row r="124" spans="1:14" x14ac:dyDescent="0.25">
      <c r="A124">
        <v>151</v>
      </c>
      <c r="B124" t="str">
        <f t="shared" si="6"/>
        <v>Andriette</v>
      </c>
      <c r="C124" t="s">
        <v>692</v>
      </c>
      <c r="D124" t="s">
        <v>693</v>
      </c>
      <c r="E124" t="str">
        <f t="shared" si="7"/>
        <v>agulleford46@sphinn.com</v>
      </c>
      <c r="F124" t="s">
        <v>694</v>
      </c>
      <c r="G124" t="s">
        <v>11</v>
      </c>
      <c r="H124" t="str">
        <f t="shared" si="8"/>
        <v>Female</v>
      </c>
      <c r="I124" t="str">
        <f>"+880"&amp;RIGHT(SUBSTITUTE(SUBSTITUTE($J124," ",""),"-",""),10)</f>
        <v>+8807624869475</v>
      </c>
      <c r="J124" t="s">
        <v>695</v>
      </c>
      <c r="K124" t="s">
        <v>13</v>
      </c>
      <c r="L124" t="str">
        <f>_xlfn.XLOOKUP($K$3,K:K,K:K,$K$2)</f>
        <v>Bangladesh</v>
      </c>
      <c r="M124" t="s">
        <v>154</v>
      </c>
      <c r="N124" t="e" vm="23">
        <f>_xlfn.XLOOKUP($M124,$O:$O,$P:$P,"")</f>
        <v>#VALUE!</v>
      </c>
    </row>
    <row r="125" spans="1:14" x14ac:dyDescent="0.25">
      <c r="A125">
        <v>152</v>
      </c>
      <c r="B125" t="str">
        <f t="shared" si="6"/>
        <v>Robbi</v>
      </c>
      <c r="C125" t="s">
        <v>696</v>
      </c>
      <c r="D125" t="s">
        <v>697</v>
      </c>
      <c r="E125" t="str">
        <f t="shared" si="7"/>
        <v>rridgeway47@engadget.com</v>
      </c>
      <c r="F125" t="s">
        <v>698</v>
      </c>
      <c r="G125" t="s">
        <v>11</v>
      </c>
      <c r="H125" t="str">
        <f t="shared" si="8"/>
        <v>Female</v>
      </c>
      <c r="I125" t="str">
        <f>"+880"&amp;RIGHT(SUBSTITUTE(SUBSTITUTE($J125," ",""),"-",""),10)</f>
        <v>+8801602883482</v>
      </c>
      <c r="J125" t="s">
        <v>699</v>
      </c>
      <c r="K125" t="s">
        <v>13</v>
      </c>
      <c r="L125" t="str">
        <f>_xlfn.XLOOKUP($K$3,K:K,K:K,$K$2)</f>
        <v>Bangladesh</v>
      </c>
      <c r="M125" t="s">
        <v>700</v>
      </c>
      <c r="N125" t="e" vm="70">
        <f>_xlfn.XLOOKUP($M125,$O:$O,$P:$P,"")</f>
        <v>#VALUE!</v>
      </c>
    </row>
    <row r="126" spans="1:14" x14ac:dyDescent="0.25">
      <c r="A126">
        <v>153</v>
      </c>
      <c r="B126" t="str">
        <f t="shared" si="6"/>
        <v>Cointon</v>
      </c>
      <c r="C126" t="s">
        <v>701</v>
      </c>
      <c r="D126" t="s">
        <v>702</v>
      </c>
      <c r="E126" t="str">
        <f t="shared" si="7"/>
        <v>cduddin48@umn.edu</v>
      </c>
      <c r="F126" t="s">
        <v>703</v>
      </c>
      <c r="G126" t="s">
        <v>18</v>
      </c>
      <c r="H126" t="str">
        <f t="shared" si="8"/>
        <v>Male</v>
      </c>
      <c r="I126" t="str">
        <f>"+880"&amp;RIGHT(SUBSTITUTE(SUBSTITUTE($J126," ",""),"-",""),10)</f>
        <v>+8804156999697</v>
      </c>
      <c r="J126" t="s">
        <v>704</v>
      </c>
      <c r="K126" t="s">
        <v>13</v>
      </c>
      <c r="L126" t="str">
        <f>_xlfn.XLOOKUP($K$3,K:K,K:K,$K$2)</f>
        <v>Bangladesh</v>
      </c>
      <c r="M126" t="s">
        <v>705</v>
      </c>
      <c r="N126" t="e" vm="71">
        <f>_xlfn.XLOOKUP($M126,$O:$O,$P:$P,"")</f>
        <v>#VALUE!</v>
      </c>
    </row>
    <row r="127" spans="1:14" x14ac:dyDescent="0.25">
      <c r="A127">
        <v>154</v>
      </c>
      <c r="B127" t="str">
        <f t="shared" si="6"/>
        <v>Sharity</v>
      </c>
      <c r="C127" t="s">
        <v>706</v>
      </c>
      <c r="D127" t="s">
        <v>707</v>
      </c>
      <c r="E127" t="str">
        <f t="shared" si="7"/>
        <v>spegg49@redcross.org</v>
      </c>
      <c r="F127" t="s">
        <v>708</v>
      </c>
      <c r="G127" t="s">
        <v>11</v>
      </c>
      <c r="H127" t="str">
        <f t="shared" si="8"/>
        <v>Female</v>
      </c>
      <c r="I127" t="str">
        <f>"+880"&amp;RIGHT(SUBSTITUTE(SUBSTITUTE($J127," ",""),"-",""),10)</f>
        <v>+8806151867432</v>
      </c>
      <c r="J127" t="s">
        <v>709</v>
      </c>
      <c r="K127" t="s">
        <v>13</v>
      </c>
      <c r="L127" t="str">
        <f>_xlfn.XLOOKUP($K$3,K:K,K:K,$K$2)</f>
        <v>Bangladesh</v>
      </c>
      <c r="M127" t="s">
        <v>168</v>
      </c>
      <c r="N127" t="e" vm="25">
        <f>_xlfn.XLOOKUP($M127,$O:$O,$P:$P,"")</f>
        <v>#VALUE!</v>
      </c>
    </row>
    <row r="128" spans="1:14" x14ac:dyDescent="0.25">
      <c r="A128">
        <v>155</v>
      </c>
      <c r="B128" t="str">
        <f t="shared" si="6"/>
        <v>Jimmy</v>
      </c>
      <c r="C128" t="s">
        <v>710</v>
      </c>
      <c r="D128" t="s">
        <v>711</v>
      </c>
      <c r="E128" t="str">
        <f t="shared" si="7"/>
        <v>jwillimot4a@delicious.com</v>
      </c>
      <c r="F128" t="s">
        <v>712</v>
      </c>
      <c r="G128" t="s">
        <v>18</v>
      </c>
      <c r="H128" t="str">
        <f t="shared" si="8"/>
        <v>Male</v>
      </c>
      <c r="I128" t="str">
        <f>"+880"&amp;RIGHT(SUBSTITUTE(SUBSTITUTE($J128," ",""),"-",""),10)</f>
        <v>+8804534748360</v>
      </c>
      <c r="J128" t="s">
        <v>713</v>
      </c>
      <c r="K128" t="s">
        <v>13</v>
      </c>
      <c r="L128" t="str">
        <f>_xlfn.XLOOKUP($K$3,K:K,K:K,$K$2)</f>
        <v>Bangladesh</v>
      </c>
      <c r="M128" t="s">
        <v>14</v>
      </c>
      <c r="N128" t="e" vm="1">
        <f>_xlfn.XLOOKUP($M128,$O:$O,$P:$P,"")</f>
        <v>#VALUE!</v>
      </c>
    </row>
    <row r="129" spans="1:14" x14ac:dyDescent="0.25">
      <c r="A129">
        <v>156</v>
      </c>
      <c r="B129" t="str">
        <f t="shared" si="6"/>
        <v>Karlotte</v>
      </c>
      <c r="C129" t="s">
        <v>714</v>
      </c>
      <c r="D129" t="s">
        <v>715</v>
      </c>
      <c r="E129" t="str">
        <f t="shared" si="7"/>
        <v>kentres4b@pcworld.com</v>
      </c>
      <c r="F129" t="s">
        <v>716</v>
      </c>
      <c r="G129" t="s">
        <v>11</v>
      </c>
      <c r="H129" t="str">
        <f t="shared" si="8"/>
        <v>Female</v>
      </c>
      <c r="I129" t="str">
        <f>"+880"&amp;RIGHT(SUBSTITUTE(SUBSTITUTE($J129," ",""),"-",""),10)</f>
        <v>+8808342170443</v>
      </c>
      <c r="J129" t="s">
        <v>717</v>
      </c>
      <c r="K129" t="s">
        <v>13</v>
      </c>
      <c r="L129" t="str">
        <f>_xlfn.XLOOKUP($K$3,K:K,K:K,$K$2)</f>
        <v>Bangladesh</v>
      </c>
      <c r="M129" t="s">
        <v>558</v>
      </c>
      <c r="N129" t="e" vm="53">
        <f>_xlfn.XLOOKUP($M129,$O:$O,$P:$P,"")</f>
        <v>#VALUE!</v>
      </c>
    </row>
    <row r="130" spans="1:14" x14ac:dyDescent="0.25">
      <c r="A130">
        <v>157</v>
      </c>
      <c r="B130" t="str">
        <f t="shared" si="6"/>
        <v>Lorena</v>
      </c>
      <c r="C130" t="s">
        <v>718</v>
      </c>
      <c r="D130" t="s">
        <v>719</v>
      </c>
      <c r="E130" t="str">
        <f t="shared" si="7"/>
        <v>lcroxton4c@smugmug.com</v>
      </c>
      <c r="F130" t="s">
        <v>720</v>
      </c>
      <c r="G130" t="s">
        <v>11</v>
      </c>
      <c r="H130" t="str">
        <f t="shared" si="8"/>
        <v>Female</v>
      </c>
      <c r="I130" t="str">
        <f>"+880"&amp;RIGHT(SUBSTITUTE(SUBSTITUTE($J130," ",""),"-",""),10)</f>
        <v>+8808848593658</v>
      </c>
      <c r="J130" t="s">
        <v>721</v>
      </c>
      <c r="K130" t="s">
        <v>13</v>
      </c>
      <c r="L130" t="str">
        <f>_xlfn.XLOOKUP($K$3,K:K,K:K,$K$2)</f>
        <v>Bangladesh</v>
      </c>
      <c r="M130" t="s">
        <v>14</v>
      </c>
      <c r="N130" t="e" vm="1">
        <f>_xlfn.XLOOKUP($M130,$O:$O,$P:$P,"")</f>
        <v>#VALUE!</v>
      </c>
    </row>
    <row r="131" spans="1:14" x14ac:dyDescent="0.25">
      <c r="A131">
        <v>158</v>
      </c>
      <c r="B131" t="str">
        <f t="shared" si="6"/>
        <v>Calida</v>
      </c>
      <c r="C131" t="s">
        <v>722</v>
      </c>
      <c r="D131" t="s">
        <v>723</v>
      </c>
      <c r="E131" t="str">
        <f t="shared" si="7"/>
        <v>cpuckinghorne4d@bloomberg.com</v>
      </c>
      <c r="F131" t="s">
        <v>724</v>
      </c>
      <c r="G131" t="s">
        <v>11</v>
      </c>
      <c r="H131" t="str">
        <f t="shared" si="8"/>
        <v>Female</v>
      </c>
      <c r="I131" t="str">
        <f>"+880"&amp;RIGHT(SUBSTITUTE(SUBSTITUTE($J131," ",""),"-",""),10)</f>
        <v>+8802849068021</v>
      </c>
      <c r="J131" t="s">
        <v>725</v>
      </c>
      <c r="K131" t="s">
        <v>13</v>
      </c>
      <c r="L131" t="str">
        <f>_xlfn.XLOOKUP($K$3,K:K,K:K,$K$2)</f>
        <v>Bangladesh</v>
      </c>
      <c r="M131" t="s">
        <v>230</v>
      </c>
      <c r="N131" t="e" vm="34">
        <f>_xlfn.XLOOKUP($M131,$O:$O,$P:$P,"")</f>
        <v>#VALUE!</v>
      </c>
    </row>
    <row r="132" spans="1:14" x14ac:dyDescent="0.25">
      <c r="A132">
        <v>159</v>
      </c>
      <c r="B132" t="str">
        <f t="shared" si="6"/>
        <v>Jock</v>
      </c>
      <c r="C132" t="s">
        <v>726</v>
      </c>
      <c r="D132" t="s">
        <v>727</v>
      </c>
      <c r="E132" t="str">
        <f t="shared" si="7"/>
        <v>jwoollard4e@macromedia.com</v>
      </c>
      <c r="F132" t="s">
        <v>728</v>
      </c>
      <c r="G132" t="s">
        <v>18</v>
      </c>
      <c r="H132" t="str">
        <f t="shared" si="8"/>
        <v>Male</v>
      </c>
      <c r="I132" t="str">
        <f>"+880"&amp;RIGHT(SUBSTITUTE(SUBSTITUTE($J132," ",""),"-",""),10)</f>
        <v>+8808144151908</v>
      </c>
      <c r="J132" t="s">
        <v>729</v>
      </c>
      <c r="K132" t="s">
        <v>13</v>
      </c>
      <c r="L132" t="str">
        <f>_xlfn.XLOOKUP($K$3,K:K,K:K,$K$2)</f>
        <v>Bangladesh</v>
      </c>
      <c r="M132" t="s">
        <v>71</v>
      </c>
      <c r="N132" t="e" vm="9">
        <f>_xlfn.XLOOKUP($M132,$O:$O,$P:$P,"")</f>
        <v>#VALUE!</v>
      </c>
    </row>
    <row r="133" spans="1:14" x14ac:dyDescent="0.25">
      <c r="A133">
        <v>160</v>
      </c>
      <c r="B133" t="str">
        <f t="shared" si="6"/>
        <v>Kelsey</v>
      </c>
      <c r="C133" t="s">
        <v>730</v>
      </c>
      <c r="D133" t="s">
        <v>731</v>
      </c>
      <c r="E133" t="str">
        <f t="shared" si="7"/>
        <v>kgyurkovics4f@chicagotribune.com</v>
      </c>
      <c r="F133" t="s">
        <v>732</v>
      </c>
      <c r="G133" t="s">
        <v>11</v>
      </c>
      <c r="H133" t="str">
        <f t="shared" si="8"/>
        <v>Female</v>
      </c>
      <c r="I133" t="str">
        <f>"+880"&amp;RIGHT(SUBSTITUTE(SUBSTITUTE($J133," ",""),"-",""),10)</f>
        <v>+8804897578259</v>
      </c>
      <c r="J133" t="s">
        <v>733</v>
      </c>
      <c r="K133" t="s">
        <v>13</v>
      </c>
      <c r="L133" t="str">
        <f>_xlfn.XLOOKUP($K$3,K:K,K:K,$K$2)</f>
        <v>Bangladesh</v>
      </c>
      <c r="M133" t="s">
        <v>224</v>
      </c>
      <c r="N133" t="e" vm="33">
        <f>_xlfn.XLOOKUP($M133,$O:$O,$P:$P,"")</f>
        <v>#VALUE!</v>
      </c>
    </row>
    <row r="134" spans="1:14" x14ac:dyDescent="0.25">
      <c r="A134">
        <v>161</v>
      </c>
      <c r="B134" t="str">
        <f t="shared" si="6"/>
        <v>Samuel</v>
      </c>
      <c r="C134" t="s">
        <v>734</v>
      </c>
      <c r="D134" t="s">
        <v>735</v>
      </c>
      <c r="E134" t="str">
        <f t="shared" si="7"/>
        <v>sragot4g@techcrunch.com</v>
      </c>
      <c r="F134" t="s">
        <v>736</v>
      </c>
      <c r="G134" t="s">
        <v>18</v>
      </c>
      <c r="H134" t="str">
        <f t="shared" si="8"/>
        <v>Male</v>
      </c>
      <c r="I134" t="str">
        <f>"+880"&amp;RIGHT(SUBSTITUTE(SUBSTITUTE($J134," ",""),"-",""),10)</f>
        <v>+8805636541191</v>
      </c>
      <c r="J134" t="s">
        <v>737</v>
      </c>
      <c r="K134" t="s">
        <v>13</v>
      </c>
      <c r="L134" t="str">
        <f>_xlfn.XLOOKUP($K$3,K:K,K:K,$K$2)</f>
        <v>Bangladesh</v>
      </c>
      <c r="M134" t="s">
        <v>261</v>
      </c>
      <c r="N134" t="e" vm="37">
        <f>_xlfn.XLOOKUP($M134,$O:$O,$P:$P,"")</f>
        <v>#VALUE!</v>
      </c>
    </row>
    <row r="135" spans="1:14" x14ac:dyDescent="0.25">
      <c r="A135">
        <v>162</v>
      </c>
      <c r="B135" t="str">
        <f t="shared" si="6"/>
        <v>Dora</v>
      </c>
      <c r="C135" t="s">
        <v>738</v>
      </c>
      <c r="D135" t="s">
        <v>739</v>
      </c>
      <c r="E135" t="str">
        <f t="shared" si="7"/>
        <v>dasken4h@state.tx.us</v>
      </c>
      <c r="F135" t="s">
        <v>740</v>
      </c>
      <c r="G135" t="s">
        <v>11</v>
      </c>
      <c r="H135" t="str">
        <f t="shared" si="8"/>
        <v>Female</v>
      </c>
      <c r="I135" t="str">
        <f>"+880"&amp;RIGHT(SUBSTITUTE(SUBSTITUTE($J135," ",""),"-",""),10)</f>
        <v>+8801002349082</v>
      </c>
      <c r="J135" t="s">
        <v>741</v>
      </c>
      <c r="K135" t="s">
        <v>13</v>
      </c>
      <c r="L135" t="str">
        <f>_xlfn.XLOOKUP($K$3,K:K,K:K,$K$2)</f>
        <v>Bangladesh</v>
      </c>
      <c r="M135" t="s">
        <v>266</v>
      </c>
      <c r="N135" t="e" vm="38">
        <f>_xlfn.XLOOKUP($M135,$O:$O,$P:$P,"")</f>
        <v>#VALUE!</v>
      </c>
    </row>
    <row r="136" spans="1:14" x14ac:dyDescent="0.25">
      <c r="A136">
        <v>163</v>
      </c>
      <c r="B136" t="str">
        <f t="shared" si="6"/>
        <v>Cari</v>
      </c>
      <c r="C136" t="s">
        <v>742</v>
      </c>
      <c r="D136" t="s">
        <v>743</v>
      </c>
      <c r="E136" t="str">
        <f t="shared" si="7"/>
        <v>ccorten4i@lulu.com</v>
      </c>
      <c r="F136" t="s">
        <v>744</v>
      </c>
      <c r="G136" t="s">
        <v>11</v>
      </c>
      <c r="H136" t="str">
        <f t="shared" si="8"/>
        <v>Female</v>
      </c>
      <c r="I136" t="str">
        <f>"+880"&amp;RIGHT(SUBSTITUTE(SUBSTITUTE($J136," ",""),"-",""),10)</f>
        <v>+8807681629597</v>
      </c>
      <c r="J136" t="s">
        <v>745</v>
      </c>
      <c r="K136" t="s">
        <v>13</v>
      </c>
      <c r="L136" t="str">
        <f>_xlfn.XLOOKUP($K$3,K:K,K:K,$K$2)</f>
        <v>Bangladesh</v>
      </c>
      <c r="M136" t="s">
        <v>173</v>
      </c>
      <c r="N136" t="e" vm="26">
        <f>_xlfn.XLOOKUP($M136,$O:$O,$P:$P,"")</f>
        <v>#VALUE!</v>
      </c>
    </row>
    <row r="137" spans="1:14" x14ac:dyDescent="0.25">
      <c r="A137">
        <v>164</v>
      </c>
      <c r="B137" t="str">
        <f t="shared" si="6"/>
        <v>Piotr</v>
      </c>
      <c r="C137" t="s">
        <v>746</v>
      </c>
      <c r="D137" t="s">
        <v>747</v>
      </c>
      <c r="E137" t="str">
        <f t="shared" si="7"/>
        <v>pstampe4j@senate.gov</v>
      </c>
      <c r="F137" t="s">
        <v>748</v>
      </c>
      <c r="G137" t="s">
        <v>18</v>
      </c>
      <c r="H137" t="str">
        <f t="shared" si="8"/>
        <v>Male</v>
      </c>
      <c r="I137" t="str">
        <f>"+880"&amp;RIGHT(SUBSTITUTE(SUBSTITUTE($J137," ",""),"-",""),10)</f>
        <v>+8807133948879</v>
      </c>
      <c r="J137" t="s">
        <v>749</v>
      </c>
      <c r="K137" t="s">
        <v>13</v>
      </c>
      <c r="L137" t="str">
        <f>_xlfn.XLOOKUP($K$3,K:K,K:K,$K$2)</f>
        <v>Bangladesh</v>
      </c>
      <c r="M137" t="s">
        <v>125</v>
      </c>
      <c r="N137" t="e" vm="18">
        <f>_xlfn.XLOOKUP($M137,$O:$O,$P:$P,"")</f>
        <v>#VALUE!</v>
      </c>
    </row>
    <row r="138" spans="1:14" x14ac:dyDescent="0.25">
      <c r="A138">
        <v>165</v>
      </c>
      <c r="B138" t="str">
        <f t="shared" si="6"/>
        <v>Delora</v>
      </c>
      <c r="C138" t="s">
        <v>750</v>
      </c>
      <c r="D138" t="s">
        <v>751</v>
      </c>
      <c r="E138" t="str">
        <f t="shared" si="7"/>
        <v>dmakepeace4k@cisco.com</v>
      </c>
      <c r="F138" t="s">
        <v>752</v>
      </c>
      <c r="G138" t="s">
        <v>11</v>
      </c>
      <c r="H138" t="str">
        <f t="shared" si="8"/>
        <v>Female</v>
      </c>
      <c r="I138" t="str">
        <f>"+880"&amp;RIGHT(SUBSTITUTE(SUBSTITUTE($J138," ",""),"-",""),10)</f>
        <v>+8808212040786</v>
      </c>
      <c r="J138" t="s">
        <v>753</v>
      </c>
      <c r="K138" t="s">
        <v>13</v>
      </c>
      <c r="L138" t="str">
        <f>_xlfn.XLOOKUP($K$3,K:K,K:K,$K$2)</f>
        <v>Bangladesh</v>
      </c>
      <c r="M138" t="s">
        <v>350</v>
      </c>
      <c r="N138" t="str">
        <f>_xlfn.XLOOKUP($M138,$O:$O,$P:$P,"")</f>
        <v>Pir Naogaon</v>
      </c>
    </row>
    <row r="139" spans="1:14" x14ac:dyDescent="0.25">
      <c r="A139">
        <v>166</v>
      </c>
      <c r="B139" t="str">
        <f t="shared" si="6"/>
        <v>Belvia</v>
      </c>
      <c r="C139" t="s">
        <v>754</v>
      </c>
      <c r="D139" t="s">
        <v>755</v>
      </c>
      <c r="E139" t="str">
        <f t="shared" si="7"/>
        <v>bjanicijevic4l@howstuffworks.com</v>
      </c>
      <c r="F139" t="s">
        <v>756</v>
      </c>
      <c r="G139" t="s">
        <v>11</v>
      </c>
      <c r="H139" t="str">
        <f t="shared" si="8"/>
        <v>Female</v>
      </c>
      <c r="I139" t="str">
        <f>"+880"&amp;RIGHT(SUBSTITUTE(SUBSTITUTE($J139," ",""),"-",""),10)</f>
        <v>+8808997076208</v>
      </c>
      <c r="J139" t="s">
        <v>757</v>
      </c>
      <c r="K139" t="s">
        <v>13</v>
      </c>
      <c r="L139" t="str">
        <f>_xlfn.XLOOKUP($K$3,K:K,K:K,$K$2)</f>
        <v>Bangladesh</v>
      </c>
      <c r="M139" t="s">
        <v>379</v>
      </c>
      <c r="N139" t="e" vm="49">
        <f>_xlfn.XLOOKUP($M139,$O:$O,$P:$P,"")</f>
        <v>#VALUE!</v>
      </c>
    </row>
    <row r="140" spans="1:14" x14ac:dyDescent="0.25">
      <c r="A140">
        <v>167</v>
      </c>
      <c r="B140" t="str">
        <f t="shared" si="6"/>
        <v>Carolyn</v>
      </c>
      <c r="C140" t="s">
        <v>758</v>
      </c>
      <c r="D140" t="s">
        <v>759</v>
      </c>
      <c r="E140" t="str">
        <f t="shared" si="7"/>
        <v>chavill4m@ycombinator.com</v>
      </c>
      <c r="F140" t="s">
        <v>760</v>
      </c>
      <c r="G140" t="s">
        <v>11</v>
      </c>
      <c r="H140" t="str">
        <f t="shared" si="8"/>
        <v>Female</v>
      </c>
      <c r="I140" t="str">
        <f>"+880"&amp;RIGHT(SUBSTITUTE(SUBSTITUTE($J140," ",""),"-",""),10)</f>
        <v>+8807996470503</v>
      </c>
      <c r="J140" t="s">
        <v>761</v>
      </c>
      <c r="K140" t="s">
        <v>13</v>
      </c>
      <c r="L140" t="str">
        <f>_xlfn.XLOOKUP($K$3,K:K,K:K,$K$2)</f>
        <v>Bangladesh</v>
      </c>
      <c r="M140" t="s">
        <v>41</v>
      </c>
      <c r="N140" t="e" vm="58">
        <f>_xlfn.XLOOKUP($M140,$O:$O,$P:$P,"")</f>
        <v>#VALUE!</v>
      </c>
    </row>
    <row r="141" spans="1:14" x14ac:dyDescent="0.25">
      <c r="A141">
        <v>168</v>
      </c>
      <c r="B141" t="str">
        <f t="shared" si="6"/>
        <v>Pris</v>
      </c>
      <c r="C141" t="s">
        <v>762</v>
      </c>
      <c r="D141" t="s">
        <v>763</v>
      </c>
      <c r="E141" t="str">
        <f t="shared" si="7"/>
        <v>pspeechly4n@mapy.cz</v>
      </c>
      <c r="F141" t="s">
        <v>764</v>
      </c>
      <c r="G141" t="s">
        <v>11</v>
      </c>
      <c r="H141" t="str">
        <f t="shared" si="8"/>
        <v>Female</v>
      </c>
      <c r="I141" t="str">
        <f>"+880"&amp;RIGHT(SUBSTITUTE(SUBSTITUTE($J141," ",""),"-",""),10)</f>
        <v>+8807719425395</v>
      </c>
      <c r="J141" t="s">
        <v>765</v>
      </c>
      <c r="K141" t="s">
        <v>13</v>
      </c>
      <c r="L141" t="str">
        <f>_xlfn.XLOOKUP($K$3,K:K,K:K,$K$2)</f>
        <v>Bangladesh</v>
      </c>
      <c r="M141" t="s">
        <v>205</v>
      </c>
      <c r="N141" t="e" vm="30">
        <f>_xlfn.XLOOKUP($M141,$O:$O,$P:$P,"")</f>
        <v>#VALUE!</v>
      </c>
    </row>
    <row r="142" spans="1:14" x14ac:dyDescent="0.25">
      <c r="A142">
        <v>169</v>
      </c>
      <c r="B142" t="str">
        <f t="shared" si="6"/>
        <v>Nara</v>
      </c>
      <c r="C142" t="s">
        <v>766</v>
      </c>
      <c r="D142" t="s">
        <v>767</v>
      </c>
      <c r="E142" t="str">
        <f t="shared" si="7"/>
        <v>ngunning4o@lulu.com</v>
      </c>
      <c r="F142" t="s">
        <v>768</v>
      </c>
      <c r="G142" t="s">
        <v>769</v>
      </c>
      <c r="H142" t="str">
        <f t="shared" si="8"/>
        <v>Other</v>
      </c>
      <c r="I142" t="str">
        <f>"+880"&amp;RIGHT(SUBSTITUTE(SUBSTITUTE($J142," ",""),"-",""),10)</f>
        <v>+8807009643451</v>
      </c>
      <c r="J142" t="s">
        <v>770</v>
      </c>
      <c r="K142" t="s">
        <v>13</v>
      </c>
      <c r="L142" t="str">
        <f>_xlfn.XLOOKUP($K$3,K:K,K:K,$K$2)</f>
        <v>Bangladesh</v>
      </c>
      <c r="M142" t="s">
        <v>76</v>
      </c>
      <c r="N142" t="e" vm="10">
        <f>_xlfn.XLOOKUP($M142,$O:$O,$P:$P,"")</f>
        <v>#VALUE!</v>
      </c>
    </row>
    <row r="143" spans="1:14" x14ac:dyDescent="0.25">
      <c r="A143">
        <v>170</v>
      </c>
      <c r="B143" t="str">
        <f t="shared" si="6"/>
        <v>Allix</v>
      </c>
      <c r="C143" t="s">
        <v>771</v>
      </c>
      <c r="D143" t="s">
        <v>772</v>
      </c>
      <c r="E143" t="str">
        <f t="shared" si="7"/>
        <v>ahurle4p@cornell.edu</v>
      </c>
      <c r="F143" t="s">
        <v>773</v>
      </c>
      <c r="G143" t="s">
        <v>11</v>
      </c>
      <c r="H143" t="str">
        <f t="shared" si="8"/>
        <v>Female</v>
      </c>
      <c r="I143" t="str">
        <f>"+880"&amp;RIGHT(SUBSTITUTE(SUBSTITUTE($J143," ",""),"-",""),10)</f>
        <v>+8809583207357</v>
      </c>
      <c r="J143" t="s">
        <v>774</v>
      </c>
      <c r="K143" t="s">
        <v>13</v>
      </c>
      <c r="L143" t="str">
        <f>_xlfn.XLOOKUP($K$3,K:K,K:K,$K$2)</f>
        <v>Bangladesh</v>
      </c>
      <c r="M143" t="s">
        <v>46</v>
      </c>
      <c r="N143" t="e" vm="5">
        <f>_xlfn.XLOOKUP($M143,$O:$O,$P:$P,"")</f>
        <v>#VALUE!</v>
      </c>
    </row>
    <row r="144" spans="1:14" x14ac:dyDescent="0.25">
      <c r="A144">
        <v>171</v>
      </c>
      <c r="B144" t="str">
        <f t="shared" si="6"/>
        <v>Gabriele</v>
      </c>
      <c r="C144" t="s">
        <v>775</v>
      </c>
      <c r="D144" t="s">
        <v>776</v>
      </c>
      <c r="E144" t="str">
        <f t="shared" si="7"/>
        <v>gscammonden4q@forbes.com</v>
      </c>
      <c r="F144" t="s">
        <v>777</v>
      </c>
      <c r="G144" t="s">
        <v>18</v>
      </c>
      <c r="H144" t="str">
        <f t="shared" si="8"/>
        <v>Male</v>
      </c>
      <c r="I144" t="str">
        <f>"+880"&amp;RIGHT(SUBSTITUTE(SUBSTITUTE($J144," ",""),"-",""),10)</f>
        <v>+8801148099505</v>
      </c>
      <c r="J144" t="s">
        <v>778</v>
      </c>
      <c r="K144" t="s">
        <v>13</v>
      </c>
      <c r="L144" t="str">
        <f>_xlfn.XLOOKUP($K$3,K:K,K:K,$K$2)</f>
        <v>Bangladesh</v>
      </c>
      <c r="M144" t="s">
        <v>779</v>
      </c>
      <c r="N144" t="e" vm="72">
        <f>_xlfn.XLOOKUP($M144,$O:$O,$P:$P,"")</f>
        <v>#VALUE!</v>
      </c>
    </row>
    <row r="145" spans="1:14" x14ac:dyDescent="0.25">
      <c r="A145">
        <v>172</v>
      </c>
      <c r="B145" t="str">
        <f t="shared" si="6"/>
        <v>Evin</v>
      </c>
      <c r="C145" t="s">
        <v>780</v>
      </c>
      <c r="D145" t="s">
        <v>781</v>
      </c>
      <c r="E145" t="str">
        <f t="shared" si="7"/>
        <v>ejerger4r@aboutads.info</v>
      </c>
      <c r="F145" t="s">
        <v>782</v>
      </c>
      <c r="G145" t="s">
        <v>18</v>
      </c>
      <c r="H145" t="str">
        <f t="shared" si="8"/>
        <v>Male</v>
      </c>
      <c r="I145" t="str">
        <f>"+880"&amp;RIGHT(SUBSTITUTE(SUBSTITUTE($J145," ",""),"-",""),10)</f>
        <v>+8809405324278</v>
      </c>
      <c r="J145" t="s">
        <v>783</v>
      </c>
      <c r="K145" t="s">
        <v>13</v>
      </c>
      <c r="L145" t="str">
        <f>_xlfn.XLOOKUP($K$3,K:K,K:K,$K$2)</f>
        <v>Bangladesh</v>
      </c>
      <c r="M145" t="s">
        <v>331</v>
      </c>
      <c r="N145" t="e" vm="64">
        <f>_xlfn.XLOOKUP($M145,$O:$O,$P:$P,"")</f>
        <v>#VALUE!</v>
      </c>
    </row>
    <row r="146" spans="1:14" x14ac:dyDescent="0.25">
      <c r="A146">
        <v>173</v>
      </c>
      <c r="B146" t="str">
        <f t="shared" si="6"/>
        <v>Tania</v>
      </c>
      <c r="C146" t="s">
        <v>784</v>
      </c>
      <c r="D146" t="s">
        <v>785</v>
      </c>
      <c r="E146" t="str">
        <f t="shared" si="7"/>
        <v>twellstood4s@printfriendly.com</v>
      </c>
      <c r="F146" t="s">
        <v>786</v>
      </c>
      <c r="G146" t="s">
        <v>11</v>
      </c>
      <c r="H146" t="str">
        <f t="shared" si="8"/>
        <v>Female</v>
      </c>
      <c r="I146" t="str">
        <f>"+880"&amp;RIGHT(SUBSTITUTE(SUBSTITUTE($J146," ",""),"-",""),10)</f>
        <v>+8809872620755</v>
      </c>
      <c r="J146" t="s">
        <v>787</v>
      </c>
      <c r="K146" t="s">
        <v>13</v>
      </c>
      <c r="L146" t="str">
        <f>_xlfn.XLOOKUP($K$3,K:K,K:K,$K$2)</f>
        <v>Bangladesh</v>
      </c>
      <c r="M146" t="s">
        <v>25</v>
      </c>
      <c r="N146" t="e" vm="3">
        <f>_xlfn.XLOOKUP($M146,$O:$O,$P:$P,"")</f>
        <v>#VALUE!</v>
      </c>
    </row>
    <row r="147" spans="1:14" x14ac:dyDescent="0.25">
      <c r="A147">
        <v>174</v>
      </c>
      <c r="B147" t="str">
        <f t="shared" si="6"/>
        <v>Gusty</v>
      </c>
      <c r="C147" t="s">
        <v>788</v>
      </c>
      <c r="D147" t="s">
        <v>789</v>
      </c>
      <c r="E147" t="str">
        <f t="shared" si="7"/>
        <v>gbolam4t@narod.ru</v>
      </c>
      <c r="F147" t="s">
        <v>790</v>
      </c>
      <c r="G147" t="s">
        <v>11</v>
      </c>
      <c r="H147" t="str">
        <f t="shared" si="8"/>
        <v>Female</v>
      </c>
      <c r="I147" t="str">
        <f>"+880"&amp;RIGHT(SUBSTITUTE(SUBSTITUTE($J147," ",""),"-",""),10)</f>
        <v>+8801513894868</v>
      </c>
      <c r="J147" t="s">
        <v>791</v>
      </c>
      <c r="K147" t="s">
        <v>13</v>
      </c>
      <c r="L147" t="str">
        <f>_xlfn.XLOOKUP($K$3,K:K,K:K,$K$2)</f>
        <v>Bangladesh</v>
      </c>
      <c r="M147" t="s">
        <v>14</v>
      </c>
      <c r="N147" t="e" vm="1">
        <f>_xlfn.XLOOKUP($M147,$O:$O,$P:$P,"")</f>
        <v>#VALUE!</v>
      </c>
    </row>
    <row r="148" spans="1:14" x14ac:dyDescent="0.25">
      <c r="A148">
        <v>175</v>
      </c>
      <c r="B148" t="str">
        <f t="shared" si="6"/>
        <v>Sadie</v>
      </c>
      <c r="C148" t="s">
        <v>792</v>
      </c>
      <c r="D148" t="s">
        <v>793</v>
      </c>
      <c r="E148" t="str">
        <f t="shared" si="7"/>
        <v>sleavold4u@nyu.edu</v>
      </c>
      <c r="F148" t="s">
        <v>794</v>
      </c>
      <c r="G148" t="s">
        <v>11</v>
      </c>
      <c r="H148" t="str">
        <f t="shared" si="8"/>
        <v>Female</v>
      </c>
      <c r="I148" t="str">
        <f>"+880"&amp;RIGHT(SUBSTITUTE(SUBSTITUTE($J148," ",""),"-",""),10)</f>
        <v>+8806959198604</v>
      </c>
      <c r="J148" t="s">
        <v>795</v>
      </c>
      <c r="K148" t="s">
        <v>13</v>
      </c>
      <c r="L148" t="str">
        <f>_xlfn.XLOOKUP($K$3,K:K,K:K,$K$2)</f>
        <v>Bangladesh</v>
      </c>
      <c r="M148" t="s">
        <v>350</v>
      </c>
      <c r="N148" t="str">
        <f>_xlfn.XLOOKUP($M148,$O:$O,$P:$P,"")</f>
        <v>Pir Naogaon</v>
      </c>
    </row>
    <row r="149" spans="1:14" x14ac:dyDescent="0.25">
      <c r="A149">
        <v>176</v>
      </c>
      <c r="B149" t="str">
        <f t="shared" si="6"/>
        <v>Seline</v>
      </c>
      <c r="C149" t="s">
        <v>796</v>
      </c>
      <c r="D149" t="s">
        <v>797</v>
      </c>
      <c r="E149" t="str">
        <f t="shared" si="7"/>
        <v>sreeves4v@spiegel.de</v>
      </c>
      <c r="F149" t="s">
        <v>798</v>
      </c>
      <c r="G149" t="s">
        <v>11</v>
      </c>
      <c r="H149" t="str">
        <f t="shared" si="8"/>
        <v>Female</v>
      </c>
      <c r="I149" t="str">
        <f>"+880"&amp;RIGHT(SUBSTITUTE(SUBSTITUTE($J149," ",""),"-",""),10)</f>
        <v>+8802414336562</v>
      </c>
      <c r="J149" t="s">
        <v>799</v>
      </c>
      <c r="K149" t="s">
        <v>13</v>
      </c>
      <c r="L149" t="str">
        <f>_xlfn.XLOOKUP($K$3,K:K,K:K,$K$2)</f>
        <v>Bangladesh</v>
      </c>
      <c r="M149" t="s">
        <v>86</v>
      </c>
      <c r="N149" t="e" vm="12">
        <f>_xlfn.XLOOKUP($M149,$O:$O,$P:$P,"")</f>
        <v>#VALUE!</v>
      </c>
    </row>
    <row r="150" spans="1:14" x14ac:dyDescent="0.25">
      <c r="A150">
        <v>177</v>
      </c>
      <c r="B150" t="str">
        <f t="shared" si="6"/>
        <v>Tan</v>
      </c>
      <c r="C150" t="s">
        <v>800</v>
      </c>
      <c r="D150" t="s">
        <v>801</v>
      </c>
      <c r="E150" t="str">
        <f t="shared" si="7"/>
        <v>tfridlington4w@istockphoto.com</v>
      </c>
      <c r="F150" t="s">
        <v>802</v>
      </c>
      <c r="G150" t="s">
        <v>18</v>
      </c>
      <c r="H150" t="str">
        <f t="shared" si="8"/>
        <v>Male</v>
      </c>
      <c r="I150" t="str">
        <f>"+880"&amp;RIGHT(SUBSTITUTE(SUBSTITUTE($J150," ",""),"-",""),10)</f>
        <v>+8807099963221</v>
      </c>
      <c r="J150" t="s">
        <v>803</v>
      </c>
      <c r="K150" t="s">
        <v>13</v>
      </c>
      <c r="L150" t="str">
        <f>_xlfn.XLOOKUP($K$3,K:K,K:K,$K$2)</f>
        <v>Bangladesh</v>
      </c>
      <c r="M150" t="s">
        <v>804</v>
      </c>
      <c r="N150" t="e" vm="73">
        <f>_xlfn.XLOOKUP($M150,$O:$O,$P:$P,"")</f>
        <v>#VALUE!</v>
      </c>
    </row>
    <row r="151" spans="1:14" x14ac:dyDescent="0.25">
      <c r="A151">
        <v>178</v>
      </c>
      <c r="B151" t="str">
        <f t="shared" si="6"/>
        <v>Kliment</v>
      </c>
      <c r="C151" t="s">
        <v>805</v>
      </c>
      <c r="D151" t="s">
        <v>806</v>
      </c>
      <c r="E151" t="str">
        <f t="shared" si="7"/>
        <v>ktrustram4x@ebay.com</v>
      </c>
      <c r="F151" t="s">
        <v>807</v>
      </c>
      <c r="G151" t="s">
        <v>18</v>
      </c>
      <c r="H151" t="str">
        <f t="shared" si="8"/>
        <v>Male</v>
      </c>
      <c r="I151" t="str">
        <f>"+880"&amp;RIGHT(SUBSTITUTE(SUBSTITUTE($J151," ",""),"-",""),10)</f>
        <v>+8806315925107</v>
      </c>
      <c r="J151" t="s">
        <v>808</v>
      </c>
      <c r="K151" t="s">
        <v>13</v>
      </c>
      <c r="L151" t="str">
        <f>_xlfn.XLOOKUP($K$3,K:K,K:K,$K$2)</f>
        <v>Bangladesh</v>
      </c>
      <c r="M151" t="s">
        <v>809</v>
      </c>
      <c r="N151" t="e" vm="74">
        <f>_xlfn.XLOOKUP($M151,$O:$O,$P:$P,"")</f>
        <v>#VALUE!</v>
      </c>
    </row>
    <row r="152" spans="1:14" x14ac:dyDescent="0.25">
      <c r="A152">
        <v>179</v>
      </c>
      <c r="B152" t="str">
        <f t="shared" si="6"/>
        <v>Goldia</v>
      </c>
      <c r="C152" t="s">
        <v>810</v>
      </c>
      <c r="D152" t="s">
        <v>811</v>
      </c>
      <c r="E152" t="str">
        <f t="shared" si="7"/>
        <v>gyong4y@goo.ne.jp</v>
      </c>
      <c r="F152" t="s">
        <v>812</v>
      </c>
      <c r="G152" t="s">
        <v>11</v>
      </c>
      <c r="H152" t="str">
        <f t="shared" si="8"/>
        <v>Female</v>
      </c>
      <c r="I152" t="str">
        <f>"+880"&amp;RIGHT(SUBSTITUTE(SUBSTITUTE($J152," ",""),"-",""),10)</f>
        <v>+8808556321708</v>
      </c>
      <c r="J152" t="s">
        <v>813</v>
      </c>
      <c r="K152" t="s">
        <v>13</v>
      </c>
      <c r="L152" t="str">
        <f>_xlfn.XLOOKUP($K$3,K:K,K:K,$K$2)</f>
        <v>Bangladesh</v>
      </c>
      <c r="M152" t="s">
        <v>814</v>
      </c>
      <c r="N152" t="e" vm="75">
        <f>_xlfn.XLOOKUP($M152,$O:$O,$P:$P,"")</f>
        <v>#VALUE!</v>
      </c>
    </row>
    <row r="153" spans="1:14" x14ac:dyDescent="0.25">
      <c r="A153">
        <v>180</v>
      </c>
      <c r="B153" t="str">
        <f t="shared" si="6"/>
        <v>Candra</v>
      </c>
      <c r="C153" t="s">
        <v>815</v>
      </c>
      <c r="D153" t="s">
        <v>816</v>
      </c>
      <c r="E153" t="str">
        <f t="shared" si="7"/>
        <v>ccordall4z@infoseek.co.jp</v>
      </c>
      <c r="F153" t="s">
        <v>817</v>
      </c>
      <c r="G153" t="s">
        <v>11</v>
      </c>
      <c r="H153" t="str">
        <f t="shared" si="8"/>
        <v>Female</v>
      </c>
      <c r="I153" t="str">
        <f>"+880"&amp;RIGHT(SUBSTITUTE(SUBSTITUTE($J153," ",""),"-",""),10)</f>
        <v>+8802045995712</v>
      </c>
      <c r="J153" t="s">
        <v>818</v>
      </c>
      <c r="K153" t="s">
        <v>13</v>
      </c>
      <c r="L153" t="str">
        <f>_xlfn.XLOOKUP($K$3,K:K,K:K,$K$2)</f>
        <v>Bangladesh</v>
      </c>
      <c r="M153" t="s">
        <v>115</v>
      </c>
      <c r="N153" t="e" vm="17">
        <f>_xlfn.XLOOKUP($M153,$O:$O,$P:$P,"")</f>
        <v>#VALUE!</v>
      </c>
    </row>
    <row r="154" spans="1:14" x14ac:dyDescent="0.25">
      <c r="A154">
        <v>181</v>
      </c>
      <c r="B154" t="str">
        <f t="shared" si="6"/>
        <v>Lucais</v>
      </c>
      <c r="C154" t="s">
        <v>819</v>
      </c>
      <c r="D154" t="s">
        <v>820</v>
      </c>
      <c r="E154" t="str">
        <f t="shared" si="7"/>
        <v>lyakuntsov50@umn.edu</v>
      </c>
      <c r="F154" t="s">
        <v>821</v>
      </c>
      <c r="G154" t="s">
        <v>18</v>
      </c>
      <c r="H154" t="str">
        <f t="shared" si="8"/>
        <v>Male</v>
      </c>
      <c r="I154" t="str">
        <f>"+880"&amp;RIGHT(SUBSTITUTE(SUBSTITUTE($J154," ",""),"-",""),10)</f>
        <v>+8806617153568</v>
      </c>
      <c r="J154" t="s">
        <v>822</v>
      </c>
      <c r="K154" t="s">
        <v>13</v>
      </c>
      <c r="L154" t="str">
        <f>_xlfn.XLOOKUP($K$3,K:K,K:K,$K$2)</f>
        <v>Bangladesh</v>
      </c>
      <c r="M154" t="s">
        <v>243</v>
      </c>
      <c r="N154" t="e" vm="35">
        <f>_xlfn.XLOOKUP($M154,$O:$O,$P:$P,"")</f>
        <v>#VALUE!</v>
      </c>
    </row>
    <row r="155" spans="1:14" x14ac:dyDescent="0.25">
      <c r="A155">
        <v>182</v>
      </c>
      <c r="B155" t="str">
        <f t="shared" si="6"/>
        <v>Neely</v>
      </c>
      <c r="C155" t="s">
        <v>823</v>
      </c>
      <c r="D155" t="s">
        <v>824</v>
      </c>
      <c r="E155" t="str">
        <f t="shared" si="7"/>
        <v>nspurge51@columbia.edu</v>
      </c>
      <c r="F155" t="s">
        <v>825</v>
      </c>
      <c r="G155" t="s">
        <v>11</v>
      </c>
      <c r="H155" t="str">
        <f t="shared" si="8"/>
        <v>Female</v>
      </c>
      <c r="I155" t="str">
        <f>"+880"&amp;RIGHT(SUBSTITUTE(SUBSTITUTE($J155," ",""),"-",""),10)</f>
        <v>+8801474536275</v>
      </c>
      <c r="J155" t="s">
        <v>826</v>
      </c>
      <c r="K155" t="s">
        <v>13</v>
      </c>
      <c r="L155" t="str">
        <f>_xlfn.XLOOKUP($K$3,K:K,K:K,$K$2)</f>
        <v>Bangladesh</v>
      </c>
      <c r="M155" t="s">
        <v>650</v>
      </c>
      <c r="N155" t="e" vm="65">
        <f>_xlfn.XLOOKUP($M155,$O:$O,$P:$P,"")</f>
        <v>#VALUE!</v>
      </c>
    </row>
    <row r="156" spans="1:14" x14ac:dyDescent="0.25">
      <c r="A156">
        <v>183</v>
      </c>
      <c r="B156" t="str">
        <f t="shared" si="6"/>
        <v>Alma</v>
      </c>
      <c r="C156" t="s">
        <v>827</v>
      </c>
      <c r="D156" t="s">
        <v>828</v>
      </c>
      <c r="E156" t="str">
        <f t="shared" si="7"/>
        <v>anelles52@twitter.com</v>
      </c>
      <c r="F156" t="s">
        <v>829</v>
      </c>
      <c r="G156" t="s">
        <v>11</v>
      </c>
      <c r="H156" t="str">
        <f t="shared" si="8"/>
        <v>Female</v>
      </c>
      <c r="I156" t="str">
        <f>"+880"&amp;RIGHT(SUBSTITUTE(SUBSTITUTE($J156," ",""),"-",""),10)</f>
        <v>+8808222713564</v>
      </c>
      <c r="J156" t="s">
        <v>830</v>
      </c>
      <c r="K156" t="s">
        <v>13</v>
      </c>
      <c r="L156" t="str">
        <f>_xlfn.XLOOKUP($K$3,K:K,K:K,$K$2)</f>
        <v>Bangladesh</v>
      </c>
      <c r="M156" t="s">
        <v>56</v>
      </c>
      <c r="N156" t="e" vm="6">
        <f>_xlfn.XLOOKUP($M156,$O:$O,$P:$P,"")</f>
        <v>#VALUE!</v>
      </c>
    </row>
    <row r="157" spans="1:14" x14ac:dyDescent="0.25">
      <c r="A157">
        <v>184</v>
      </c>
      <c r="B157" t="str">
        <f t="shared" si="6"/>
        <v>Wilhelm</v>
      </c>
      <c r="C157" t="s">
        <v>831</v>
      </c>
      <c r="D157" t="s">
        <v>832</v>
      </c>
      <c r="E157" t="str">
        <f t="shared" si="7"/>
        <v>wspens53@google.com</v>
      </c>
      <c r="F157" t="s">
        <v>833</v>
      </c>
      <c r="G157" t="s">
        <v>18</v>
      </c>
      <c r="H157" t="str">
        <f t="shared" si="8"/>
        <v>Male</v>
      </c>
      <c r="I157" t="str">
        <f>"+880"&amp;RIGHT(SUBSTITUTE(SUBSTITUTE($J157," ",""),"-",""),10)</f>
        <v>+8801687576162</v>
      </c>
      <c r="J157" t="s">
        <v>834</v>
      </c>
      <c r="K157" t="s">
        <v>13</v>
      </c>
      <c r="L157" t="str">
        <f>_xlfn.XLOOKUP($K$3,K:K,K:K,$K$2)</f>
        <v>Bangladesh</v>
      </c>
      <c r="M157" t="s">
        <v>86</v>
      </c>
      <c r="N157" t="e" vm="12">
        <f>_xlfn.XLOOKUP($M157,$O:$O,$P:$P,"")</f>
        <v>#VALUE!</v>
      </c>
    </row>
    <row r="158" spans="1:14" x14ac:dyDescent="0.25">
      <c r="A158">
        <v>185</v>
      </c>
      <c r="B158" t="str">
        <f t="shared" si="6"/>
        <v>Randa</v>
      </c>
      <c r="C158" t="s">
        <v>835</v>
      </c>
      <c r="D158" t="s">
        <v>836</v>
      </c>
      <c r="E158" t="str">
        <f t="shared" si="7"/>
        <v>rdyet54@godaddy.com</v>
      </c>
      <c r="F158" t="s">
        <v>837</v>
      </c>
      <c r="G158" t="s">
        <v>11</v>
      </c>
      <c r="H158" t="str">
        <f t="shared" si="8"/>
        <v>Female</v>
      </c>
      <c r="I158" t="str">
        <f>"+880"&amp;RIGHT(SUBSTITUTE(SUBSTITUTE($J158," ",""),"-",""),10)</f>
        <v>+8805756221213</v>
      </c>
      <c r="J158" t="s">
        <v>838</v>
      </c>
      <c r="K158" t="s">
        <v>13</v>
      </c>
      <c r="L158" t="str">
        <f>_xlfn.XLOOKUP($K$3,K:K,K:K,$K$2)</f>
        <v>Bangladesh</v>
      </c>
      <c r="M158" t="s">
        <v>839</v>
      </c>
      <c r="N158" t="e" vm="76">
        <f>_xlfn.XLOOKUP($M158,$O:$O,$P:$P,"")</f>
        <v>#VALUE!</v>
      </c>
    </row>
    <row r="159" spans="1:14" x14ac:dyDescent="0.25">
      <c r="A159">
        <v>186</v>
      </c>
      <c r="B159" t="str">
        <f t="shared" si="6"/>
        <v>Nancey</v>
      </c>
      <c r="C159" t="s">
        <v>840</v>
      </c>
      <c r="D159" t="s">
        <v>841</v>
      </c>
      <c r="E159" t="str">
        <f t="shared" si="7"/>
        <v>nblyden55@amazonaws.com</v>
      </c>
      <c r="F159" t="s">
        <v>842</v>
      </c>
      <c r="G159" t="s">
        <v>11</v>
      </c>
      <c r="H159" t="str">
        <f t="shared" si="8"/>
        <v>Female</v>
      </c>
      <c r="I159" t="str">
        <f>"+880"&amp;RIGHT(SUBSTITUTE(SUBSTITUTE($J159," ",""),"-",""),10)</f>
        <v>+8805949486858</v>
      </c>
      <c r="J159" t="s">
        <v>843</v>
      </c>
      <c r="K159" t="s">
        <v>13</v>
      </c>
      <c r="L159" t="str">
        <f>_xlfn.XLOOKUP($K$3,K:K,K:K,$K$2)</f>
        <v>Bangladesh</v>
      </c>
      <c r="M159" t="s">
        <v>178</v>
      </c>
      <c r="N159" t="e" vm="27">
        <f>_xlfn.XLOOKUP($M159,$O:$O,$P:$P,"")</f>
        <v>#VALUE!</v>
      </c>
    </row>
    <row r="160" spans="1:14" x14ac:dyDescent="0.25">
      <c r="A160">
        <v>187</v>
      </c>
      <c r="B160" t="str">
        <f t="shared" si="6"/>
        <v>Jennette</v>
      </c>
      <c r="C160" t="s">
        <v>844</v>
      </c>
      <c r="D160" t="s">
        <v>845</v>
      </c>
      <c r="E160" t="str">
        <f t="shared" si="7"/>
        <v>jclinton56@bravesites.com</v>
      </c>
      <c r="F160" t="s">
        <v>846</v>
      </c>
      <c r="G160" t="s">
        <v>11</v>
      </c>
      <c r="H160" t="str">
        <f t="shared" si="8"/>
        <v>Female</v>
      </c>
      <c r="I160" t="str">
        <f>"+880"&amp;RIGHT(SUBSTITUTE(SUBSTITUTE($J160," ",""),"-",""),10)</f>
        <v>+8802146006882</v>
      </c>
      <c r="J160" t="s">
        <v>847</v>
      </c>
      <c r="K160" t="s">
        <v>13</v>
      </c>
      <c r="L160" t="str">
        <f>_xlfn.XLOOKUP($K$3,K:K,K:K,$K$2)</f>
        <v>Bangladesh</v>
      </c>
      <c r="M160" t="s">
        <v>360</v>
      </c>
      <c r="N160" t="e" vm="56">
        <f>_xlfn.XLOOKUP($M160,$O:$O,$P:$P,"")</f>
        <v>#VALUE!</v>
      </c>
    </row>
    <row r="161" spans="1:14" x14ac:dyDescent="0.25">
      <c r="A161">
        <v>188</v>
      </c>
      <c r="B161" t="str">
        <f t="shared" si="6"/>
        <v>Konstantin</v>
      </c>
      <c r="C161" t="s">
        <v>848</v>
      </c>
      <c r="D161" t="s">
        <v>849</v>
      </c>
      <c r="E161" t="str">
        <f t="shared" si="7"/>
        <v>kskettles57@yahoo.co.jp</v>
      </c>
      <c r="F161" t="s">
        <v>850</v>
      </c>
      <c r="G161" t="s">
        <v>18</v>
      </c>
      <c r="H161" t="str">
        <f t="shared" si="8"/>
        <v>Male</v>
      </c>
      <c r="I161" t="str">
        <f>"+880"&amp;RIGHT(SUBSTITUTE(SUBSTITUTE($J161," ",""),"-",""),10)</f>
        <v>+8808355751004</v>
      </c>
      <c r="J161" t="s">
        <v>851</v>
      </c>
      <c r="K161" t="s">
        <v>13</v>
      </c>
      <c r="L161" t="str">
        <f>_xlfn.XLOOKUP($K$3,K:K,K:K,$K$2)</f>
        <v>Bangladesh</v>
      </c>
      <c r="M161" t="s">
        <v>700</v>
      </c>
      <c r="N161" t="e" vm="70">
        <f>_xlfn.XLOOKUP($M161,$O:$O,$P:$P,"")</f>
        <v>#VALUE!</v>
      </c>
    </row>
    <row r="162" spans="1:14" x14ac:dyDescent="0.25">
      <c r="A162">
        <v>189</v>
      </c>
      <c r="B162" t="str">
        <f t="shared" si="6"/>
        <v>Arabela</v>
      </c>
      <c r="C162" t="s">
        <v>852</v>
      </c>
      <c r="D162" t="s">
        <v>853</v>
      </c>
      <c r="E162" t="str">
        <f t="shared" si="7"/>
        <v>arobottom58@skyrock.com</v>
      </c>
      <c r="F162" t="s">
        <v>854</v>
      </c>
      <c r="G162" t="s">
        <v>11</v>
      </c>
      <c r="H162" t="str">
        <f t="shared" si="8"/>
        <v>Female</v>
      </c>
      <c r="I162" t="str">
        <f>"+880"&amp;RIGHT(SUBSTITUTE(SUBSTITUTE($J162," ",""),"-",""),10)</f>
        <v>+8803912255473</v>
      </c>
      <c r="J162" t="s">
        <v>855</v>
      </c>
      <c r="K162" t="s">
        <v>13</v>
      </c>
      <c r="L162" t="str">
        <f>_xlfn.XLOOKUP($K$3,K:K,K:K,$K$2)</f>
        <v>Bangladesh</v>
      </c>
      <c r="M162" t="s">
        <v>331</v>
      </c>
      <c r="N162" t="e" vm="64">
        <f>_xlfn.XLOOKUP($M162,$O:$O,$P:$P,"")</f>
        <v>#VALUE!</v>
      </c>
    </row>
    <row r="163" spans="1:14" x14ac:dyDescent="0.25">
      <c r="A163">
        <v>190</v>
      </c>
      <c r="B163" t="str">
        <f t="shared" si="6"/>
        <v>Adelaida</v>
      </c>
      <c r="C163" t="s">
        <v>856</v>
      </c>
      <c r="D163" t="s">
        <v>857</v>
      </c>
      <c r="E163" t="str">
        <f t="shared" si="7"/>
        <v>amawd59@kickstarter.com</v>
      </c>
      <c r="F163" t="s">
        <v>858</v>
      </c>
      <c r="G163" t="s">
        <v>11</v>
      </c>
      <c r="H163" t="str">
        <f t="shared" si="8"/>
        <v>Female</v>
      </c>
      <c r="I163" t="str">
        <f>"+880"&amp;RIGHT(SUBSTITUTE(SUBSTITUTE($J163," ",""),"-",""),10)</f>
        <v>+8801386523340</v>
      </c>
      <c r="J163" t="s">
        <v>859</v>
      </c>
      <c r="K163" t="s">
        <v>13</v>
      </c>
      <c r="L163" t="str">
        <f>_xlfn.XLOOKUP($K$3,K:K,K:K,$K$2)</f>
        <v>Bangladesh</v>
      </c>
      <c r="M163" t="s">
        <v>110</v>
      </c>
      <c r="N163" t="e" vm="16">
        <f>_xlfn.XLOOKUP($M163,$O:$O,$P:$P,"")</f>
        <v>#VALUE!</v>
      </c>
    </row>
    <row r="164" spans="1:14" x14ac:dyDescent="0.25">
      <c r="A164">
        <v>191</v>
      </c>
      <c r="B164" t="str">
        <f t="shared" si="6"/>
        <v>Colleen</v>
      </c>
      <c r="C164" t="s">
        <v>860</v>
      </c>
      <c r="D164" t="s">
        <v>861</v>
      </c>
      <c r="E164" t="str">
        <f t="shared" si="7"/>
        <v>croot5a@jigsy.com</v>
      </c>
      <c r="F164" t="s">
        <v>862</v>
      </c>
      <c r="G164" t="s">
        <v>274</v>
      </c>
      <c r="H164" t="str">
        <f t="shared" si="8"/>
        <v>Other</v>
      </c>
      <c r="I164" t="str">
        <f>"+880"&amp;RIGHT(SUBSTITUTE(SUBSTITUTE($J164," ",""),"-",""),10)</f>
        <v>+8801817445208</v>
      </c>
      <c r="J164" t="s">
        <v>863</v>
      </c>
      <c r="K164" t="s">
        <v>13</v>
      </c>
      <c r="L164" t="str">
        <f>_xlfn.XLOOKUP($K$3,K:K,K:K,$K$2)</f>
        <v>Bangladesh</v>
      </c>
      <c r="M164" t="s">
        <v>678</v>
      </c>
      <c r="N164" t="str">
        <f>_xlfn.XLOOKUP($M164,$O:$O,$P:$P,"")</f>
        <v>Pargaaj</v>
      </c>
    </row>
    <row r="165" spans="1:14" x14ac:dyDescent="0.25">
      <c r="A165">
        <v>192</v>
      </c>
      <c r="B165" t="str">
        <f t="shared" si="6"/>
        <v>Griff</v>
      </c>
      <c r="C165" t="s">
        <v>864</v>
      </c>
      <c r="D165" t="s">
        <v>865</v>
      </c>
      <c r="E165" t="str">
        <f t="shared" si="7"/>
        <v>gdank5b@sitemeter.com</v>
      </c>
      <c r="F165" t="s">
        <v>866</v>
      </c>
      <c r="G165" t="s">
        <v>18</v>
      </c>
      <c r="H165" t="str">
        <f t="shared" si="8"/>
        <v>Male</v>
      </c>
      <c r="I165" t="str">
        <f>"+880"&amp;RIGHT(SUBSTITUTE(SUBSTITUTE($J165," ",""),"-",""),10)</f>
        <v>+8808883531829</v>
      </c>
      <c r="J165" t="s">
        <v>867</v>
      </c>
      <c r="K165" t="s">
        <v>13</v>
      </c>
      <c r="L165" t="str">
        <f>_xlfn.XLOOKUP($K$3,K:K,K:K,$K$2)</f>
        <v>Bangladesh</v>
      </c>
      <c r="M165" t="s">
        <v>641</v>
      </c>
      <c r="N165" t="e" vm="63">
        <f>_xlfn.XLOOKUP($M165,$O:$O,$P:$P,"")</f>
        <v>#VALUE!</v>
      </c>
    </row>
    <row r="166" spans="1:14" x14ac:dyDescent="0.25">
      <c r="A166">
        <v>193</v>
      </c>
      <c r="B166" t="str">
        <f t="shared" si="6"/>
        <v>Itch</v>
      </c>
      <c r="C166" t="s">
        <v>868</v>
      </c>
      <c r="D166" t="s">
        <v>869</v>
      </c>
      <c r="E166" t="str">
        <f t="shared" si="7"/>
        <v>idarth5c@digg.com</v>
      </c>
      <c r="F166" t="s">
        <v>870</v>
      </c>
      <c r="G166" t="s">
        <v>358</v>
      </c>
      <c r="H166" t="str">
        <f t="shared" si="8"/>
        <v>Other</v>
      </c>
      <c r="I166" t="str">
        <f>"+880"&amp;RIGHT(SUBSTITUTE(SUBSTITUTE($J166," ",""),"-",""),10)</f>
        <v>+8807522406178</v>
      </c>
      <c r="J166" t="s">
        <v>871</v>
      </c>
      <c r="K166" t="s">
        <v>13</v>
      </c>
      <c r="L166" t="str">
        <f>_xlfn.XLOOKUP($K$3,K:K,K:K,$K$2)</f>
        <v>Bangladesh</v>
      </c>
      <c r="M166" t="s">
        <v>650</v>
      </c>
      <c r="N166" t="e" vm="65">
        <f>_xlfn.XLOOKUP($M166,$O:$O,$P:$P,"")</f>
        <v>#VALUE!</v>
      </c>
    </row>
    <row r="167" spans="1:14" x14ac:dyDescent="0.25">
      <c r="A167">
        <v>194</v>
      </c>
      <c r="B167" t="str">
        <f t="shared" ref="B167:B225" si="9">PROPER(TRIM($C167))</f>
        <v>Lennie</v>
      </c>
      <c r="C167" t="s">
        <v>872</v>
      </c>
      <c r="D167" t="s">
        <v>873</v>
      </c>
      <c r="E167" t="str">
        <f t="shared" ref="E167:E225" si="10">LOWER(TRIM($F167))</f>
        <v>lmctrusty5d@imageshack.us</v>
      </c>
      <c r="F167" t="s">
        <v>874</v>
      </c>
      <c r="G167" t="s">
        <v>18</v>
      </c>
      <c r="H167" t="str">
        <f t="shared" ref="H167:H225" si="11">IF(OR($G167="M",LOWER($G167)="male"),"Male",
IF(OR($G167="F",LOWER($G167)="female"),"Female","Other"))</f>
        <v>Male</v>
      </c>
      <c r="I167" t="str">
        <f>"+880"&amp;RIGHT(SUBSTITUTE(SUBSTITUTE($J167," ",""),"-",""),10)</f>
        <v>+8803718295511</v>
      </c>
      <c r="J167" t="s">
        <v>875</v>
      </c>
      <c r="K167" t="s">
        <v>13</v>
      </c>
      <c r="L167" t="str">
        <f>_xlfn.XLOOKUP($K$3,K:K,K:K,$K$2)</f>
        <v>Bangladesh</v>
      </c>
      <c r="M167" t="s">
        <v>230</v>
      </c>
      <c r="N167" t="e" vm="34">
        <f>_xlfn.XLOOKUP($M167,$O:$O,$P:$P,"")</f>
        <v>#VALUE!</v>
      </c>
    </row>
    <row r="168" spans="1:14" x14ac:dyDescent="0.25">
      <c r="A168">
        <v>195</v>
      </c>
      <c r="B168" t="str">
        <f t="shared" si="9"/>
        <v>Shauna</v>
      </c>
      <c r="C168" t="s">
        <v>876</v>
      </c>
      <c r="D168" t="s">
        <v>877</v>
      </c>
      <c r="E168" t="str">
        <f t="shared" si="10"/>
        <v>smackim5e@technorati.com</v>
      </c>
      <c r="F168" t="s">
        <v>878</v>
      </c>
      <c r="G168" t="s">
        <v>11</v>
      </c>
      <c r="H168" t="str">
        <f t="shared" si="11"/>
        <v>Female</v>
      </c>
      <c r="I168" t="str">
        <f>"+880"&amp;RIGHT(SUBSTITUTE(SUBSTITUTE($J168," ",""),"-",""),10)</f>
        <v>+8806152955779</v>
      </c>
      <c r="J168" t="s">
        <v>879</v>
      </c>
      <c r="K168" t="s">
        <v>13</v>
      </c>
      <c r="L168" t="str">
        <f>_xlfn.XLOOKUP($K$3,K:K,K:K,$K$2)</f>
        <v>Bangladesh</v>
      </c>
      <c r="M168" t="s">
        <v>168</v>
      </c>
      <c r="N168" t="e" vm="25">
        <f>_xlfn.XLOOKUP($M168,$O:$O,$P:$P,"")</f>
        <v>#VALUE!</v>
      </c>
    </row>
    <row r="169" spans="1:14" x14ac:dyDescent="0.25">
      <c r="A169">
        <v>196</v>
      </c>
      <c r="B169" t="str">
        <f t="shared" si="9"/>
        <v>Marten</v>
      </c>
      <c r="C169" t="s">
        <v>880</v>
      </c>
      <c r="D169" t="s">
        <v>881</v>
      </c>
      <c r="E169" t="str">
        <f t="shared" si="10"/>
        <v>mvolks5f@un.org</v>
      </c>
      <c r="F169" t="s">
        <v>882</v>
      </c>
      <c r="G169" t="s">
        <v>18</v>
      </c>
      <c r="H169" t="str">
        <f t="shared" si="11"/>
        <v>Male</v>
      </c>
      <c r="I169" t="str">
        <f>"+880"&amp;RIGHT(SUBSTITUTE(SUBSTITUTE($J169," ",""),"-",""),10)</f>
        <v>+8806204814284</v>
      </c>
      <c r="J169" t="s">
        <v>883</v>
      </c>
      <c r="K169" t="s">
        <v>13</v>
      </c>
      <c r="L169" t="str">
        <f>_xlfn.XLOOKUP($K$3,K:K,K:K,$K$2)</f>
        <v>Bangladesh</v>
      </c>
      <c r="M169" t="s">
        <v>655</v>
      </c>
      <c r="N169" t="e" vm="66">
        <f>_xlfn.XLOOKUP($M169,$O:$O,$P:$P,"")</f>
        <v>#VALUE!</v>
      </c>
    </row>
    <row r="170" spans="1:14" x14ac:dyDescent="0.25">
      <c r="A170">
        <v>197</v>
      </c>
      <c r="B170" t="str">
        <f t="shared" si="9"/>
        <v>Etti</v>
      </c>
      <c r="C170" t="s">
        <v>884</v>
      </c>
      <c r="D170" t="s">
        <v>885</v>
      </c>
      <c r="E170" t="str">
        <f t="shared" si="10"/>
        <v>emcdyer5g@arstechnica.com</v>
      </c>
      <c r="F170" t="s">
        <v>886</v>
      </c>
      <c r="G170" t="s">
        <v>11</v>
      </c>
      <c r="H170" t="str">
        <f t="shared" si="11"/>
        <v>Female</v>
      </c>
      <c r="I170" t="str">
        <f>"+880"&amp;RIGHT(SUBSTITUTE(SUBSTITUTE($J170," ",""),"-",""),10)</f>
        <v>+8803646681924</v>
      </c>
      <c r="J170" t="s">
        <v>887</v>
      </c>
      <c r="K170" t="s">
        <v>13</v>
      </c>
      <c r="L170" t="str">
        <f>_xlfn.XLOOKUP($K$3,K:K,K:K,$K$2)</f>
        <v>Bangladesh</v>
      </c>
      <c r="M170" t="s">
        <v>125</v>
      </c>
      <c r="N170" t="e" vm="18">
        <f>_xlfn.XLOOKUP($M170,$O:$O,$P:$P,"")</f>
        <v>#VALUE!</v>
      </c>
    </row>
    <row r="171" spans="1:14" x14ac:dyDescent="0.25">
      <c r="A171">
        <v>198</v>
      </c>
      <c r="B171" t="str">
        <f t="shared" si="9"/>
        <v>Thornton</v>
      </c>
      <c r="C171" t="s">
        <v>888</v>
      </c>
      <c r="D171" t="s">
        <v>889</v>
      </c>
      <c r="E171" t="str">
        <f t="shared" si="10"/>
        <v>traxworthy5h@mapy.cz</v>
      </c>
      <c r="F171" t="s">
        <v>890</v>
      </c>
      <c r="G171" t="s">
        <v>18</v>
      </c>
      <c r="H171" t="str">
        <f t="shared" si="11"/>
        <v>Male</v>
      </c>
      <c r="I171" t="str">
        <f>"+880"&amp;RIGHT(SUBSTITUTE(SUBSTITUTE($J171," ",""),"-",""),10)</f>
        <v>+8806462043709</v>
      </c>
      <c r="J171" t="s">
        <v>891</v>
      </c>
      <c r="K171" t="s">
        <v>13</v>
      </c>
      <c r="L171" t="str">
        <f>_xlfn.XLOOKUP($K$3,K:K,K:K,$K$2)</f>
        <v>Bangladesh</v>
      </c>
      <c r="M171" t="s">
        <v>205</v>
      </c>
      <c r="N171" t="e" vm="30">
        <f>_xlfn.XLOOKUP($M171,$O:$O,$P:$P,"")</f>
        <v>#VALUE!</v>
      </c>
    </row>
    <row r="172" spans="1:14" x14ac:dyDescent="0.25">
      <c r="A172">
        <v>199</v>
      </c>
      <c r="B172" t="str">
        <f t="shared" si="9"/>
        <v>Worthington</v>
      </c>
      <c r="C172" t="s">
        <v>892</v>
      </c>
      <c r="D172" t="s">
        <v>893</v>
      </c>
      <c r="E172" t="str">
        <f t="shared" si="10"/>
        <v>wmorewood5i@technorati.com</v>
      </c>
      <c r="F172" t="s">
        <v>894</v>
      </c>
      <c r="G172" t="s">
        <v>18</v>
      </c>
      <c r="H172" t="str">
        <f t="shared" si="11"/>
        <v>Male</v>
      </c>
      <c r="I172" t="str">
        <f>"+880"&amp;RIGHT(SUBSTITUTE(SUBSTITUTE($J172," ",""),"-",""),10)</f>
        <v>+8806698730566</v>
      </c>
      <c r="J172" t="s">
        <v>895</v>
      </c>
      <c r="K172" t="s">
        <v>13</v>
      </c>
      <c r="L172" t="str">
        <f>_xlfn.XLOOKUP($K$3,K:K,K:K,$K$2)</f>
        <v>Bangladesh</v>
      </c>
      <c r="M172" t="s">
        <v>140</v>
      </c>
      <c r="N172" t="e" vm="21">
        <f>_xlfn.XLOOKUP($M172,$O:$O,$P:$P,"")</f>
        <v>#VALUE!</v>
      </c>
    </row>
    <row r="173" spans="1:14" x14ac:dyDescent="0.25">
      <c r="A173">
        <v>200</v>
      </c>
      <c r="B173" t="str">
        <f t="shared" si="9"/>
        <v>Meredith</v>
      </c>
      <c r="C173" t="s">
        <v>896</v>
      </c>
      <c r="D173" t="s">
        <v>897</v>
      </c>
      <c r="E173" t="str">
        <f t="shared" si="10"/>
        <v>mmowbury5j@microsoft.com</v>
      </c>
      <c r="F173" t="s">
        <v>898</v>
      </c>
      <c r="G173" t="s">
        <v>11</v>
      </c>
      <c r="H173" t="str">
        <f t="shared" si="11"/>
        <v>Female</v>
      </c>
      <c r="I173" t="str">
        <f>"+880"&amp;RIGHT(SUBSTITUTE(SUBSTITUTE($J173," ",""),"-",""),10)</f>
        <v>+8802364247643</v>
      </c>
      <c r="J173" t="s">
        <v>899</v>
      </c>
      <c r="K173" t="s">
        <v>13</v>
      </c>
      <c r="L173" t="str">
        <f>_xlfn.XLOOKUP($K$3,K:K,K:K,$K$2)</f>
        <v>Bangladesh</v>
      </c>
      <c r="M173" t="s">
        <v>438</v>
      </c>
      <c r="N173" t="e" vm="52">
        <f>_xlfn.XLOOKUP($M173,$O:$O,$P:$P,"")</f>
        <v>#VALUE!</v>
      </c>
    </row>
    <row r="174" spans="1:14" x14ac:dyDescent="0.25">
      <c r="A174">
        <v>201</v>
      </c>
      <c r="B174" t="str">
        <f t="shared" si="9"/>
        <v>Ailee</v>
      </c>
      <c r="C174" t="s">
        <v>900</v>
      </c>
      <c r="D174" t="s">
        <v>901</v>
      </c>
      <c r="E174" t="str">
        <f t="shared" si="10"/>
        <v>agalliford5k@netscape.com</v>
      </c>
      <c r="F174" t="s">
        <v>902</v>
      </c>
      <c r="G174" t="s">
        <v>11</v>
      </c>
      <c r="H174" t="str">
        <f t="shared" si="11"/>
        <v>Female</v>
      </c>
      <c r="I174" t="str">
        <f>"+880"&amp;RIGHT(SUBSTITUTE(SUBSTITUTE($J174," ",""),"-",""),10)</f>
        <v>+8809043924222</v>
      </c>
      <c r="J174" t="s">
        <v>903</v>
      </c>
      <c r="K174" t="s">
        <v>13</v>
      </c>
      <c r="L174" t="str">
        <f>_xlfn.XLOOKUP($K$3,K:K,K:K,$K$2)</f>
        <v>Bangladesh</v>
      </c>
      <c r="M174" t="s">
        <v>504</v>
      </c>
      <c r="N174" t="e" vm="54">
        <f>_xlfn.XLOOKUP($M174,$O:$O,$P:$P,"")</f>
        <v>#VALUE!</v>
      </c>
    </row>
    <row r="175" spans="1:14" x14ac:dyDescent="0.25">
      <c r="A175">
        <v>202</v>
      </c>
      <c r="B175" t="str">
        <f t="shared" si="9"/>
        <v>Bridget</v>
      </c>
      <c r="C175" t="s">
        <v>904</v>
      </c>
      <c r="D175" t="s">
        <v>905</v>
      </c>
      <c r="E175" t="str">
        <f t="shared" si="10"/>
        <v>bpettingill5l@e-recht24.de</v>
      </c>
      <c r="F175" t="s">
        <v>906</v>
      </c>
      <c r="G175" t="s">
        <v>11</v>
      </c>
      <c r="H175" t="str">
        <f t="shared" si="11"/>
        <v>Female</v>
      </c>
      <c r="I175" t="str">
        <f>"+880"&amp;RIGHT(SUBSTITUTE(SUBSTITUTE($J175," ",""),"-",""),10)</f>
        <v>+8802647059408</v>
      </c>
      <c r="J175" t="s">
        <v>907</v>
      </c>
      <c r="K175" t="s">
        <v>13</v>
      </c>
      <c r="L175" t="str">
        <f>_xlfn.XLOOKUP($K$3,K:K,K:K,$K$2)</f>
        <v>Bangladesh</v>
      </c>
      <c r="M175" t="s">
        <v>705</v>
      </c>
      <c r="N175" t="e" vm="71">
        <f>_xlfn.XLOOKUP($M175,$O:$O,$P:$P,"")</f>
        <v>#VALUE!</v>
      </c>
    </row>
    <row r="176" spans="1:14" x14ac:dyDescent="0.25">
      <c r="A176">
        <v>203</v>
      </c>
      <c r="B176" t="str">
        <f t="shared" si="9"/>
        <v>Mellicent</v>
      </c>
      <c r="C176" t="s">
        <v>908</v>
      </c>
      <c r="D176" t="s">
        <v>909</v>
      </c>
      <c r="E176" t="str">
        <f t="shared" si="10"/>
        <v>mstaunton5m@surveymonkey.com</v>
      </c>
      <c r="F176" t="s">
        <v>910</v>
      </c>
      <c r="G176" t="s">
        <v>11</v>
      </c>
      <c r="H176" t="str">
        <f t="shared" si="11"/>
        <v>Female</v>
      </c>
      <c r="I176" t="str">
        <f>"+880"&amp;RIGHT(SUBSTITUTE(SUBSTITUTE($J176," ",""),"-",""),10)</f>
        <v>+8802525313290</v>
      </c>
      <c r="J176" t="s">
        <v>911</v>
      </c>
      <c r="K176" t="s">
        <v>13</v>
      </c>
      <c r="L176" t="str">
        <f>_xlfn.XLOOKUP($K$3,K:K,K:K,$K$2)</f>
        <v>Bangladesh</v>
      </c>
      <c r="M176" t="s">
        <v>215</v>
      </c>
      <c r="N176" t="e" vm="32">
        <f>_xlfn.XLOOKUP($M176,$O:$O,$P:$P,"")</f>
        <v>#VALUE!</v>
      </c>
    </row>
    <row r="177" spans="1:14" x14ac:dyDescent="0.25">
      <c r="A177">
        <v>205</v>
      </c>
      <c r="B177" t="str">
        <f t="shared" si="9"/>
        <v>Gladi</v>
      </c>
      <c r="C177" t="s">
        <v>917</v>
      </c>
      <c r="D177" t="s">
        <v>918</v>
      </c>
      <c r="E177" t="str">
        <f t="shared" si="10"/>
        <v>gthaxter5o@vistaprint.com</v>
      </c>
      <c r="F177" t="s">
        <v>919</v>
      </c>
      <c r="G177" t="s">
        <v>11</v>
      </c>
      <c r="H177" t="str">
        <f t="shared" si="11"/>
        <v>Female</v>
      </c>
      <c r="I177" t="str">
        <f>"+880"&amp;RIGHT(SUBSTITUTE(SUBSTITUTE($J177," ",""),"-",""),10)</f>
        <v>+8804198461918</v>
      </c>
      <c r="J177" t="s">
        <v>920</v>
      </c>
      <c r="K177" t="s">
        <v>13</v>
      </c>
      <c r="L177" t="str">
        <f>_xlfn.XLOOKUP($K$3,K:K,K:K,$K$2)</f>
        <v>Bangladesh</v>
      </c>
      <c r="M177" t="s">
        <v>678</v>
      </c>
      <c r="N177" t="str">
        <f>_xlfn.XLOOKUP($M177,$O:$O,$P:$P,"")</f>
        <v>Pargaaj</v>
      </c>
    </row>
    <row r="178" spans="1:14" x14ac:dyDescent="0.25">
      <c r="A178">
        <v>206</v>
      </c>
      <c r="B178" t="str">
        <f t="shared" si="9"/>
        <v>Anestassia</v>
      </c>
      <c r="C178" t="s">
        <v>921</v>
      </c>
      <c r="D178" t="s">
        <v>922</v>
      </c>
      <c r="E178" t="str">
        <f t="shared" si="10"/>
        <v>adempster5p@hc360.com</v>
      </c>
      <c r="F178" t="s">
        <v>923</v>
      </c>
      <c r="G178" t="s">
        <v>11</v>
      </c>
      <c r="H178" t="str">
        <f t="shared" si="11"/>
        <v>Female</v>
      </c>
      <c r="I178" t="str">
        <f>"+880"&amp;RIGHT(SUBSTITUTE(SUBSTITUTE($J178," ",""),"-",""),10)</f>
        <v>+8805126682854</v>
      </c>
      <c r="J178" t="s">
        <v>924</v>
      </c>
      <c r="K178" t="s">
        <v>13</v>
      </c>
      <c r="L178" t="str">
        <f>_xlfn.XLOOKUP($K$3,K:K,K:K,$K$2)</f>
        <v>Bangladesh</v>
      </c>
      <c r="M178" t="s">
        <v>36</v>
      </c>
      <c r="N178" t="str">
        <f>_xlfn.XLOOKUP($M178,$O:$O,$P:$P,"")</f>
        <v>Lakshmapur</v>
      </c>
    </row>
    <row r="179" spans="1:14" x14ac:dyDescent="0.25">
      <c r="A179">
        <v>207</v>
      </c>
      <c r="B179" t="str">
        <f t="shared" si="9"/>
        <v>Ignacio</v>
      </c>
      <c r="C179" t="s">
        <v>925</v>
      </c>
      <c r="D179" t="s">
        <v>926</v>
      </c>
      <c r="E179" t="str">
        <f t="shared" si="10"/>
        <v>ithomke5q@pinterest.com</v>
      </c>
      <c r="F179" t="s">
        <v>927</v>
      </c>
      <c r="G179" t="s">
        <v>18</v>
      </c>
      <c r="H179" t="str">
        <f t="shared" si="11"/>
        <v>Male</v>
      </c>
      <c r="I179" t="str">
        <f>"+880"&amp;RIGHT(SUBSTITUTE(SUBSTITUTE($J179," ",""),"-",""),10)</f>
        <v>+8805715999250</v>
      </c>
      <c r="J179" t="s">
        <v>928</v>
      </c>
      <c r="K179" t="s">
        <v>13</v>
      </c>
      <c r="L179" t="str">
        <f>_xlfn.XLOOKUP($K$3,K:K,K:K,$K$2)</f>
        <v>Bangladesh</v>
      </c>
      <c r="M179" t="s">
        <v>210</v>
      </c>
      <c r="N179" t="e" vm="31">
        <f>_xlfn.XLOOKUP($M179,$O:$O,$P:$P,"")</f>
        <v>#VALUE!</v>
      </c>
    </row>
    <row r="180" spans="1:14" x14ac:dyDescent="0.25">
      <c r="A180">
        <v>208</v>
      </c>
      <c r="B180" t="str">
        <f t="shared" si="9"/>
        <v>Heindrick</v>
      </c>
      <c r="C180" t="s">
        <v>929</v>
      </c>
      <c r="D180" t="s">
        <v>930</v>
      </c>
      <c r="E180" t="str">
        <f t="shared" si="10"/>
        <v>hbausmann5r@oakley.com</v>
      </c>
      <c r="F180" t="s">
        <v>931</v>
      </c>
      <c r="G180" t="s">
        <v>18</v>
      </c>
      <c r="H180" t="str">
        <f t="shared" si="11"/>
        <v>Male</v>
      </c>
      <c r="I180" t="str">
        <f>"+880"&amp;RIGHT(SUBSTITUTE(SUBSTITUTE($J180," ",""),"-",""),10)</f>
        <v>+8803066644099</v>
      </c>
      <c r="J180" t="s">
        <v>932</v>
      </c>
      <c r="K180" t="s">
        <v>13</v>
      </c>
      <c r="L180" t="str">
        <f>_xlfn.XLOOKUP($K$3,K:K,K:K,$K$2)</f>
        <v>Bangladesh</v>
      </c>
      <c r="M180" t="s">
        <v>933</v>
      </c>
      <c r="N180" t="e" vm="77">
        <f>_xlfn.XLOOKUP($M180,$O:$O,$P:$P,"")</f>
        <v>#VALUE!</v>
      </c>
    </row>
    <row r="181" spans="1:14" x14ac:dyDescent="0.25">
      <c r="A181">
        <v>209</v>
      </c>
      <c r="B181" t="str">
        <f t="shared" si="9"/>
        <v>Allister</v>
      </c>
      <c r="C181" t="s">
        <v>934</v>
      </c>
      <c r="D181" t="s">
        <v>935</v>
      </c>
      <c r="E181" t="str">
        <f t="shared" si="10"/>
        <v>amurname5s@zdnet.com</v>
      </c>
      <c r="F181" t="s">
        <v>936</v>
      </c>
      <c r="G181" t="s">
        <v>18</v>
      </c>
      <c r="H181" t="str">
        <f t="shared" si="11"/>
        <v>Male</v>
      </c>
      <c r="I181" t="str">
        <f>"+880"&amp;RIGHT(SUBSTITUTE(SUBSTITUTE($J181," ",""),"-",""),10)</f>
        <v>+8804675631845</v>
      </c>
      <c r="J181" t="s">
        <v>937</v>
      </c>
      <c r="K181" t="s">
        <v>13</v>
      </c>
      <c r="L181" t="str">
        <f>_xlfn.XLOOKUP($K$3,K:K,K:K,$K$2)</f>
        <v>Bangladesh</v>
      </c>
      <c r="M181" t="s">
        <v>135</v>
      </c>
      <c r="N181" t="e" vm="20">
        <f>_xlfn.XLOOKUP($M181,$O:$O,$P:$P,"")</f>
        <v>#VALUE!</v>
      </c>
    </row>
    <row r="182" spans="1:14" x14ac:dyDescent="0.25">
      <c r="A182">
        <v>210</v>
      </c>
      <c r="B182" t="str">
        <f t="shared" si="9"/>
        <v>Doralynn</v>
      </c>
      <c r="C182" t="s">
        <v>938</v>
      </c>
      <c r="D182" t="s">
        <v>939</v>
      </c>
      <c r="E182" t="str">
        <f t="shared" si="10"/>
        <v>dstobie5t@abc.net.au</v>
      </c>
      <c r="F182" t="s">
        <v>940</v>
      </c>
      <c r="G182" t="s">
        <v>11</v>
      </c>
      <c r="H182" t="str">
        <f t="shared" si="11"/>
        <v>Female</v>
      </c>
      <c r="I182" t="str">
        <f>"+880"&amp;RIGHT(SUBSTITUTE(SUBSTITUTE($J182," ",""),"-",""),10)</f>
        <v>+8804496426845</v>
      </c>
      <c r="J182" t="s">
        <v>941</v>
      </c>
      <c r="K182" t="s">
        <v>13</v>
      </c>
      <c r="L182" t="str">
        <f>_xlfn.XLOOKUP($K$3,K:K,K:K,$K$2)</f>
        <v>Bangladesh</v>
      </c>
      <c r="M182" t="s">
        <v>130</v>
      </c>
      <c r="N182" t="e" vm="19">
        <f>_xlfn.XLOOKUP($M182,$O:$O,$P:$P,"")</f>
        <v>#VALUE!</v>
      </c>
    </row>
    <row r="183" spans="1:14" x14ac:dyDescent="0.25">
      <c r="A183">
        <v>211</v>
      </c>
      <c r="B183" t="str">
        <f t="shared" si="9"/>
        <v>Lezlie</v>
      </c>
      <c r="C183" t="s">
        <v>942</v>
      </c>
      <c r="D183" t="s">
        <v>943</v>
      </c>
      <c r="E183" t="str">
        <f t="shared" si="10"/>
        <v>lstredwick5u@sogou.com</v>
      </c>
      <c r="F183" t="s">
        <v>944</v>
      </c>
      <c r="G183" t="s">
        <v>11</v>
      </c>
      <c r="H183" t="str">
        <f t="shared" si="11"/>
        <v>Female</v>
      </c>
      <c r="I183" t="str">
        <f>"+880"&amp;RIGHT(SUBSTITUTE(SUBSTITUTE($J183," ",""),"-",""),10)</f>
        <v>+8804052683337</v>
      </c>
      <c r="J183" t="s">
        <v>945</v>
      </c>
      <c r="K183" t="s">
        <v>13</v>
      </c>
      <c r="L183" t="str">
        <f>_xlfn.XLOOKUP($K$3,K:K,K:K,$K$2)</f>
        <v>Bangladesh</v>
      </c>
      <c r="M183" t="s">
        <v>804</v>
      </c>
      <c r="N183" t="e" vm="73">
        <f>_xlfn.XLOOKUP($M183,$O:$O,$P:$P,"")</f>
        <v>#VALUE!</v>
      </c>
    </row>
    <row r="184" spans="1:14" x14ac:dyDescent="0.25">
      <c r="A184">
        <v>212</v>
      </c>
      <c r="B184" t="str">
        <f t="shared" si="9"/>
        <v>Rosy</v>
      </c>
      <c r="C184" t="s">
        <v>946</v>
      </c>
      <c r="D184" t="s">
        <v>947</v>
      </c>
      <c r="E184" t="str">
        <f t="shared" si="10"/>
        <v>rfitzer5v@ucsd.edu</v>
      </c>
      <c r="F184" t="s">
        <v>948</v>
      </c>
      <c r="G184" t="s">
        <v>11</v>
      </c>
      <c r="H184" t="str">
        <f t="shared" si="11"/>
        <v>Female</v>
      </c>
      <c r="I184" t="str">
        <f>"+880"&amp;RIGHT(SUBSTITUTE(SUBSTITUTE($J184," ",""),"-",""),10)</f>
        <v>+8803536236759</v>
      </c>
      <c r="J184" t="s">
        <v>949</v>
      </c>
      <c r="K184" t="s">
        <v>13</v>
      </c>
      <c r="L184" t="str">
        <f>_xlfn.XLOOKUP($K$3,K:K,K:K,$K$2)</f>
        <v>Bangladesh</v>
      </c>
      <c r="M184" t="s">
        <v>809</v>
      </c>
      <c r="N184" t="e" vm="74">
        <f>_xlfn.XLOOKUP($M184,$O:$O,$P:$P,"")</f>
        <v>#VALUE!</v>
      </c>
    </row>
    <row r="185" spans="1:14" x14ac:dyDescent="0.25">
      <c r="A185">
        <v>213</v>
      </c>
      <c r="B185" t="str">
        <f t="shared" si="9"/>
        <v>Klarika</v>
      </c>
      <c r="C185" t="s">
        <v>950</v>
      </c>
      <c r="D185" t="s">
        <v>951</v>
      </c>
      <c r="E185" t="str">
        <f t="shared" si="10"/>
        <v>kcahillane5w@harvard.edu</v>
      </c>
      <c r="F185" t="s">
        <v>952</v>
      </c>
      <c r="G185" t="s">
        <v>11</v>
      </c>
      <c r="H185" t="str">
        <f t="shared" si="11"/>
        <v>Female</v>
      </c>
      <c r="I185" t="str">
        <f>"+880"&amp;RIGHT(SUBSTITUTE(SUBSTITUTE($J185," ",""),"-",""),10)</f>
        <v>+8804607710729</v>
      </c>
      <c r="J185" t="s">
        <v>953</v>
      </c>
      <c r="K185" t="s">
        <v>13</v>
      </c>
      <c r="L185" t="str">
        <f>_xlfn.XLOOKUP($K$3,K:K,K:K,$K$2)</f>
        <v>Bangladesh</v>
      </c>
      <c r="M185" t="s">
        <v>549</v>
      </c>
      <c r="N185" t="e" vm="78">
        <f>_xlfn.XLOOKUP($M185,$O:$O,$P:$P,"")</f>
        <v>#VALUE!</v>
      </c>
    </row>
    <row r="186" spans="1:14" x14ac:dyDescent="0.25">
      <c r="A186">
        <v>214</v>
      </c>
      <c r="B186" t="str">
        <f t="shared" si="9"/>
        <v>Rhona</v>
      </c>
      <c r="C186" t="s">
        <v>954</v>
      </c>
      <c r="D186" t="s">
        <v>955</v>
      </c>
      <c r="E186" t="str">
        <f t="shared" si="10"/>
        <v>rfairlem5x@yolasite.com</v>
      </c>
      <c r="F186" t="s">
        <v>956</v>
      </c>
      <c r="G186" t="s">
        <v>228</v>
      </c>
      <c r="H186" t="str">
        <f t="shared" si="11"/>
        <v>Other</v>
      </c>
      <c r="I186" t="str">
        <f>"+880"&amp;RIGHT(SUBSTITUTE(SUBSTITUTE($J186," ",""),"-",""),10)</f>
        <v>+8809316088483</v>
      </c>
      <c r="J186" t="s">
        <v>957</v>
      </c>
      <c r="K186" t="s">
        <v>13</v>
      </c>
      <c r="L186" t="str">
        <f>_xlfn.XLOOKUP($K$3,K:K,K:K,$K$2)</f>
        <v>Bangladesh</v>
      </c>
      <c r="M186" t="s">
        <v>287</v>
      </c>
      <c r="N186" t="e" vm="41">
        <f>_xlfn.XLOOKUP($M186,$O:$O,$P:$P,"")</f>
        <v>#VALUE!</v>
      </c>
    </row>
    <row r="187" spans="1:14" x14ac:dyDescent="0.25">
      <c r="A187">
        <v>216</v>
      </c>
      <c r="B187" t="str">
        <f t="shared" si="9"/>
        <v>Kiri</v>
      </c>
      <c r="C187" t="s">
        <v>962</v>
      </c>
      <c r="D187" t="s">
        <v>963</v>
      </c>
      <c r="E187" t="str">
        <f t="shared" si="10"/>
        <v>kmenaul5z@joomla.org</v>
      </c>
      <c r="F187" t="s">
        <v>964</v>
      </c>
      <c r="G187" t="s">
        <v>11</v>
      </c>
      <c r="H187" t="str">
        <f t="shared" si="11"/>
        <v>Female</v>
      </c>
      <c r="I187" t="str">
        <f>"+880"&amp;RIGHT(SUBSTITUTE(SUBSTITUTE($J187," ",""),"-",""),10)</f>
        <v>+8807493602893</v>
      </c>
      <c r="J187" t="s">
        <v>965</v>
      </c>
      <c r="K187" t="s">
        <v>13</v>
      </c>
      <c r="L187" t="str">
        <f>_xlfn.XLOOKUP($K$3,K:K,K:K,$K$2)</f>
        <v>Bangladesh</v>
      </c>
      <c r="M187" t="s">
        <v>641</v>
      </c>
      <c r="N187" t="e" vm="63">
        <f>_xlfn.XLOOKUP($M187,$O:$O,$P:$P,"")</f>
        <v>#VALUE!</v>
      </c>
    </row>
    <row r="188" spans="1:14" x14ac:dyDescent="0.25">
      <c r="A188">
        <v>217</v>
      </c>
      <c r="B188" t="str">
        <f t="shared" si="9"/>
        <v>Caleb</v>
      </c>
      <c r="C188" t="s">
        <v>966</v>
      </c>
      <c r="D188" t="s">
        <v>967</v>
      </c>
      <c r="E188" t="str">
        <f t="shared" si="10"/>
        <v>ccrudge60@nymag.com</v>
      </c>
      <c r="F188" t="s">
        <v>968</v>
      </c>
      <c r="G188" t="s">
        <v>18</v>
      </c>
      <c r="H188" t="str">
        <f t="shared" si="11"/>
        <v>Male</v>
      </c>
      <c r="I188" t="str">
        <f>"+880"&amp;RIGHT(SUBSTITUTE(SUBSTITUTE($J188," ",""),"-",""),10)</f>
        <v>+8806726284243</v>
      </c>
      <c r="J188" t="s">
        <v>969</v>
      </c>
      <c r="K188" t="s">
        <v>13</v>
      </c>
      <c r="L188" t="str">
        <f>_xlfn.XLOOKUP($K$3,K:K,K:K,$K$2)</f>
        <v>Bangladesh</v>
      </c>
      <c r="M188" t="s">
        <v>916</v>
      </c>
      <c r="N188" t="e" vm="79">
        <f>_xlfn.XLOOKUP($M188,$O:$O,$P:$P,"")</f>
        <v>#VALUE!</v>
      </c>
    </row>
    <row r="189" spans="1:14" x14ac:dyDescent="0.25">
      <c r="A189">
        <v>218</v>
      </c>
      <c r="B189" t="str">
        <f t="shared" si="9"/>
        <v>Maurita</v>
      </c>
      <c r="C189" t="s">
        <v>970</v>
      </c>
      <c r="D189" t="s">
        <v>971</v>
      </c>
      <c r="E189" t="str">
        <f t="shared" si="10"/>
        <v>mmasser61@mayoclinic.com</v>
      </c>
      <c r="F189" t="s">
        <v>972</v>
      </c>
      <c r="G189" t="s">
        <v>11</v>
      </c>
      <c r="H189" t="str">
        <f t="shared" si="11"/>
        <v>Female</v>
      </c>
      <c r="I189" t="str">
        <f>"+880"&amp;RIGHT(SUBSTITUTE(SUBSTITUTE($J189," ",""),"-",""),10)</f>
        <v>+8806785874629</v>
      </c>
      <c r="J189" t="s">
        <v>973</v>
      </c>
      <c r="K189" t="s">
        <v>13</v>
      </c>
      <c r="L189" t="str">
        <f>_xlfn.XLOOKUP($K$3,K:K,K:K,$K$2)</f>
        <v>Bangladesh</v>
      </c>
      <c r="M189" t="s">
        <v>350</v>
      </c>
      <c r="N189" t="str">
        <f>_xlfn.XLOOKUP($M189,$O:$O,$P:$P,"")</f>
        <v>Pir Naogaon</v>
      </c>
    </row>
    <row r="190" spans="1:14" x14ac:dyDescent="0.25">
      <c r="A190">
        <v>219</v>
      </c>
      <c r="B190" t="str">
        <f t="shared" si="9"/>
        <v>Tyrus</v>
      </c>
      <c r="C190" t="s">
        <v>974</v>
      </c>
      <c r="D190" t="s">
        <v>975</v>
      </c>
      <c r="E190" t="str">
        <f t="shared" si="10"/>
        <v>thasling62@dagondesign.com</v>
      </c>
      <c r="F190" t="s">
        <v>976</v>
      </c>
      <c r="G190" t="s">
        <v>18</v>
      </c>
      <c r="H190" t="str">
        <f t="shared" si="11"/>
        <v>Male</v>
      </c>
      <c r="I190" t="str">
        <f>"+880"&amp;RIGHT(SUBSTITUTE(SUBSTITUTE($J190," ",""),"-",""),10)</f>
        <v>+8808423895059</v>
      </c>
      <c r="J190" t="s">
        <v>977</v>
      </c>
      <c r="K190" t="s">
        <v>13</v>
      </c>
      <c r="L190" t="str">
        <f>_xlfn.XLOOKUP($K$3,K:K,K:K,$K$2)</f>
        <v>Bangladesh</v>
      </c>
      <c r="M190" t="s">
        <v>120</v>
      </c>
      <c r="N190" t="str">
        <f>_xlfn.XLOOKUP($M190,$O:$O,$P:$P,"")</f>
        <v>Bhatpara Abhaynagar</v>
      </c>
    </row>
    <row r="191" spans="1:14" x14ac:dyDescent="0.25">
      <c r="A191">
        <v>220</v>
      </c>
      <c r="B191" t="str">
        <f t="shared" si="9"/>
        <v>Fred</v>
      </c>
      <c r="C191" t="s">
        <v>978</v>
      </c>
      <c r="D191" t="s">
        <v>979</v>
      </c>
      <c r="E191" t="str">
        <f t="shared" si="10"/>
        <v>fpaynes63@nymag.com</v>
      </c>
      <c r="F191" t="s">
        <v>980</v>
      </c>
      <c r="G191" t="s">
        <v>11</v>
      </c>
      <c r="H191" t="str">
        <f t="shared" si="11"/>
        <v>Female</v>
      </c>
      <c r="I191" t="str">
        <f>"+880"&amp;RIGHT(SUBSTITUTE(SUBSTITUTE($J191," ",""),"-",""),10)</f>
        <v>+8803475743790</v>
      </c>
      <c r="J191" t="s">
        <v>981</v>
      </c>
      <c r="K191" t="s">
        <v>13</v>
      </c>
      <c r="L191" t="str">
        <f>_xlfn.XLOOKUP($K$3,K:K,K:K,$K$2)</f>
        <v>Bangladesh</v>
      </c>
      <c r="M191" t="s">
        <v>36</v>
      </c>
      <c r="N191" t="str">
        <f>_xlfn.XLOOKUP($M191,$O:$O,$P:$P,"")</f>
        <v>Lakshmapur</v>
      </c>
    </row>
    <row r="192" spans="1:14" x14ac:dyDescent="0.25">
      <c r="A192">
        <v>221</v>
      </c>
      <c r="B192" t="str">
        <f t="shared" si="9"/>
        <v>Florenza</v>
      </c>
      <c r="C192" t="s">
        <v>982</v>
      </c>
      <c r="D192" t="s">
        <v>983</v>
      </c>
      <c r="E192" t="str">
        <f t="shared" si="10"/>
        <v>froocroft64@abc.net.au</v>
      </c>
      <c r="F192" t="s">
        <v>984</v>
      </c>
      <c r="G192" t="s">
        <v>11</v>
      </c>
      <c r="H192" t="str">
        <f t="shared" si="11"/>
        <v>Female</v>
      </c>
      <c r="I192" t="str">
        <f>"+880"&amp;RIGHT(SUBSTITUTE(SUBSTITUTE($J192," ",""),"-",""),10)</f>
        <v>+8802231238909</v>
      </c>
      <c r="J192" t="s">
        <v>985</v>
      </c>
      <c r="K192" t="s">
        <v>13</v>
      </c>
      <c r="L192" t="str">
        <f>_xlfn.XLOOKUP($K$3,K:K,K:K,$K$2)</f>
        <v>Bangladesh</v>
      </c>
      <c r="M192" t="s">
        <v>168</v>
      </c>
      <c r="N192" t="e" vm="25">
        <f>_xlfn.XLOOKUP($M192,$O:$O,$P:$P,"")</f>
        <v>#VALUE!</v>
      </c>
    </row>
    <row r="193" spans="1:14" x14ac:dyDescent="0.25">
      <c r="A193">
        <v>222</v>
      </c>
      <c r="B193" t="str">
        <f t="shared" si="9"/>
        <v>Ossie</v>
      </c>
      <c r="C193" t="s">
        <v>986</v>
      </c>
      <c r="D193" t="s">
        <v>987</v>
      </c>
      <c r="E193" t="str">
        <f t="shared" si="10"/>
        <v>owatt65@ted.com</v>
      </c>
      <c r="F193" t="s">
        <v>988</v>
      </c>
      <c r="G193" t="s">
        <v>18</v>
      </c>
      <c r="H193" t="str">
        <f t="shared" si="11"/>
        <v>Male</v>
      </c>
      <c r="I193" t="str">
        <f>"+880"&amp;RIGHT(SUBSTITUTE(SUBSTITUTE($J193," ",""),"-",""),10)</f>
        <v>+8801917925663</v>
      </c>
      <c r="J193" t="s">
        <v>989</v>
      </c>
      <c r="K193" t="s">
        <v>13</v>
      </c>
      <c r="L193" t="str">
        <f>_xlfn.XLOOKUP($K$3,K:K,K:K,$K$2)</f>
        <v>Bangladesh</v>
      </c>
      <c r="M193" t="s">
        <v>331</v>
      </c>
      <c r="N193" t="e" vm="64">
        <f>_xlfn.XLOOKUP($M193,$O:$O,$P:$P,"")</f>
        <v>#VALUE!</v>
      </c>
    </row>
    <row r="194" spans="1:14" x14ac:dyDescent="0.25">
      <c r="A194">
        <v>223</v>
      </c>
      <c r="B194" t="str">
        <f t="shared" si="9"/>
        <v>Emalee</v>
      </c>
      <c r="C194" t="s">
        <v>990</v>
      </c>
      <c r="D194" t="s">
        <v>991</v>
      </c>
      <c r="E194" t="str">
        <f t="shared" si="10"/>
        <v>eclem66@usnews.com</v>
      </c>
      <c r="F194" t="s">
        <v>992</v>
      </c>
      <c r="G194" t="s">
        <v>11</v>
      </c>
      <c r="H194" t="str">
        <f t="shared" si="11"/>
        <v>Female</v>
      </c>
      <c r="I194" t="str">
        <f>"+880"&amp;RIGHT(SUBSTITUTE(SUBSTITUTE($J194," ",""),"-",""),10)</f>
        <v>+8803965734909</v>
      </c>
      <c r="J194" t="s">
        <v>993</v>
      </c>
      <c r="K194" t="s">
        <v>13</v>
      </c>
      <c r="L194" t="str">
        <f>_xlfn.XLOOKUP($K$3,K:K,K:K,$K$2)</f>
        <v>Bangladesh</v>
      </c>
      <c r="M194" t="s">
        <v>809</v>
      </c>
      <c r="N194" t="e" vm="74">
        <f>_xlfn.XLOOKUP($M194,$O:$O,$P:$P,"")</f>
        <v>#VALUE!</v>
      </c>
    </row>
    <row r="195" spans="1:14" x14ac:dyDescent="0.25">
      <c r="A195">
        <v>224</v>
      </c>
      <c r="B195" t="str">
        <f t="shared" si="9"/>
        <v>Huntington</v>
      </c>
      <c r="C195" t="s">
        <v>283</v>
      </c>
      <c r="D195" t="s">
        <v>994</v>
      </c>
      <c r="E195" t="str">
        <f t="shared" si="10"/>
        <v>hchalliss67@cyberchimps.com</v>
      </c>
      <c r="F195" t="s">
        <v>995</v>
      </c>
      <c r="G195" t="s">
        <v>274</v>
      </c>
      <c r="H195" t="str">
        <f t="shared" si="11"/>
        <v>Other</v>
      </c>
      <c r="I195" t="str">
        <f>"+880"&amp;RIGHT(SUBSTITUTE(SUBSTITUTE($J195," ",""),"-",""),10)</f>
        <v>+8807363668950</v>
      </c>
      <c r="J195" t="s">
        <v>996</v>
      </c>
      <c r="K195" t="s">
        <v>13</v>
      </c>
      <c r="L195" t="str">
        <f>_xlfn.XLOOKUP($K$3,K:K,K:K,$K$2)</f>
        <v>Bangladesh</v>
      </c>
      <c r="M195" t="s">
        <v>61</v>
      </c>
      <c r="N195" t="e" vm="7">
        <f>_xlfn.XLOOKUP($M195,$O:$O,$P:$P,"")</f>
        <v>#VALUE!</v>
      </c>
    </row>
    <row r="196" spans="1:14" x14ac:dyDescent="0.25">
      <c r="A196">
        <v>225</v>
      </c>
      <c r="B196" t="str">
        <f t="shared" si="9"/>
        <v>Emmerich</v>
      </c>
      <c r="C196" t="s">
        <v>997</v>
      </c>
      <c r="D196" t="s">
        <v>998</v>
      </c>
      <c r="E196" t="str">
        <f t="shared" si="10"/>
        <v>ecalderhead68@goo.gl</v>
      </c>
      <c r="F196" t="s">
        <v>999</v>
      </c>
      <c r="G196" t="s">
        <v>18</v>
      </c>
      <c r="H196" t="str">
        <f t="shared" si="11"/>
        <v>Male</v>
      </c>
      <c r="I196" t="str">
        <f>"+880"&amp;RIGHT(SUBSTITUTE(SUBSTITUTE($J196," ",""),"-",""),10)</f>
        <v>+8805073438951</v>
      </c>
      <c r="J196" t="s">
        <v>1000</v>
      </c>
      <c r="K196" t="s">
        <v>13</v>
      </c>
      <c r="L196" t="str">
        <f>_xlfn.XLOOKUP($K$3,K:K,K:K,$K$2)</f>
        <v>Bangladesh</v>
      </c>
      <c r="M196" t="s">
        <v>183</v>
      </c>
      <c r="N196" t="e" vm="28">
        <f>_xlfn.XLOOKUP($M196,$O:$O,$P:$P,"")</f>
        <v>#VALUE!</v>
      </c>
    </row>
    <row r="197" spans="1:14" x14ac:dyDescent="0.25">
      <c r="A197">
        <v>226</v>
      </c>
      <c r="B197" t="str">
        <f t="shared" si="9"/>
        <v>Isidro</v>
      </c>
      <c r="C197" t="s">
        <v>1001</v>
      </c>
      <c r="D197" t="s">
        <v>1002</v>
      </c>
      <c r="E197" t="str">
        <f t="shared" si="10"/>
        <v>igerner69@friendfeed.com</v>
      </c>
      <c r="F197" t="s">
        <v>1003</v>
      </c>
      <c r="G197" t="s">
        <v>18</v>
      </c>
      <c r="H197" t="str">
        <f t="shared" si="11"/>
        <v>Male</v>
      </c>
      <c r="I197" t="str">
        <f>"+880"&amp;RIGHT(SUBSTITUTE(SUBSTITUTE($J197," ",""),"-",""),10)</f>
        <v>+8803555625303</v>
      </c>
      <c r="J197" t="s">
        <v>1004</v>
      </c>
      <c r="K197" t="s">
        <v>13</v>
      </c>
      <c r="L197" t="str">
        <f>_xlfn.XLOOKUP($K$3,K:K,K:K,$K$2)</f>
        <v>Bangladesh</v>
      </c>
      <c r="M197" t="s">
        <v>81</v>
      </c>
      <c r="N197" t="e" vm="11">
        <f>_xlfn.XLOOKUP($M197,$O:$O,$P:$P,"")</f>
        <v>#VALUE!</v>
      </c>
    </row>
    <row r="198" spans="1:14" x14ac:dyDescent="0.25">
      <c r="A198">
        <v>227</v>
      </c>
      <c r="B198" t="str">
        <f t="shared" si="9"/>
        <v>Gwyneth</v>
      </c>
      <c r="C198" t="s">
        <v>1005</v>
      </c>
      <c r="D198" t="s">
        <v>1006</v>
      </c>
      <c r="E198" t="str">
        <f t="shared" si="10"/>
        <v>gmordan6a@trellian.com</v>
      </c>
      <c r="F198" t="s">
        <v>1007</v>
      </c>
      <c r="G198" t="s">
        <v>11</v>
      </c>
      <c r="H198" t="str">
        <f t="shared" si="11"/>
        <v>Female</v>
      </c>
      <c r="I198" t="str">
        <f>"+880"&amp;RIGHT(SUBSTITUTE(SUBSTITUTE($J198," ",""),"-",""),10)</f>
        <v>+8808038652776</v>
      </c>
      <c r="J198" t="s">
        <v>1008</v>
      </c>
      <c r="K198" t="s">
        <v>13</v>
      </c>
      <c r="L198" t="str">
        <f>_xlfn.XLOOKUP($K$3,K:K,K:K,$K$2)</f>
        <v>Bangladesh</v>
      </c>
      <c r="M198" t="s">
        <v>56</v>
      </c>
      <c r="N198" t="e" vm="6">
        <f>_xlfn.XLOOKUP($M198,$O:$O,$P:$P,"")</f>
        <v>#VALUE!</v>
      </c>
    </row>
    <row r="199" spans="1:14" x14ac:dyDescent="0.25">
      <c r="A199">
        <v>228</v>
      </c>
      <c r="B199" t="str">
        <f t="shared" si="9"/>
        <v>Alister</v>
      </c>
      <c r="C199" t="s">
        <v>1009</v>
      </c>
      <c r="D199" t="s">
        <v>1010</v>
      </c>
      <c r="E199" t="str">
        <f t="shared" si="10"/>
        <v>amewis6b@cpanel.net</v>
      </c>
      <c r="F199" t="s">
        <v>1011</v>
      </c>
      <c r="G199" t="s">
        <v>228</v>
      </c>
      <c r="H199" t="str">
        <f t="shared" si="11"/>
        <v>Other</v>
      </c>
      <c r="I199" t="str">
        <f>"+880"&amp;RIGHT(SUBSTITUTE(SUBSTITUTE($J199," ",""),"-",""),10)</f>
        <v>+8803439751586</v>
      </c>
      <c r="J199" t="s">
        <v>1012</v>
      </c>
      <c r="K199" t="s">
        <v>13</v>
      </c>
      <c r="L199" t="str">
        <f>_xlfn.XLOOKUP($K$3,K:K,K:K,$K$2)</f>
        <v>Bangladesh</v>
      </c>
      <c r="M199" t="s">
        <v>365</v>
      </c>
      <c r="N199" t="e" vm="47">
        <f>_xlfn.XLOOKUP($M199,$O:$O,$P:$P,"")</f>
        <v>#VALUE!</v>
      </c>
    </row>
    <row r="200" spans="1:14" x14ac:dyDescent="0.25">
      <c r="A200">
        <v>229</v>
      </c>
      <c r="B200" t="str">
        <f t="shared" si="9"/>
        <v>Francois</v>
      </c>
      <c r="C200" t="s">
        <v>1013</v>
      </c>
      <c r="D200" t="s">
        <v>1014</v>
      </c>
      <c r="E200" t="str">
        <f t="shared" si="10"/>
        <v>fgumey6c@bloglovin.com</v>
      </c>
      <c r="F200" t="s">
        <v>1015</v>
      </c>
      <c r="G200" t="s">
        <v>18</v>
      </c>
      <c r="H200" t="str">
        <f t="shared" si="11"/>
        <v>Male</v>
      </c>
      <c r="I200" t="str">
        <f>"+880"&amp;RIGHT(SUBSTITUTE(SUBSTITUTE($J200," ",""),"-",""),10)</f>
        <v>+8807428281032</v>
      </c>
      <c r="J200" t="s">
        <v>1016</v>
      </c>
      <c r="K200" t="s">
        <v>13</v>
      </c>
      <c r="L200" t="str">
        <f>_xlfn.XLOOKUP($K$3,K:K,K:K,$K$2)</f>
        <v>Bangladesh</v>
      </c>
      <c r="M200" t="s">
        <v>1017</v>
      </c>
      <c r="N200" t="e" vm="80">
        <f>_xlfn.XLOOKUP($M200,$O:$O,$P:$P,"")</f>
        <v>#VALUE!</v>
      </c>
    </row>
    <row r="201" spans="1:14" x14ac:dyDescent="0.25">
      <c r="A201">
        <v>230</v>
      </c>
      <c r="B201" t="str">
        <f t="shared" si="9"/>
        <v>Gypsy</v>
      </c>
      <c r="C201" t="s">
        <v>1018</v>
      </c>
      <c r="D201" t="s">
        <v>1019</v>
      </c>
      <c r="E201" t="str">
        <f t="shared" si="10"/>
        <v>gtorre6d@go.com</v>
      </c>
      <c r="F201" t="s">
        <v>1020</v>
      </c>
      <c r="G201" t="s">
        <v>11</v>
      </c>
      <c r="H201" t="str">
        <f t="shared" si="11"/>
        <v>Female</v>
      </c>
      <c r="I201" t="str">
        <f>"+880"&amp;RIGHT(SUBSTITUTE(SUBSTITUTE($J201," ",""),"-",""),10)</f>
        <v>+8807679929195</v>
      </c>
      <c r="J201" t="s">
        <v>1021</v>
      </c>
      <c r="K201" t="s">
        <v>13</v>
      </c>
      <c r="L201" t="str">
        <f>_xlfn.XLOOKUP($K$3,K:K,K:K,$K$2)</f>
        <v>Bangladesh</v>
      </c>
      <c r="M201" t="s">
        <v>308</v>
      </c>
      <c r="N201" t="e" vm="42">
        <f>_xlfn.XLOOKUP($M201,$O:$O,$P:$P,"")</f>
        <v>#VALUE!</v>
      </c>
    </row>
    <row r="202" spans="1:14" x14ac:dyDescent="0.25">
      <c r="A202">
        <v>231</v>
      </c>
      <c r="B202" t="str">
        <f t="shared" si="9"/>
        <v>Desmond</v>
      </c>
      <c r="C202" t="s">
        <v>1022</v>
      </c>
      <c r="D202" t="s">
        <v>1023</v>
      </c>
      <c r="E202" t="str">
        <f t="shared" si="10"/>
        <v>djaskowicz6e@unicef.org</v>
      </c>
      <c r="F202" t="s">
        <v>1024</v>
      </c>
      <c r="G202" t="s">
        <v>18</v>
      </c>
      <c r="H202" t="str">
        <f t="shared" si="11"/>
        <v>Male</v>
      </c>
      <c r="I202" t="str">
        <f>"+880"&amp;RIGHT(SUBSTITUTE(SUBSTITUTE($J202," ",""),"-",""),10)</f>
        <v>+8808957499832</v>
      </c>
      <c r="J202" t="s">
        <v>1025</v>
      </c>
      <c r="K202" t="s">
        <v>13</v>
      </c>
      <c r="L202" t="str">
        <f>_xlfn.XLOOKUP($K$3,K:K,K:K,$K$2)</f>
        <v>Bangladesh</v>
      </c>
      <c r="M202" t="s">
        <v>20</v>
      </c>
      <c r="N202" t="e" vm="2">
        <f>_xlfn.XLOOKUP($M202,$O:$O,$P:$P,"")</f>
        <v>#VALUE!</v>
      </c>
    </row>
    <row r="203" spans="1:14" x14ac:dyDescent="0.25">
      <c r="A203">
        <v>232</v>
      </c>
      <c r="B203" t="str">
        <f t="shared" si="9"/>
        <v>Addison</v>
      </c>
      <c r="C203" t="s">
        <v>1026</v>
      </c>
      <c r="D203" t="s">
        <v>1027</v>
      </c>
      <c r="E203" t="str">
        <f t="shared" si="10"/>
        <v>aswindell6f@state.tx.us</v>
      </c>
      <c r="F203" t="s">
        <v>1028</v>
      </c>
      <c r="G203" t="s">
        <v>18</v>
      </c>
      <c r="H203" t="str">
        <f t="shared" si="11"/>
        <v>Male</v>
      </c>
      <c r="I203" t="str">
        <f>"+880"&amp;RIGHT(SUBSTITUTE(SUBSTITUTE($J203," ",""),"-",""),10)</f>
        <v>+8802683138499</v>
      </c>
      <c r="J203" t="s">
        <v>1029</v>
      </c>
      <c r="K203" t="s">
        <v>13</v>
      </c>
      <c r="L203" t="str">
        <f>_xlfn.XLOOKUP($K$3,K:K,K:K,$K$2)</f>
        <v>Bangladesh</v>
      </c>
      <c r="M203" t="s">
        <v>110</v>
      </c>
      <c r="N203" t="e" vm="16">
        <f>_xlfn.XLOOKUP($M203,$O:$O,$P:$P,"")</f>
        <v>#VALUE!</v>
      </c>
    </row>
    <row r="204" spans="1:14" x14ac:dyDescent="0.25">
      <c r="A204">
        <v>234</v>
      </c>
      <c r="B204" t="str">
        <f t="shared" si="9"/>
        <v>Dimitri</v>
      </c>
      <c r="C204" t="s">
        <v>1034</v>
      </c>
      <c r="D204" t="s">
        <v>1035</v>
      </c>
      <c r="E204" t="str">
        <f t="shared" si="10"/>
        <v>dpovall6h@hud.gov</v>
      </c>
      <c r="F204" t="s">
        <v>1036</v>
      </c>
      <c r="G204" t="s">
        <v>18</v>
      </c>
      <c r="H204" t="str">
        <f t="shared" si="11"/>
        <v>Male</v>
      </c>
      <c r="I204" t="str">
        <f>"+880"&amp;RIGHT(SUBSTITUTE(SUBSTITUTE($J204," ",""),"-",""),10)</f>
        <v>+8802971756017</v>
      </c>
      <c r="J204" t="s">
        <v>1037</v>
      </c>
      <c r="K204" t="s">
        <v>13</v>
      </c>
      <c r="L204" t="str">
        <f>_xlfn.XLOOKUP($K$3,K:K,K:K,$K$2)</f>
        <v>Bangladesh</v>
      </c>
      <c r="M204" t="s">
        <v>779</v>
      </c>
      <c r="N204" t="e" vm="72">
        <f>_xlfn.XLOOKUP($M204,$O:$O,$P:$P,"")</f>
        <v>#VALUE!</v>
      </c>
    </row>
    <row r="205" spans="1:14" x14ac:dyDescent="0.25">
      <c r="A205">
        <v>235</v>
      </c>
      <c r="B205" t="str">
        <f t="shared" si="9"/>
        <v>Gail</v>
      </c>
      <c r="C205" t="s">
        <v>1038</v>
      </c>
      <c r="D205" t="s">
        <v>1039</v>
      </c>
      <c r="E205" t="str">
        <f t="shared" si="10"/>
        <v>gwillers6i@intel.com</v>
      </c>
      <c r="F205" t="s">
        <v>1040</v>
      </c>
      <c r="G205" t="s">
        <v>11</v>
      </c>
      <c r="H205" t="str">
        <f t="shared" si="11"/>
        <v>Female</v>
      </c>
      <c r="I205" t="str">
        <f>"+880"&amp;RIGHT(SUBSTITUTE(SUBSTITUTE($J205," ",""),"-",""),10)</f>
        <v>+8808043879255</v>
      </c>
      <c r="J205" t="s">
        <v>1041</v>
      </c>
      <c r="K205" t="s">
        <v>13</v>
      </c>
      <c r="L205" t="str">
        <f>_xlfn.XLOOKUP($K$3,K:K,K:K,$K$2)</f>
        <v>Bangladesh</v>
      </c>
      <c r="M205" t="s">
        <v>276</v>
      </c>
      <c r="N205" t="e" vm="39">
        <f>_xlfn.XLOOKUP($M205,$O:$O,$P:$P,"")</f>
        <v>#VALUE!</v>
      </c>
    </row>
    <row r="206" spans="1:14" x14ac:dyDescent="0.25">
      <c r="A206">
        <v>236</v>
      </c>
      <c r="B206" t="str">
        <f t="shared" si="9"/>
        <v>Patrice</v>
      </c>
      <c r="C206" t="s">
        <v>1042</v>
      </c>
      <c r="D206" t="s">
        <v>1043</v>
      </c>
      <c r="E206" t="str">
        <f t="shared" si="10"/>
        <v>pdionisio6j@elpais.com</v>
      </c>
      <c r="F206" t="s">
        <v>1044</v>
      </c>
      <c r="G206" t="s">
        <v>11</v>
      </c>
      <c r="H206" t="str">
        <f t="shared" si="11"/>
        <v>Female</v>
      </c>
      <c r="I206" t="str">
        <f>"+880"&amp;RIGHT(SUBSTITUTE(SUBSTITUTE($J206," ",""),"-",""),10)</f>
        <v>+8806042079486</v>
      </c>
      <c r="J206" t="s">
        <v>1045</v>
      </c>
      <c r="K206" t="s">
        <v>13</v>
      </c>
      <c r="L206" t="str">
        <f>_xlfn.XLOOKUP($K$3,K:K,K:K,$K$2)</f>
        <v>Bangladesh</v>
      </c>
      <c r="M206" t="s">
        <v>809</v>
      </c>
      <c r="N206" t="e" vm="74">
        <f>_xlfn.XLOOKUP($M206,$O:$O,$P:$P,"")</f>
        <v>#VALUE!</v>
      </c>
    </row>
    <row r="207" spans="1:14" x14ac:dyDescent="0.25">
      <c r="A207">
        <v>237</v>
      </c>
      <c r="B207" t="str">
        <f t="shared" si="9"/>
        <v>Rollins</v>
      </c>
      <c r="C207" t="s">
        <v>1046</v>
      </c>
      <c r="D207" t="s">
        <v>1047</v>
      </c>
      <c r="E207" t="str">
        <f t="shared" si="10"/>
        <v>rkent6k@creativecommons.org</v>
      </c>
      <c r="F207" t="s">
        <v>1048</v>
      </c>
      <c r="G207" t="s">
        <v>18</v>
      </c>
      <c r="H207" t="str">
        <f t="shared" si="11"/>
        <v>Male</v>
      </c>
      <c r="I207" t="str">
        <f>"+880"&amp;RIGHT(SUBSTITUTE(SUBSTITUTE($J207," ",""),"-",""),10)</f>
        <v>+8803834459400</v>
      </c>
      <c r="J207" t="s">
        <v>1049</v>
      </c>
      <c r="K207" t="s">
        <v>13</v>
      </c>
      <c r="L207" t="str">
        <f>_xlfn.XLOOKUP($K$3,K:K,K:K,$K$2)</f>
        <v>Bangladesh</v>
      </c>
      <c r="M207" t="s">
        <v>700</v>
      </c>
      <c r="N207" t="e" vm="70">
        <f>_xlfn.XLOOKUP($M207,$O:$O,$P:$P,"")</f>
        <v>#VALUE!</v>
      </c>
    </row>
    <row r="208" spans="1:14" x14ac:dyDescent="0.25">
      <c r="A208">
        <v>238</v>
      </c>
      <c r="B208" t="str">
        <f t="shared" si="9"/>
        <v>Jamesy</v>
      </c>
      <c r="C208" t="s">
        <v>1050</v>
      </c>
      <c r="D208" t="s">
        <v>1051</v>
      </c>
      <c r="E208" t="str">
        <f t="shared" si="10"/>
        <v>jthay6l@nymag.com</v>
      </c>
      <c r="F208" t="s">
        <v>1052</v>
      </c>
      <c r="G208" t="s">
        <v>18</v>
      </c>
      <c r="H208" t="str">
        <f t="shared" si="11"/>
        <v>Male</v>
      </c>
      <c r="I208" t="str">
        <f>"+880"&amp;RIGHT(SUBSTITUTE(SUBSTITUTE($J208," ",""),"-",""),10)</f>
        <v>+8802724583407</v>
      </c>
      <c r="J208" t="s">
        <v>1053</v>
      </c>
      <c r="K208" t="s">
        <v>13</v>
      </c>
      <c r="L208" t="str">
        <f>_xlfn.XLOOKUP($K$3,K:K,K:K,$K$2)</f>
        <v>Bangladesh</v>
      </c>
      <c r="M208" t="s">
        <v>36</v>
      </c>
      <c r="N208" t="str">
        <f>_xlfn.XLOOKUP($M208,$O:$O,$P:$P,"")</f>
        <v>Lakshmapur</v>
      </c>
    </row>
    <row r="209" spans="1:14" x14ac:dyDescent="0.25">
      <c r="A209">
        <v>239</v>
      </c>
      <c r="B209" t="str">
        <f t="shared" si="9"/>
        <v>Margarete</v>
      </c>
      <c r="C209" t="s">
        <v>1054</v>
      </c>
      <c r="D209" t="s">
        <v>1055</v>
      </c>
      <c r="E209" t="str">
        <f t="shared" si="10"/>
        <v>mmaidlow6m@princeton.edu</v>
      </c>
      <c r="F209" t="s">
        <v>1056</v>
      </c>
      <c r="G209" t="s">
        <v>11</v>
      </c>
      <c r="H209" t="str">
        <f t="shared" si="11"/>
        <v>Female</v>
      </c>
      <c r="I209" t="str">
        <f>"+880"&amp;RIGHT(SUBSTITUTE(SUBSTITUTE($J209," ",""),"-",""),10)</f>
        <v>+8808018442972</v>
      </c>
      <c r="J209" t="s">
        <v>1057</v>
      </c>
      <c r="K209" t="s">
        <v>13</v>
      </c>
      <c r="L209" t="str">
        <f>_xlfn.XLOOKUP($K$3,K:K,K:K,$K$2)</f>
        <v>Bangladesh</v>
      </c>
      <c r="M209" t="s">
        <v>173</v>
      </c>
      <c r="N209" t="e" vm="26">
        <f>_xlfn.XLOOKUP($M209,$O:$O,$P:$P,"")</f>
        <v>#VALUE!</v>
      </c>
    </row>
    <row r="210" spans="1:14" x14ac:dyDescent="0.25">
      <c r="A210">
        <v>240</v>
      </c>
      <c r="B210" t="str">
        <f t="shared" si="9"/>
        <v>Thorndike</v>
      </c>
      <c r="C210" t="s">
        <v>1058</v>
      </c>
      <c r="D210" t="s">
        <v>1059</v>
      </c>
      <c r="E210" t="str">
        <f t="shared" si="10"/>
        <v>tstorah6n@indiegogo.com</v>
      </c>
      <c r="F210" t="s">
        <v>1060</v>
      </c>
      <c r="G210" t="s">
        <v>18</v>
      </c>
      <c r="H210" t="str">
        <f t="shared" si="11"/>
        <v>Male</v>
      </c>
      <c r="I210" t="str">
        <f>"+880"&amp;RIGHT(SUBSTITUTE(SUBSTITUTE($J210," ",""),"-",""),10)</f>
        <v>+8805978019071</v>
      </c>
      <c r="J210" t="s">
        <v>1061</v>
      </c>
      <c r="K210" t="s">
        <v>13</v>
      </c>
      <c r="L210" t="str">
        <f>_xlfn.XLOOKUP($K$3,K:K,K:K,$K$2)</f>
        <v>Bangladesh</v>
      </c>
      <c r="M210" t="s">
        <v>779</v>
      </c>
      <c r="N210" t="e" vm="72">
        <f>_xlfn.XLOOKUP($M210,$O:$O,$P:$P,"")</f>
        <v>#VALUE!</v>
      </c>
    </row>
    <row r="211" spans="1:14" x14ac:dyDescent="0.25">
      <c r="A211">
        <v>241</v>
      </c>
      <c r="B211" t="str">
        <f t="shared" si="9"/>
        <v>Boony</v>
      </c>
      <c r="C211" t="s">
        <v>1062</v>
      </c>
      <c r="D211" t="s">
        <v>1063</v>
      </c>
      <c r="E211" t="str">
        <f t="shared" si="10"/>
        <v>bmassen6o@livejournal.com</v>
      </c>
      <c r="F211" t="s">
        <v>1064</v>
      </c>
      <c r="G211" t="s">
        <v>18</v>
      </c>
      <c r="H211" t="str">
        <f t="shared" si="11"/>
        <v>Male</v>
      </c>
      <c r="I211" t="str">
        <f>"+880"&amp;RIGHT(SUBSTITUTE(SUBSTITUTE($J211," ",""),"-",""),10)</f>
        <v>+8807206841737</v>
      </c>
      <c r="J211" t="s">
        <v>1065</v>
      </c>
      <c r="K211" t="s">
        <v>13</v>
      </c>
      <c r="L211" t="str">
        <f>_xlfn.XLOOKUP($K$3,K:K,K:K,$K$2)</f>
        <v>Bangladesh</v>
      </c>
      <c r="M211" t="s">
        <v>140</v>
      </c>
      <c r="N211" t="e" vm="21">
        <f>_xlfn.XLOOKUP($M211,$O:$O,$P:$P,"")</f>
        <v>#VALUE!</v>
      </c>
    </row>
    <row r="212" spans="1:14" x14ac:dyDescent="0.25">
      <c r="A212">
        <v>242</v>
      </c>
      <c r="B212" t="str">
        <f t="shared" si="9"/>
        <v>Nikoletta</v>
      </c>
      <c r="C212" t="s">
        <v>1066</v>
      </c>
      <c r="D212" t="s">
        <v>1067</v>
      </c>
      <c r="E212" t="str">
        <f t="shared" si="10"/>
        <v>nlind6p@shop-pro.jp</v>
      </c>
      <c r="F212" t="s">
        <v>1068</v>
      </c>
      <c r="G212" t="s">
        <v>11</v>
      </c>
      <c r="H212" t="str">
        <f t="shared" si="11"/>
        <v>Female</v>
      </c>
      <c r="I212" t="str">
        <f>"+880"&amp;RIGHT(SUBSTITUTE(SUBSTITUTE($J212," ",""),"-",""),10)</f>
        <v>+8803812523161</v>
      </c>
      <c r="J212" t="s">
        <v>1069</v>
      </c>
      <c r="K212" t="s">
        <v>13</v>
      </c>
      <c r="L212" t="str">
        <f>_xlfn.XLOOKUP($K$3,K:K,K:K,$K$2)</f>
        <v>Bangladesh</v>
      </c>
      <c r="M212" t="s">
        <v>86</v>
      </c>
      <c r="N212" t="e" vm="12">
        <f>_xlfn.XLOOKUP($M212,$O:$O,$P:$P,"")</f>
        <v>#VALUE!</v>
      </c>
    </row>
    <row r="213" spans="1:14" x14ac:dyDescent="0.25">
      <c r="A213">
        <v>243</v>
      </c>
      <c r="B213" t="str">
        <f t="shared" si="9"/>
        <v>Cheryl</v>
      </c>
      <c r="C213" t="s">
        <v>1070</v>
      </c>
      <c r="D213" t="s">
        <v>1071</v>
      </c>
      <c r="E213" t="str">
        <f t="shared" si="10"/>
        <v>ctease6q@icio.us</v>
      </c>
      <c r="F213" t="s">
        <v>1072</v>
      </c>
      <c r="G213" t="s">
        <v>11</v>
      </c>
      <c r="H213" t="str">
        <f t="shared" si="11"/>
        <v>Female</v>
      </c>
      <c r="I213" t="str">
        <f>"+880"&amp;RIGHT(SUBSTITUTE(SUBSTITUTE($J213," ",""),"-",""),10)</f>
        <v>+8807588019139</v>
      </c>
      <c r="J213" t="s">
        <v>1073</v>
      </c>
      <c r="K213" t="s">
        <v>13</v>
      </c>
      <c r="L213" t="str">
        <f>_xlfn.XLOOKUP($K$3,K:K,K:K,$K$2)</f>
        <v>Bangladesh</v>
      </c>
      <c r="M213" t="s">
        <v>14</v>
      </c>
      <c r="N213" t="e" vm="1">
        <f>_xlfn.XLOOKUP($M213,$O:$O,$P:$P,"")</f>
        <v>#VALUE!</v>
      </c>
    </row>
    <row r="214" spans="1:14" x14ac:dyDescent="0.25">
      <c r="A214">
        <v>244</v>
      </c>
      <c r="B214" t="str">
        <f t="shared" si="9"/>
        <v>Randene</v>
      </c>
      <c r="C214" t="s">
        <v>1074</v>
      </c>
      <c r="D214" t="s">
        <v>1075</v>
      </c>
      <c r="E214" t="str">
        <f t="shared" si="10"/>
        <v>rhacker6r@shutterfly.com</v>
      </c>
      <c r="F214" t="s">
        <v>1076</v>
      </c>
      <c r="G214" t="s">
        <v>11</v>
      </c>
      <c r="H214" t="str">
        <f t="shared" si="11"/>
        <v>Female</v>
      </c>
      <c r="I214" t="str">
        <f>"+880"&amp;RIGHT(SUBSTITUTE(SUBSTITUTE($J214," ",""),"-",""),10)</f>
        <v>+8803395721563</v>
      </c>
      <c r="J214" t="s">
        <v>1077</v>
      </c>
      <c r="K214" t="s">
        <v>13</v>
      </c>
      <c r="L214" t="str">
        <f>_xlfn.XLOOKUP($K$3,K:K,K:K,$K$2)</f>
        <v>Bangladesh</v>
      </c>
      <c r="M214" t="s">
        <v>140</v>
      </c>
      <c r="N214" t="e" vm="21">
        <f>_xlfn.XLOOKUP($M214,$O:$O,$P:$P,"")</f>
        <v>#VALUE!</v>
      </c>
    </row>
    <row r="215" spans="1:14" x14ac:dyDescent="0.25">
      <c r="A215">
        <v>245</v>
      </c>
      <c r="B215" t="str">
        <f t="shared" si="9"/>
        <v>Adriano</v>
      </c>
      <c r="C215" t="s">
        <v>1078</v>
      </c>
      <c r="D215" t="s">
        <v>1079</v>
      </c>
      <c r="E215" t="str">
        <f t="shared" si="10"/>
        <v>arazoux6s@elpais.com</v>
      </c>
      <c r="F215" t="s">
        <v>1080</v>
      </c>
      <c r="G215" t="s">
        <v>18</v>
      </c>
      <c r="H215" t="str">
        <f t="shared" si="11"/>
        <v>Male</v>
      </c>
      <c r="I215" t="str">
        <f>"+880"&amp;RIGHT(SUBSTITUTE(SUBSTITUTE($J215," ",""),"-",""),10)</f>
        <v>+8803632722047</v>
      </c>
      <c r="J215" t="s">
        <v>1081</v>
      </c>
      <c r="K215" t="s">
        <v>13</v>
      </c>
      <c r="L215" t="str">
        <f>_xlfn.XLOOKUP($K$3,K:K,K:K,$K$2)</f>
        <v>Bangladesh</v>
      </c>
      <c r="M215" t="s">
        <v>317</v>
      </c>
      <c r="N215" t="e" vm="43">
        <f>_xlfn.XLOOKUP($M215,$O:$O,$P:$P,"")</f>
        <v>#VALUE!</v>
      </c>
    </row>
    <row r="216" spans="1:14" x14ac:dyDescent="0.25">
      <c r="A216">
        <v>246</v>
      </c>
      <c r="B216" t="str">
        <f t="shared" si="9"/>
        <v>Pail</v>
      </c>
      <c r="C216" t="s">
        <v>1082</v>
      </c>
      <c r="D216" t="s">
        <v>1083</v>
      </c>
      <c r="E216" t="str">
        <f t="shared" si="10"/>
        <v>pdevany6t@diigo.com</v>
      </c>
      <c r="F216" t="s">
        <v>1084</v>
      </c>
      <c r="G216" t="s">
        <v>18</v>
      </c>
      <c r="H216" t="str">
        <f t="shared" si="11"/>
        <v>Male</v>
      </c>
      <c r="I216" t="str">
        <f>"+880"&amp;RIGHT(SUBSTITUTE(SUBSTITUTE($J216," ",""),"-",""),10)</f>
        <v>+8801097494995</v>
      </c>
      <c r="J216" t="s">
        <v>1085</v>
      </c>
      <c r="K216" t="s">
        <v>13</v>
      </c>
      <c r="L216" t="str">
        <f>_xlfn.XLOOKUP($K$3,K:K,K:K,$K$2)</f>
        <v>Bangladesh</v>
      </c>
      <c r="M216" t="s">
        <v>86</v>
      </c>
      <c r="N216" t="e" vm="12">
        <f>_xlfn.XLOOKUP($M216,$O:$O,$P:$P,"")</f>
        <v>#VALUE!</v>
      </c>
    </row>
    <row r="217" spans="1:14" x14ac:dyDescent="0.25">
      <c r="A217">
        <v>247</v>
      </c>
      <c r="B217" t="str">
        <f t="shared" si="9"/>
        <v>Lucas</v>
      </c>
      <c r="C217" t="s">
        <v>1086</v>
      </c>
      <c r="D217" t="s">
        <v>1087</v>
      </c>
      <c r="E217" t="str">
        <f t="shared" si="10"/>
        <v>lzelner6u@theglobeandmail.com</v>
      </c>
      <c r="F217" t="s">
        <v>1088</v>
      </c>
      <c r="G217" t="s">
        <v>18</v>
      </c>
      <c r="H217" t="str">
        <f t="shared" si="11"/>
        <v>Male</v>
      </c>
      <c r="I217" t="str">
        <f>"+880"&amp;RIGHT(SUBSTITUTE(SUBSTITUTE($J217," ",""),"-",""),10)</f>
        <v>+8804808254069</v>
      </c>
      <c r="J217" t="s">
        <v>1089</v>
      </c>
      <c r="K217" t="s">
        <v>13</v>
      </c>
      <c r="L217" t="str">
        <f>_xlfn.XLOOKUP($K$3,K:K,K:K,$K$2)</f>
        <v>Bangladesh</v>
      </c>
      <c r="M217" t="s">
        <v>41</v>
      </c>
      <c r="N217" t="e" vm="58">
        <f>_xlfn.XLOOKUP($M217,$O:$O,$P:$P,"")</f>
        <v>#VALUE!</v>
      </c>
    </row>
    <row r="218" spans="1:14" x14ac:dyDescent="0.25">
      <c r="A218">
        <v>248</v>
      </c>
      <c r="B218" t="str">
        <f t="shared" si="9"/>
        <v>Dewie</v>
      </c>
      <c r="C218" t="s">
        <v>1090</v>
      </c>
      <c r="D218" t="s">
        <v>1091</v>
      </c>
      <c r="E218" t="str">
        <f t="shared" si="10"/>
        <v>dmccraine6v@apple.com</v>
      </c>
      <c r="F218" t="s">
        <v>1092</v>
      </c>
      <c r="G218" t="s">
        <v>29</v>
      </c>
      <c r="H218" t="str">
        <f t="shared" si="11"/>
        <v>Other</v>
      </c>
      <c r="I218" t="str">
        <f>"+880"&amp;RIGHT(SUBSTITUTE(SUBSTITUTE($J218," ",""),"-",""),10)</f>
        <v>+8809867973615</v>
      </c>
      <c r="J218" t="s">
        <v>1093</v>
      </c>
      <c r="K218" t="s">
        <v>13</v>
      </c>
      <c r="L218" t="str">
        <f>_xlfn.XLOOKUP($K$3,K:K,K:K,$K$2)</f>
        <v>Bangladesh</v>
      </c>
      <c r="M218" t="s">
        <v>243</v>
      </c>
      <c r="N218" t="e" vm="35">
        <f>_xlfn.XLOOKUP($M218,$O:$O,$P:$P,"")</f>
        <v>#VALUE!</v>
      </c>
    </row>
    <row r="219" spans="1:14" x14ac:dyDescent="0.25">
      <c r="A219">
        <v>250</v>
      </c>
      <c r="B219" t="str">
        <f t="shared" si="9"/>
        <v>Corbett</v>
      </c>
      <c r="C219" t="s">
        <v>1098</v>
      </c>
      <c r="D219" t="s">
        <v>1099</v>
      </c>
      <c r="E219" t="str">
        <f t="shared" si="10"/>
        <v>cwhistan6x@gravatar.com</v>
      </c>
      <c r="F219" t="s">
        <v>1100</v>
      </c>
      <c r="G219" t="s">
        <v>18</v>
      </c>
      <c r="H219" t="str">
        <f t="shared" si="11"/>
        <v>Male</v>
      </c>
      <c r="I219" t="str">
        <f>"+880"&amp;RIGHT(SUBSTITUTE(SUBSTITUTE($J219," ",""),"-",""),10)</f>
        <v>+8801498683692</v>
      </c>
      <c r="J219" t="s">
        <v>1101</v>
      </c>
      <c r="K219" t="s">
        <v>13</v>
      </c>
      <c r="L219" t="str">
        <f>_xlfn.XLOOKUP($K$3,K:K,K:K,$K$2)</f>
        <v>Bangladesh</v>
      </c>
      <c r="M219" t="s">
        <v>602</v>
      </c>
      <c r="N219" t="e" vm="60">
        <f>_xlfn.XLOOKUP($M219,$O:$O,$P:$P,"")</f>
        <v>#VALUE!</v>
      </c>
    </row>
    <row r="220" spans="1:14" x14ac:dyDescent="0.25">
      <c r="A220">
        <v>252</v>
      </c>
      <c r="B220" t="str">
        <f t="shared" si="9"/>
        <v>Valentijn</v>
      </c>
      <c r="C220" t="s">
        <v>1107</v>
      </c>
      <c r="D220" t="s">
        <v>1108</v>
      </c>
      <c r="E220" t="str">
        <f t="shared" si="10"/>
        <v>vedlin6z@goo.gl</v>
      </c>
      <c r="F220" t="s">
        <v>1109</v>
      </c>
      <c r="G220" t="s">
        <v>18</v>
      </c>
      <c r="H220" t="str">
        <f t="shared" si="11"/>
        <v>Male</v>
      </c>
      <c r="I220" t="str">
        <f>"+880"&amp;RIGHT(SUBSTITUTE(SUBSTITUTE($J220," ",""),"-",""),10)</f>
        <v>+8803315126229</v>
      </c>
      <c r="J220" t="s">
        <v>1110</v>
      </c>
      <c r="K220" t="s">
        <v>13</v>
      </c>
      <c r="L220" t="str">
        <f>_xlfn.XLOOKUP($K$3,K:K,K:K,$K$2)</f>
        <v>Bangladesh</v>
      </c>
      <c r="M220" t="s">
        <v>779</v>
      </c>
      <c r="N220" t="e" vm="72">
        <f>_xlfn.XLOOKUP($M220,$O:$O,$P:$P,"")</f>
        <v>#VALUE!</v>
      </c>
    </row>
    <row r="221" spans="1:14" x14ac:dyDescent="0.25">
      <c r="A221">
        <v>253</v>
      </c>
      <c r="B221" t="str">
        <f t="shared" si="9"/>
        <v>Orsa</v>
      </c>
      <c r="C221" t="s">
        <v>1111</v>
      </c>
      <c r="D221" t="s">
        <v>1112</v>
      </c>
      <c r="E221" t="str">
        <f t="shared" si="10"/>
        <v>onacey70@barnesandnoble.com</v>
      </c>
      <c r="F221" t="s">
        <v>1113</v>
      </c>
      <c r="G221" t="s">
        <v>228</v>
      </c>
      <c r="H221" t="str">
        <f t="shared" si="11"/>
        <v>Other</v>
      </c>
      <c r="I221" t="str">
        <f>"+880"&amp;RIGHT(SUBSTITUTE(SUBSTITUTE($J221," ",""),"-",""),10)</f>
        <v>+8807519450279</v>
      </c>
      <c r="J221" t="s">
        <v>1114</v>
      </c>
      <c r="K221" t="s">
        <v>13</v>
      </c>
      <c r="L221" t="str">
        <f>_xlfn.XLOOKUP($K$3,K:K,K:K,$K$2)</f>
        <v>Bangladesh</v>
      </c>
      <c r="M221" t="s">
        <v>81</v>
      </c>
      <c r="N221" t="e" vm="11">
        <f>_xlfn.XLOOKUP($M221,$O:$O,$P:$P,"")</f>
        <v>#VALUE!</v>
      </c>
    </row>
    <row r="222" spans="1:14" x14ac:dyDescent="0.25">
      <c r="A222">
        <v>254</v>
      </c>
      <c r="B222" t="str">
        <f t="shared" si="9"/>
        <v>Malachi</v>
      </c>
      <c r="C222" t="s">
        <v>1115</v>
      </c>
      <c r="D222" t="s">
        <v>1116</v>
      </c>
      <c r="E222" t="str">
        <f t="shared" si="10"/>
        <v>mstonman71@merriam-webster.com</v>
      </c>
      <c r="F222" t="s">
        <v>1117</v>
      </c>
      <c r="G222" t="s">
        <v>18</v>
      </c>
      <c r="H222" t="str">
        <f t="shared" si="11"/>
        <v>Male</v>
      </c>
      <c r="I222" t="str">
        <f>"+880"&amp;RIGHT(SUBSTITUTE(SUBSTITUTE($J222," ",""),"-",""),10)</f>
        <v>+8804264193461</v>
      </c>
      <c r="J222" t="s">
        <v>1118</v>
      </c>
      <c r="K222" t="s">
        <v>13</v>
      </c>
      <c r="L222" t="str">
        <f>_xlfn.XLOOKUP($K$3,K:K,K:K,$K$2)</f>
        <v>Bangladesh</v>
      </c>
      <c r="M222" t="s">
        <v>81</v>
      </c>
      <c r="N222" t="e" vm="11">
        <f>_xlfn.XLOOKUP($M222,$O:$O,$P:$P,"")</f>
        <v>#VALUE!</v>
      </c>
    </row>
    <row r="223" spans="1:14" x14ac:dyDescent="0.25">
      <c r="A223">
        <v>255</v>
      </c>
      <c r="B223" t="str">
        <f t="shared" si="9"/>
        <v>Boy</v>
      </c>
      <c r="C223" t="s">
        <v>1119</v>
      </c>
      <c r="D223" t="s">
        <v>1120</v>
      </c>
      <c r="E223" t="str">
        <f t="shared" si="10"/>
        <v>bgrayling72@jalbum.net</v>
      </c>
      <c r="F223" t="s">
        <v>1121</v>
      </c>
      <c r="G223" t="s">
        <v>18</v>
      </c>
      <c r="H223" t="str">
        <f t="shared" si="11"/>
        <v>Male</v>
      </c>
      <c r="I223" t="str">
        <f>"+880"&amp;RIGHT(SUBSTITUTE(SUBSTITUTE($J223," ",""),"-",""),10)</f>
        <v>+8805547269025</v>
      </c>
      <c r="J223" t="s">
        <v>1122</v>
      </c>
      <c r="K223" t="s">
        <v>13</v>
      </c>
      <c r="L223" t="str">
        <f>_xlfn.XLOOKUP($K$3,K:K,K:K,$K$2)</f>
        <v>Bangladesh</v>
      </c>
      <c r="M223" t="s">
        <v>296</v>
      </c>
      <c r="N223" t="e" vm="81">
        <f>_xlfn.XLOOKUP($M223,$O:$O,$P:$P,"")</f>
        <v>#VALUE!</v>
      </c>
    </row>
    <row r="224" spans="1:14" x14ac:dyDescent="0.25">
      <c r="A224">
        <v>256</v>
      </c>
      <c r="B224" t="str">
        <f t="shared" si="9"/>
        <v>Bobina</v>
      </c>
      <c r="C224" t="s">
        <v>1123</v>
      </c>
      <c r="D224" t="s">
        <v>1124</v>
      </c>
      <c r="E224" t="str">
        <f t="shared" si="10"/>
        <v>bsoall73@jalbum.net</v>
      </c>
      <c r="F224" t="s">
        <v>1125</v>
      </c>
      <c r="G224" t="s">
        <v>11</v>
      </c>
      <c r="H224" t="str">
        <f t="shared" si="11"/>
        <v>Female</v>
      </c>
      <c r="I224" t="str">
        <f>"+880"&amp;RIGHT(SUBSTITUTE(SUBSTITUTE($J224," ",""),"-",""),10)</f>
        <v>+8804339106536</v>
      </c>
      <c r="J224" t="s">
        <v>1126</v>
      </c>
      <c r="K224" t="s">
        <v>13</v>
      </c>
      <c r="L224" t="str">
        <f>_xlfn.XLOOKUP($K$3,K:K,K:K,$K$2)</f>
        <v>Bangladesh</v>
      </c>
      <c r="M224" t="s">
        <v>135</v>
      </c>
      <c r="N224" t="e" vm="20">
        <f>_xlfn.XLOOKUP($M224,$O:$O,$P:$P,"")</f>
        <v>#VALUE!</v>
      </c>
    </row>
    <row r="225" spans="1:14" x14ac:dyDescent="0.25">
      <c r="A225">
        <v>257</v>
      </c>
      <c r="B225" t="str">
        <f t="shared" si="9"/>
        <v>Alysia</v>
      </c>
      <c r="C225" t="s">
        <v>1127</v>
      </c>
      <c r="D225" t="s">
        <v>1128</v>
      </c>
      <c r="E225" t="str">
        <f t="shared" si="10"/>
        <v>amalloy74@smh.com.au</v>
      </c>
      <c r="F225" t="s">
        <v>1129</v>
      </c>
      <c r="G225" t="s">
        <v>11</v>
      </c>
      <c r="H225" t="str">
        <f t="shared" si="11"/>
        <v>Female</v>
      </c>
      <c r="I225" t="str">
        <f>"+880"&amp;RIGHT(SUBSTITUTE(SUBSTITUTE($J225," ",""),"-",""),10)</f>
        <v>+8807001310623</v>
      </c>
      <c r="J225" t="s">
        <v>1130</v>
      </c>
      <c r="K225" t="s">
        <v>13</v>
      </c>
      <c r="L225" t="str">
        <f>_xlfn.XLOOKUP($K$3,K:K,K:K,$K$2)</f>
        <v>Bangladesh</v>
      </c>
      <c r="M225" t="s">
        <v>101</v>
      </c>
      <c r="N225" t="e" vm="15">
        <f>_xlfn.XLOOKUP($M225,$O:$O,$P:$P,"")</f>
        <v>#VALUE!</v>
      </c>
    </row>
    <row r="226" spans="1:14" x14ac:dyDescent="0.25">
      <c r="A226">
        <v>258</v>
      </c>
      <c r="B226" t="str">
        <f t="shared" ref="B226:B279" si="12">PROPER(TRIM($C226))</f>
        <v>Jerad</v>
      </c>
      <c r="C226" t="s">
        <v>1131</v>
      </c>
      <c r="D226" t="s">
        <v>1132</v>
      </c>
      <c r="E226" t="str">
        <f t="shared" ref="E226:E279" si="13">LOWER(TRIM($F226))</f>
        <v>jmeade75@naver.com</v>
      </c>
      <c r="F226" t="s">
        <v>1133</v>
      </c>
      <c r="G226" t="s">
        <v>18</v>
      </c>
      <c r="H226" t="str">
        <f t="shared" ref="H226:H279" si="14">IF(OR($G226="M",LOWER($G226)="male"),"Male",
IF(OR($G226="F",LOWER($G226)="female"),"Female","Other"))</f>
        <v>Male</v>
      </c>
      <c r="I226" t="str">
        <f>"+880"&amp;RIGHT(SUBSTITUTE(SUBSTITUTE($J226," ",""),"-",""),10)</f>
        <v>+8805378471037</v>
      </c>
      <c r="J226" t="s">
        <v>1134</v>
      </c>
      <c r="K226" t="s">
        <v>13</v>
      </c>
      <c r="L226" t="str">
        <f>_xlfn.XLOOKUP($K$3,K:K,K:K,$K$2)</f>
        <v>Bangladesh</v>
      </c>
      <c r="M226" t="s">
        <v>350</v>
      </c>
      <c r="N226" t="str">
        <f>_xlfn.XLOOKUP($M226,$O:$O,$P:$P,"")</f>
        <v>Pir Naogaon</v>
      </c>
    </row>
    <row r="227" spans="1:14" x14ac:dyDescent="0.25">
      <c r="A227">
        <v>259</v>
      </c>
      <c r="B227" t="str">
        <f t="shared" si="12"/>
        <v>Ludwig</v>
      </c>
      <c r="C227" t="s">
        <v>1135</v>
      </c>
      <c r="D227" t="s">
        <v>1136</v>
      </c>
      <c r="E227" t="str">
        <f t="shared" si="13"/>
        <v>lswett76@amazon.com</v>
      </c>
      <c r="F227" t="s">
        <v>1137</v>
      </c>
      <c r="G227" t="s">
        <v>769</v>
      </c>
      <c r="H227" t="str">
        <f t="shared" si="14"/>
        <v>Other</v>
      </c>
      <c r="I227" t="str">
        <f>"+880"&amp;RIGHT(SUBSTITUTE(SUBSTITUTE($J227," ",""),"-",""),10)</f>
        <v>+8804212455304</v>
      </c>
      <c r="J227" t="s">
        <v>1138</v>
      </c>
      <c r="K227" t="s">
        <v>13</v>
      </c>
      <c r="L227" t="str">
        <f>_xlfn.XLOOKUP($K$3,K:K,K:K,$K$2)</f>
        <v>Bangladesh</v>
      </c>
      <c r="M227" t="s">
        <v>14</v>
      </c>
      <c r="N227" t="e" vm="1">
        <f>_xlfn.XLOOKUP($M227,$O:$O,$P:$P,"")</f>
        <v>#VALUE!</v>
      </c>
    </row>
    <row r="228" spans="1:14" x14ac:dyDescent="0.25">
      <c r="A228">
        <v>260</v>
      </c>
      <c r="B228" t="str">
        <f t="shared" si="12"/>
        <v>Annelise</v>
      </c>
      <c r="C228" t="s">
        <v>1139</v>
      </c>
      <c r="D228" t="s">
        <v>1140</v>
      </c>
      <c r="E228" t="str">
        <f t="shared" si="13"/>
        <v>aharry77@pagesperso-orange.fr</v>
      </c>
      <c r="F228" t="s">
        <v>1141</v>
      </c>
      <c r="G228" t="s">
        <v>11</v>
      </c>
      <c r="H228" t="str">
        <f t="shared" si="14"/>
        <v>Female</v>
      </c>
      <c r="I228" t="str">
        <f>"+880"&amp;RIGHT(SUBSTITUTE(SUBSTITUTE($J228," ",""),"-",""),10)</f>
        <v>+8808797410338</v>
      </c>
      <c r="J228" t="s">
        <v>1142</v>
      </c>
      <c r="K228" t="s">
        <v>13</v>
      </c>
      <c r="L228" t="str">
        <f>_xlfn.XLOOKUP($K$3,K:K,K:K,$K$2)</f>
        <v>Bangladesh</v>
      </c>
      <c r="M228" t="s">
        <v>91</v>
      </c>
      <c r="N228" t="e" vm="13">
        <f>_xlfn.XLOOKUP($M228,$O:$O,$P:$P,"")</f>
        <v>#VALUE!</v>
      </c>
    </row>
    <row r="229" spans="1:14" x14ac:dyDescent="0.25">
      <c r="A229">
        <v>261</v>
      </c>
      <c r="B229" t="str">
        <f t="shared" si="12"/>
        <v>Austen</v>
      </c>
      <c r="C229" t="s">
        <v>1143</v>
      </c>
      <c r="D229" t="s">
        <v>1144</v>
      </c>
      <c r="E229" t="str">
        <f t="shared" si="13"/>
        <v>aknatt78@instagram.com</v>
      </c>
      <c r="F229" t="s">
        <v>1145</v>
      </c>
      <c r="G229" t="s">
        <v>280</v>
      </c>
      <c r="H229" t="str">
        <f t="shared" si="14"/>
        <v>Other</v>
      </c>
      <c r="I229" t="str">
        <f>"+880"&amp;RIGHT(SUBSTITUTE(SUBSTITUTE($J229," ",""),"-",""),10)</f>
        <v>+8809595730033</v>
      </c>
      <c r="J229" t="s">
        <v>1146</v>
      </c>
      <c r="K229" t="s">
        <v>13</v>
      </c>
      <c r="L229" t="str">
        <f>_xlfn.XLOOKUP($K$3,K:K,K:K,$K$2)</f>
        <v>Bangladesh</v>
      </c>
      <c r="M229" t="s">
        <v>215</v>
      </c>
      <c r="N229" t="e" vm="32">
        <f>_xlfn.XLOOKUP($M229,$O:$O,$P:$P,"")</f>
        <v>#VALUE!</v>
      </c>
    </row>
    <row r="230" spans="1:14" x14ac:dyDescent="0.25">
      <c r="A230">
        <v>262</v>
      </c>
      <c r="B230" t="str">
        <f t="shared" si="12"/>
        <v>Leo</v>
      </c>
      <c r="C230" t="s">
        <v>1147</v>
      </c>
      <c r="D230" t="s">
        <v>1148</v>
      </c>
      <c r="E230" t="str">
        <f t="shared" si="13"/>
        <v>lyurshev79@goo.ne.jp</v>
      </c>
      <c r="F230" t="s">
        <v>1149</v>
      </c>
      <c r="G230" t="s">
        <v>18</v>
      </c>
      <c r="H230" t="str">
        <f t="shared" si="14"/>
        <v>Male</v>
      </c>
      <c r="I230" t="str">
        <f>"+880"&amp;RIGHT(SUBSTITUTE(SUBSTITUTE($J230," ",""),"-",""),10)</f>
        <v>+8807381204771</v>
      </c>
      <c r="J230" t="s">
        <v>1150</v>
      </c>
      <c r="K230" t="s">
        <v>13</v>
      </c>
      <c r="L230" t="str">
        <f>_xlfn.XLOOKUP($K$3,K:K,K:K,$K$2)</f>
        <v>Bangladesh</v>
      </c>
      <c r="M230" t="s">
        <v>188</v>
      </c>
      <c r="N230" t="e" vm="29">
        <f>_xlfn.XLOOKUP($M230,$O:$O,$P:$P,"")</f>
        <v>#VALUE!</v>
      </c>
    </row>
    <row r="231" spans="1:14" x14ac:dyDescent="0.25">
      <c r="A231">
        <v>263</v>
      </c>
      <c r="B231" t="str">
        <f t="shared" si="12"/>
        <v>Venus</v>
      </c>
      <c r="C231" t="s">
        <v>1151</v>
      </c>
      <c r="D231" t="s">
        <v>1152</v>
      </c>
      <c r="E231" t="str">
        <f t="shared" si="13"/>
        <v>vvasilchikov7a@sciencedaily.com</v>
      </c>
      <c r="F231" t="s">
        <v>1153</v>
      </c>
      <c r="G231" t="s">
        <v>11</v>
      </c>
      <c r="H231" t="str">
        <f t="shared" si="14"/>
        <v>Female</v>
      </c>
      <c r="I231" t="str">
        <f>"+880"&amp;RIGHT(SUBSTITUTE(SUBSTITUTE($J231," ",""),"-",""),10)</f>
        <v>+8804651156762</v>
      </c>
      <c r="J231" t="s">
        <v>1154</v>
      </c>
      <c r="K231" t="s">
        <v>13</v>
      </c>
      <c r="L231" t="str">
        <f>_xlfn.XLOOKUP($K$3,K:K,K:K,$K$2)</f>
        <v>Bangladesh</v>
      </c>
      <c r="M231" t="s">
        <v>345</v>
      </c>
      <c r="N231" t="e" vm="46">
        <f>_xlfn.XLOOKUP($M231,$O:$O,$P:$P,"")</f>
        <v>#VALUE!</v>
      </c>
    </row>
    <row r="232" spans="1:14" x14ac:dyDescent="0.25">
      <c r="A232">
        <v>264</v>
      </c>
      <c r="B232" t="str">
        <f t="shared" si="12"/>
        <v>Zachariah</v>
      </c>
      <c r="C232" t="s">
        <v>1155</v>
      </c>
      <c r="D232" t="s">
        <v>1156</v>
      </c>
      <c r="E232" t="str">
        <f t="shared" si="13"/>
        <v>zkersting7b@yolasite.com</v>
      </c>
      <c r="F232" t="s">
        <v>1157</v>
      </c>
      <c r="G232" t="s">
        <v>18</v>
      </c>
      <c r="H232" t="str">
        <f t="shared" si="14"/>
        <v>Male</v>
      </c>
      <c r="I232" t="str">
        <f>"+880"&amp;RIGHT(SUBSTITUTE(SUBSTITUTE($J232," ",""),"-",""),10)</f>
        <v>+8801604815881</v>
      </c>
      <c r="J232" t="s">
        <v>1158</v>
      </c>
      <c r="K232" t="s">
        <v>13</v>
      </c>
      <c r="L232" t="str">
        <f>_xlfn.XLOOKUP($K$3,K:K,K:K,$K$2)</f>
        <v>Bangladesh</v>
      </c>
      <c r="M232" t="s">
        <v>205</v>
      </c>
      <c r="N232" t="e" vm="30">
        <f>_xlfn.XLOOKUP($M232,$O:$O,$P:$P,"")</f>
        <v>#VALUE!</v>
      </c>
    </row>
    <row r="233" spans="1:14" x14ac:dyDescent="0.25">
      <c r="A233">
        <v>265</v>
      </c>
      <c r="B233" t="str">
        <f t="shared" si="12"/>
        <v>Brianne</v>
      </c>
      <c r="C233" t="s">
        <v>1159</v>
      </c>
      <c r="D233" t="s">
        <v>1160</v>
      </c>
      <c r="E233" t="str">
        <f t="shared" si="13"/>
        <v>birnys7c@huffingtonpost.com</v>
      </c>
      <c r="F233" t="s">
        <v>1161</v>
      </c>
      <c r="G233" t="s">
        <v>11</v>
      </c>
      <c r="H233" t="str">
        <f t="shared" si="14"/>
        <v>Female</v>
      </c>
      <c r="I233" t="str">
        <f>"+880"&amp;RIGHT(SUBSTITUTE(SUBSTITUTE($J233," ",""),"-",""),10)</f>
        <v>+8804134357557</v>
      </c>
      <c r="J233" t="s">
        <v>1162</v>
      </c>
      <c r="K233" t="s">
        <v>13</v>
      </c>
      <c r="L233" t="str">
        <f>_xlfn.XLOOKUP($K$3,K:K,K:K,$K$2)</f>
        <v>Bangladesh</v>
      </c>
      <c r="M233" t="s">
        <v>46</v>
      </c>
      <c r="N233" t="e" vm="5">
        <f>_xlfn.XLOOKUP($M233,$O:$O,$P:$P,"")</f>
        <v>#VALUE!</v>
      </c>
    </row>
    <row r="234" spans="1:14" x14ac:dyDescent="0.25">
      <c r="A234">
        <v>266</v>
      </c>
      <c r="B234" t="str">
        <f t="shared" si="12"/>
        <v>Annadiana</v>
      </c>
      <c r="C234" t="s">
        <v>1163</v>
      </c>
      <c r="D234" t="s">
        <v>1164</v>
      </c>
      <c r="E234" t="str">
        <f t="shared" si="13"/>
        <v>abardill7d@github.com</v>
      </c>
      <c r="F234" t="s">
        <v>1165</v>
      </c>
      <c r="G234" t="s">
        <v>11</v>
      </c>
      <c r="H234" t="str">
        <f t="shared" si="14"/>
        <v>Female</v>
      </c>
      <c r="I234" t="str">
        <f>"+880"&amp;RIGHT(SUBSTITUTE(SUBSTITUTE($J234," ",""),"-",""),10)</f>
        <v>+8802165622583</v>
      </c>
      <c r="J234" t="s">
        <v>1166</v>
      </c>
      <c r="K234" t="s">
        <v>13</v>
      </c>
      <c r="L234" t="str">
        <f>_xlfn.XLOOKUP($K$3,K:K,K:K,$K$2)</f>
        <v>Bangladesh</v>
      </c>
      <c r="M234" t="s">
        <v>567</v>
      </c>
      <c r="N234" t="e" vm="55">
        <f>_xlfn.XLOOKUP($M234,$O:$O,$P:$P,"")</f>
        <v>#VALUE!</v>
      </c>
    </row>
    <row r="235" spans="1:14" x14ac:dyDescent="0.25">
      <c r="A235">
        <v>267</v>
      </c>
      <c r="B235" t="str">
        <f t="shared" si="12"/>
        <v>Winnifred</v>
      </c>
      <c r="C235" t="s">
        <v>1167</v>
      </c>
      <c r="D235" t="s">
        <v>1168</v>
      </c>
      <c r="E235" t="str">
        <f t="shared" si="13"/>
        <v>wsimion7e@usa.gov</v>
      </c>
      <c r="F235" t="s">
        <v>1169</v>
      </c>
      <c r="G235" t="s">
        <v>11</v>
      </c>
      <c r="H235" t="str">
        <f t="shared" si="14"/>
        <v>Female</v>
      </c>
      <c r="I235" t="str">
        <f>"+880"&amp;RIGHT(SUBSTITUTE(SUBSTITUTE($J235," ",""),"-",""),10)</f>
        <v>+8808172306872</v>
      </c>
      <c r="J235" t="s">
        <v>1170</v>
      </c>
      <c r="K235" t="s">
        <v>13</v>
      </c>
      <c r="L235" t="str">
        <f>_xlfn.XLOOKUP($K$3,K:K,K:K,$K$2)</f>
        <v>Bangladesh</v>
      </c>
      <c r="M235" t="s">
        <v>115</v>
      </c>
      <c r="N235" t="e" vm="17">
        <f>_xlfn.XLOOKUP($M235,$O:$O,$P:$P,"")</f>
        <v>#VALUE!</v>
      </c>
    </row>
    <row r="236" spans="1:14" x14ac:dyDescent="0.25">
      <c r="A236">
        <v>268</v>
      </c>
      <c r="B236" t="str">
        <f t="shared" si="12"/>
        <v>Cecilla</v>
      </c>
      <c r="C236" t="s">
        <v>1171</v>
      </c>
      <c r="D236" t="s">
        <v>1172</v>
      </c>
      <c r="E236" t="str">
        <f t="shared" si="13"/>
        <v>clammers7f@xrea.com</v>
      </c>
      <c r="F236" t="s">
        <v>1173</v>
      </c>
      <c r="G236" t="s">
        <v>11</v>
      </c>
      <c r="H236" t="str">
        <f t="shared" si="14"/>
        <v>Female</v>
      </c>
      <c r="I236" t="str">
        <f>"+880"&amp;RIGHT(SUBSTITUTE(SUBSTITUTE($J236," ",""),"-",""),10)</f>
        <v>+8809676890100</v>
      </c>
      <c r="J236" t="s">
        <v>1174</v>
      </c>
      <c r="K236" t="s">
        <v>13</v>
      </c>
      <c r="L236" t="str">
        <f>_xlfn.XLOOKUP($K$3,K:K,K:K,$K$2)</f>
        <v>Bangladesh</v>
      </c>
      <c r="M236" t="s">
        <v>101</v>
      </c>
      <c r="N236" t="e" vm="15">
        <f>_xlfn.XLOOKUP($M236,$O:$O,$P:$P,"")</f>
        <v>#VALUE!</v>
      </c>
    </row>
    <row r="237" spans="1:14" x14ac:dyDescent="0.25">
      <c r="A237">
        <v>269</v>
      </c>
      <c r="B237" t="str">
        <f t="shared" si="12"/>
        <v>Page</v>
      </c>
      <c r="C237" t="s">
        <v>1175</v>
      </c>
      <c r="D237" t="s">
        <v>1176</v>
      </c>
      <c r="E237" t="str">
        <f t="shared" si="13"/>
        <v>pwhiteoak7g@si.edu</v>
      </c>
      <c r="F237" t="s">
        <v>1177</v>
      </c>
      <c r="G237" t="s">
        <v>11</v>
      </c>
      <c r="H237" t="str">
        <f t="shared" si="14"/>
        <v>Female</v>
      </c>
      <c r="I237" t="str">
        <f>"+880"&amp;RIGHT(SUBSTITUTE(SUBSTITUTE($J237," ",""),"-",""),10)</f>
        <v>+8805637959608</v>
      </c>
      <c r="J237" t="s">
        <v>1178</v>
      </c>
      <c r="K237" t="s">
        <v>13</v>
      </c>
      <c r="L237" t="str">
        <f>_xlfn.XLOOKUP($K$3,K:K,K:K,$K$2)</f>
        <v>Bangladesh</v>
      </c>
      <c r="M237" t="s">
        <v>504</v>
      </c>
      <c r="N237" t="e" vm="54">
        <f>_xlfn.XLOOKUP($M237,$O:$O,$P:$P,"")</f>
        <v>#VALUE!</v>
      </c>
    </row>
    <row r="238" spans="1:14" x14ac:dyDescent="0.25">
      <c r="A238">
        <v>270</v>
      </c>
      <c r="B238" t="str">
        <f t="shared" si="12"/>
        <v>Sheelah</v>
      </c>
      <c r="C238" t="s">
        <v>1179</v>
      </c>
      <c r="D238" t="s">
        <v>1180</v>
      </c>
      <c r="E238" t="str">
        <f t="shared" si="13"/>
        <v>sendean7h@ebay.com</v>
      </c>
      <c r="F238" t="s">
        <v>1181</v>
      </c>
      <c r="G238" t="s">
        <v>274</v>
      </c>
      <c r="H238" t="str">
        <f t="shared" si="14"/>
        <v>Other</v>
      </c>
      <c r="I238" t="str">
        <f>"+880"&amp;RIGHT(SUBSTITUTE(SUBSTITUTE($J238," ",""),"-",""),10)</f>
        <v>+8806898845657</v>
      </c>
      <c r="J238" t="s">
        <v>1182</v>
      </c>
      <c r="K238" t="s">
        <v>13</v>
      </c>
      <c r="L238" t="str">
        <f>_xlfn.XLOOKUP($K$3,K:K,K:K,$K$2)</f>
        <v>Bangladesh</v>
      </c>
      <c r="M238" t="s">
        <v>243</v>
      </c>
      <c r="N238" t="e" vm="35">
        <f>_xlfn.XLOOKUP($M238,$O:$O,$P:$P,"")</f>
        <v>#VALUE!</v>
      </c>
    </row>
    <row r="239" spans="1:14" x14ac:dyDescent="0.25">
      <c r="A239">
        <v>271</v>
      </c>
      <c r="B239" t="str">
        <f t="shared" si="12"/>
        <v>Shaun</v>
      </c>
      <c r="C239" t="s">
        <v>1183</v>
      </c>
      <c r="D239" t="s">
        <v>1184</v>
      </c>
      <c r="E239" t="str">
        <f t="shared" si="13"/>
        <v>sminigo7i@nps.gov</v>
      </c>
      <c r="F239" t="s">
        <v>1185</v>
      </c>
      <c r="G239" t="s">
        <v>18</v>
      </c>
      <c r="H239" t="str">
        <f t="shared" si="14"/>
        <v>Male</v>
      </c>
      <c r="I239" t="str">
        <f>"+880"&amp;RIGHT(SUBSTITUTE(SUBSTITUTE($J239," ",""),"-",""),10)</f>
        <v>+8807182271574</v>
      </c>
      <c r="J239" t="s">
        <v>1186</v>
      </c>
      <c r="K239" t="s">
        <v>13</v>
      </c>
      <c r="L239" t="str">
        <f>_xlfn.XLOOKUP($K$3,K:K,K:K,$K$2)</f>
        <v>Bangladesh</v>
      </c>
      <c r="M239" t="s">
        <v>1187</v>
      </c>
      <c r="N239" t="e" vm="82">
        <f>_xlfn.XLOOKUP($M239,$O:$O,$P:$P,"")</f>
        <v>#VALUE!</v>
      </c>
    </row>
    <row r="240" spans="1:14" x14ac:dyDescent="0.25">
      <c r="A240">
        <v>272</v>
      </c>
      <c r="B240" t="str">
        <f t="shared" si="12"/>
        <v>Edouard</v>
      </c>
      <c r="C240" t="s">
        <v>1188</v>
      </c>
      <c r="D240" t="s">
        <v>1189</v>
      </c>
      <c r="E240" t="str">
        <f t="shared" si="13"/>
        <v>edisney7j@jigsy.com</v>
      </c>
      <c r="F240" t="s">
        <v>1190</v>
      </c>
      <c r="G240" t="s">
        <v>18</v>
      </c>
      <c r="H240" t="str">
        <f t="shared" si="14"/>
        <v>Male</v>
      </c>
      <c r="I240" t="str">
        <f>"+880"&amp;RIGHT(SUBSTITUTE(SUBSTITUTE($J240," ",""),"-",""),10)</f>
        <v>+8806351398735</v>
      </c>
      <c r="J240" t="s">
        <v>1191</v>
      </c>
      <c r="K240" t="s">
        <v>13</v>
      </c>
      <c r="L240" t="str">
        <f>_xlfn.XLOOKUP($K$3,K:K,K:K,$K$2)</f>
        <v>Bangladesh</v>
      </c>
      <c r="M240" t="s">
        <v>1106</v>
      </c>
      <c r="N240" t="e" vm="83">
        <f>_xlfn.XLOOKUP($M240,$O:$O,$P:$P,"")</f>
        <v>#VALUE!</v>
      </c>
    </row>
    <row r="241" spans="1:14" x14ac:dyDescent="0.25">
      <c r="A241">
        <v>273</v>
      </c>
      <c r="B241" t="str">
        <f t="shared" si="12"/>
        <v>Jeremias</v>
      </c>
      <c r="C241" t="s">
        <v>1192</v>
      </c>
      <c r="D241" t="s">
        <v>1193</v>
      </c>
      <c r="E241" t="str">
        <f t="shared" si="13"/>
        <v>jzolini7k@miibeian.gov.cn</v>
      </c>
      <c r="F241" t="s">
        <v>1194</v>
      </c>
      <c r="G241" t="s">
        <v>18</v>
      </c>
      <c r="H241" t="str">
        <f t="shared" si="14"/>
        <v>Male</v>
      </c>
      <c r="I241" t="str">
        <f>"+880"&amp;RIGHT(SUBSTITUTE(SUBSTITUTE($J241," ",""),"-",""),10)</f>
        <v>+8802087707544</v>
      </c>
      <c r="J241" t="s">
        <v>1195</v>
      </c>
      <c r="K241" t="s">
        <v>13</v>
      </c>
      <c r="L241" t="str">
        <f>_xlfn.XLOOKUP($K$3,K:K,K:K,$K$2)</f>
        <v>Bangladesh</v>
      </c>
      <c r="M241" t="s">
        <v>660</v>
      </c>
      <c r="N241" t="e" vm="67">
        <f>_xlfn.XLOOKUP($M241,$O:$O,$P:$P,"")</f>
        <v>#VALUE!</v>
      </c>
    </row>
    <row r="242" spans="1:14" x14ac:dyDescent="0.25">
      <c r="A242">
        <v>274</v>
      </c>
      <c r="B242" t="str">
        <f t="shared" si="12"/>
        <v>Coreen</v>
      </c>
      <c r="C242" t="s">
        <v>1196</v>
      </c>
      <c r="D242" t="s">
        <v>1197</v>
      </c>
      <c r="E242" t="str">
        <f t="shared" si="13"/>
        <v>ccherry7l@nsw.gov.au</v>
      </c>
      <c r="F242" t="s">
        <v>1198</v>
      </c>
      <c r="G242" t="s">
        <v>11</v>
      </c>
      <c r="H242" t="str">
        <f t="shared" si="14"/>
        <v>Female</v>
      </c>
      <c r="I242" t="str">
        <f>"+880"&amp;RIGHT(SUBSTITUTE(SUBSTITUTE($J242," ",""),"-",""),10)</f>
        <v>+8804907405419</v>
      </c>
      <c r="J242" t="s">
        <v>1199</v>
      </c>
      <c r="K242" t="s">
        <v>13</v>
      </c>
      <c r="L242" t="str">
        <f>_xlfn.XLOOKUP($K$3,K:K,K:K,$K$2)</f>
        <v>Bangladesh</v>
      </c>
      <c r="M242" t="s">
        <v>345</v>
      </c>
      <c r="N242" t="e" vm="46">
        <f>_xlfn.XLOOKUP($M242,$O:$O,$P:$P,"")</f>
        <v>#VALUE!</v>
      </c>
    </row>
    <row r="243" spans="1:14" x14ac:dyDescent="0.25">
      <c r="A243">
        <v>275</v>
      </c>
      <c r="B243" t="str">
        <f t="shared" si="12"/>
        <v>Nannie</v>
      </c>
      <c r="C243" t="s">
        <v>1200</v>
      </c>
      <c r="D243" t="s">
        <v>1201</v>
      </c>
      <c r="E243" t="str">
        <f t="shared" si="13"/>
        <v>nfolbig7m@howstuffworks.com</v>
      </c>
      <c r="F243" t="s">
        <v>1202</v>
      </c>
      <c r="G243" t="s">
        <v>11</v>
      </c>
      <c r="H243" t="str">
        <f t="shared" si="14"/>
        <v>Female</v>
      </c>
      <c r="I243" t="str">
        <f>"+880"&amp;RIGHT(SUBSTITUTE(SUBSTITUTE($J243," ",""),"-",""),10)</f>
        <v>+8801313988860</v>
      </c>
      <c r="J243" t="s">
        <v>1203</v>
      </c>
      <c r="K243" t="s">
        <v>13</v>
      </c>
      <c r="L243" t="str">
        <f>_xlfn.XLOOKUP($K$3,K:K,K:K,$K$2)</f>
        <v>Bangladesh</v>
      </c>
      <c r="M243" t="s">
        <v>365</v>
      </c>
      <c r="N243" t="e" vm="47">
        <f>_xlfn.XLOOKUP($M243,$O:$O,$P:$P,"")</f>
        <v>#VALUE!</v>
      </c>
    </row>
    <row r="244" spans="1:14" x14ac:dyDescent="0.25">
      <c r="A244">
        <v>276</v>
      </c>
      <c r="B244" t="str">
        <f t="shared" si="12"/>
        <v>Abbye</v>
      </c>
      <c r="C244" t="s">
        <v>1204</v>
      </c>
      <c r="D244" t="s">
        <v>1205</v>
      </c>
      <c r="E244" t="str">
        <f t="shared" si="13"/>
        <v>anyland7n@wikipedia.org</v>
      </c>
      <c r="F244" t="s">
        <v>1206</v>
      </c>
      <c r="G244" t="s">
        <v>11</v>
      </c>
      <c r="H244" t="str">
        <f t="shared" si="14"/>
        <v>Female</v>
      </c>
      <c r="I244" t="str">
        <f>"+880"&amp;RIGHT(SUBSTITUTE(SUBSTITUTE($J244," ",""),"-",""),10)</f>
        <v>+8806252197970</v>
      </c>
      <c r="J244" t="s">
        <v>1207</v>
      </c>
      <c r="K244" t="s">
        <v>13</v>
      </c>
      <c r="L244" t="str">
        <f>_xlfn.XLOOKUP($K$3,K:K,K:K,$K$2)</f>
        <v>Bangladesh</v>
      </c>
      <c r="M244" t="s">
        <v>56</v>
      </c>
      <c r="N244" t="e" vm="6">
        <f>_xlfn.XLOOKUP($M244,$O:$O,$P:$P,"")</f>
        <v>#VALUE!</v>
      </c>
    </row>
    <row r="245" spans="1:14" x14ac:dyDescent="0.25">
      <c r="A245">
        <v>277</v>
      </c>
      <c r="B245" t="str">
        <f t="shared" si="12"/>
        <v>Maryjane</v>
      </c>
      <c r="C245" t="s">
        <v>1208</v>
      </c>
      <c r="D245" t="s">
        <v>1209</v>
      </c>
      <c r="E245" t="str">
        <f t="shared" si="13"/>
        <v>mmoquin7o@tamu.edu</v>
      </c>
      <c r="F245" t="s">
        <v>1210</v>
      </c>
      <c r="G245" t="s">
        <v>11</v>
      </c>
      <c r="H245" t="str">
        <f t="shared" si="14"/>
        <v>Female</v>
      </c>
      <c r="I245" t="str">
        <f>"+880"&amp;RIGHT(SUBSTITUTE(SUBSTITUTE($J245," ",""),"-",""),10)</f>
        <v>+8801169873476</v>
      </c>
      <c r="J245" t="s">
        <v>1211</v>
      </c>
      <c r="K245" t="s">
        <v>13</v>
      </c>
      <c r="L245" t="str">
        <f>_xlfn.XLOOKUP($K$3,K:K,K:K,$K$2)</f>
        <v>Bangladesh</v>
      </c>
      <c r="M245" t="s">
        <v>1212</v>
      </c>
      <c r="N245" t="e" vm="84">
        <f>_xlfn.XLOOKUP($M245,$O:$O,$P:$P,"")</f>
        <v>#VALUE!</v>
      </c>
    </row>
    <row r="246" spans="1:14" x14ac:dyDescent="0.25">
      <c r="A246">
        <v>278</v>
      </c>
      <c r="B246" t="str">
        <f t="shared" si="12"/>
        <v>Nisse</v>
      </c>
      <c r="C246" t="s">
        <v>1213</v>
      </c>
      <c r="D246" t="s">
        <v>1214</v>
      </c>
      <c r="E246" t="str">
        <f t="shared" si="13"/>
        <v>nharsnep7p@webeden.co.uk</v>
      </c>
      <c r="F246" t="s">
        <v>1215</v>
      </c>
      <c r="G246" t="s">
        <v>11</v>
      </c>
      <c r="H246" t="str">
        <f t="shared" si="14"/>
        <v>Female</v>
      </c>
      <c r="I246" t="str">
        <f>"+880"&amp;RIGHT(SUBSTITUTE(SUBSTITUTE($J246," ",""),"-",""),10)</f>
        <v>+8805564730934</v>
      </c>
      <c r="J246" t="s">
        <v>1216</v>
      </c>
      <c r="K246" t="s">
        <v>13</v>
      </c>
      <c r="L246" t="str">
        <f>_xlfn.XLOOKUP($K$3,K:K,K:K,$K$2)</f>
        <v>Bangladesh</v>
      </c>
      <c r="M246" t="s">
        <v>678</v>
      </c>
      <c r="N246" t="str">
        <f>_xlfn.XLOOKUP($M246,$O:$O,$P:$P,"")</f>
        <v>Pargaaj</v>
      </c>
    </row>
    <row r="247" spans="1:14" x14ac:dyDescent="0.25">
      <c r="A247">
        <v>279</v>
      </c>
      <c r="B247" t="str">
        <f t="shared" si="12"/>
        <v>Titus</v>
      </c>
      <c r="C247" t="s">
        <v>1217</v>
      </c>
      <c r="D247" t="s">
        <v>1218</v>
      </c>
      <c r="E247" t="str">
        <f t="shared" si="13"/>
        <v>tbutten7q@bbb.org</v>
      </c>
      <c r="F247" t="s">
        <v>1219</v>
      </c>
      <c r="G247" t="s">
        <v>18</v>
      </c>
      <c r="H247" t="str">
        <f t="shared" si="14"/>
        <v>Male</v>
      </c>
      <c r="I247" t="str">
        <f>"+880"&amp;RIGHT(SUBSTITUTE(SUBSTITUTE($J247," ",""),"-",""),10)</f>
        <v>+8803316501083</v>
      </c>
      <c r="J247" t="s">
        <v>1220</v>
      </c>
      <c r="K247" t="s">
        <v>13</v>
      </c>
      <c r="L247" t="str">
        <f>_xlfn.XLOOKUP($K$3,K:K,K:K,$K$2)</f>
        <v>Bangladesh</v>
      </c>
      <c r="M247" t="s">
        <v>1212</v>
      </c>
      <c r="N247" t="e" vm="84">
        <f>_xlfn.XLOOKUP($M247,$O:$O,$P:$P,"")</f>
        <v>#VALUE!</v>
      </c>
    </row>
    <row r="248" spans="1:14" x14ac:dyDescent="0.25">
      <c r="A248">
        <v>282</v>
      </c>
      <c r="B248" t="str">
        <f t="shared" si="12"/>
        <v>Deerdre</v>
      </c>
      <c r="C248" t="s">
        <v>1230</v>
      </c>
      <c r="D248" t="s">
        <v>1231</v>
      </c>
      <c r="E248" t="str">
        <f t="shared" si="13"/>
        <v>dbernli7t@examiner.com</v>
      </c>
      <c r="F248" t="s">
        <v>1232</v>
      </c>
      <c r="G248" t="s">
        <v>11</v>
      </c>
      <c r="H248" t="str">
        <f t="shared" si="14"/>
        <v>Female</v>
      </c>
      <c r="I248" t="str">
        <f>"+880"&amp;RIGHT(SUBSTITUTE(SUBSTITUTE($J248," ",""),"-",""),10)</f>
        <v>+8803865755349</v>
      </c>
      <c r="J248" t="s">
        <v>1233</v>
      </c>
      <c r="K248" t="s">
        <v>13</v>
      </c>
      <c r="L248" t="str">
        <f>_xlfn.XLOOKUP($K$3,K:K,K:K,$K$2)</f>
        <v>Bangladesh</v>
      </c>
      <c r="M248" t="s">
        <v>168</v>
      </c>
      <c r="N248" t="e" vm="25">
        <f>_xlfn.XLOOKUP($M248,$O:$O,$P:$P,"")</f>
        <v>#VALUE!</v>
      </c>
    </row>
    <row r="249" spans="1:14" x14ac:dyDescent="0.25">
      <c r="A249">
        <v>283</v>
      </c>
      <c r="B249" t="str">
        <f t="shared" si="12"/>
        <v>Elfrieda</v>
      </c>
      <c r="C249" t="s">
        <v>1234</v>
      </c>
      <c r="D249" t="s">
        <v>1235</v>
      </c>
      <c r="E249" t="str">
        <f t="shared" si="13"/>
        <v>emacdearmaid7u@xinhuanet.com</v>
      </c>
      <c r="F249" t="s">
        <v>1236</v>
      </c>
      <c r="G249" t="s">
        <v>11</v>
      </c>
      <c r="H249" t="str">
        <f t="shared" si="14"/>
        <v>Female</v>
      </c>
      <c r="I249" t="str">
        <f>"+880"&amp;RIGHT(SUBSTITUTE(SUBSTITUTE($J249," ",""),"-",""),10)</f>
        <v>+8804047916634</v>
      </c>
      <c r="J249" t="s">
        <v>1237</v>
      </c>
      <c r="K249" t="s">
        <v>13</v>
      </c>
      <c r="L249" t="str">
        <f>_xlfn.XLOOKUP($K$3,K:K,K:K,$K$2)</f>
        <v>Bangladesh</v>
      </c>
      <c r="M249" t="s">
        <v>287</v>
      </c>
      <c r="N249" t="e" vm="41">
        <f>_xlfn.XLOOKUP($M249,$O:$O,$P:$P,"")</f>
        <v>#VALUE!</v>
      </c>
    </row>
    <row r="250" spans="1:14" x14ac:dyDescent="0.25">
      <c r="A250">
        <v>284</v>
      </c>
      <c r="B250" t="str">
        <f t="shared" si="12"/>
        <v>Viviana</v>
      </c>
      <c r="C250" t="s">
        <v>1238</v>
      </c>
      <c r="D250" t="s">
        <v>1239</v>
      </c>
      <c r="E250" t="str">
        <f t="shared" si="13"/>
        <v>vlittlejohn7v@berkeley.edu</v>
      </c>
      <c r="F250" t="s">
        <v>1240</v>
      </c>
      <c r="G250" t="s">
        <v>11</v>
      </c>
      <c r="H250" t="str">
        <f t="shared" si="14"/>
        <v>Female</v>
      </c>
      <c r="I250" t="str">
        <f>"+880"&amp;RIGHT(SUBSTITUTE(SUBSTITUTE($J250," ",""),"-",""),10)</f>
        <v>+8808322289306</v>
      </c>
      <c r="J250" t="s">
        <v>1241</v>
      </c>
      <c r="K250" t="s">
        <v>13</v>
      </c>
      <c r="L250" t="str">
        <f>_xlfn.XLOOKUP($K$3,K:K,K:K,$K$2)</f>
        <v>Bangladesh</v>
      </c>
      <c r="M250" t="s">
        <v>135</v>
      </c>
      <c r="N250" t="e" vm="20">
        <f>_xlfn.XLOOKUP($M250,$O:$O,$P:$P,"")</f>
        <v>#VALUE!</v>
      </c>
    </row>
    <row r="251" spans="1:14" x14ac:dyDescent="0.25">
      <c r="A251">
        <v>286</v>
      </c>
      <c r="B251" t="str">
        <f t="shared" si="12"/>
        <v>Paten</v>
      </c>
      <c r="C251" t="s">
        <v>1246</v>
      </c>
      <c r="D251" t="s">
        <v>1247</v>
      </c>
      <c r="E251" t="str">
        <f t="shared" si="13"/>
        <v>phugin7x@aboutads.info</v>
      </c>
      <c r="F251" t="s">
        <v>1248</v>
      </c>
      <c r="G251" t="s">
        <v>18</v>
      </c>
      <c r="H251" t="str">
        <f t="shared" si="14"/>
        <v>Male</v>
      </c>
      <c r="I251" t="str">
        <f>"+880"&amp;RIGHT(SUBSTITUTE(SUBSTITUTE($J251," ",""),"-",""),10)</f>
        <v>+8803624154009</v>
      </c>
      <c r="J251" t="s">
        <v>1249</v>
      </c>
      <c r="K251" t="s">
        <v>13</v>
      </c>
      <c r="L251" t="str">
        <f>_xlfn.XLOOKUP($K$3,K:K,K:K,$K$2)</f>
        <v>Bangladesh</v>
      </c>
      <c r="M251" t="s">
        <v>549</v>
      </c>
      <c r="N251" t="e" vm="78">
        <f>_xlfn.XLOOKUP($M251,$O:$O,$P:$P,"")</f>
        <v>#VALUE!</v>
      </c>
    </row>
    <row r="252" spans="1:14" x14ac:dyDescent="0.25">
      <c r="A252">
        <v>287</v>
      </c>
      <c r="B252" t="str">
        <f t="shared" si="12"/>
        <v>Cassius</v>
      </c>
      <c r="C252" t="s">
        <v>1250</v>
      </c>
      <c r="D252" t="s">
        <v>1251</v>
      </c>
      <c r="E252" t="str">
        <f t="shared" si="13"/>
        <v>credgrove7y@hubpages.com</v>
      </c>
      <c r="F252" t="s">
        <v>1252</v>
      </c>
      <c r="G252" t="s">
        <v>18</v>
      </c>
      <c r="H252" t="str">
        <f t="shared" si="14"/>
        <v>Male</v>
      </c>
      <c r="I252" t="str">
        <f>"+880"&amp;RIGHT(SUBSTITUTE(SUBSTITUTE($J252," ",""),"-",""),10)</f>
        <v>+8803652198203</v>
      </c>
      <c r="J252" t="s">
        <v>1253</v>
      </c>
      <c r="K252" t="s">
        <v>13</v>
      </c>
      <c r="L252" t="str">
        <f>_xlfn.XLOOKUP($K$3,K:K,K:K,$K$2)</f>
        <v>Bangladesh</v>
      </c>
      <c r="M252" t="s">
        <v>404</v>
      </c>
      <c r="N252" t="e" vm="50">
        <f>_xlfn.XLOOKUP($M252,$O:$O,$P:$P,"")</f>
        <v>#VALUE!</v>
      </c>
    </row>
    <row r="253" spans="1:14" x14ac:dyDescent="0.25">
      <c r="A253">
        <v>290</v>
      </c>
      <c r="B253" t="str">
        <f t="shared" si="12"/>
        <v>Michal</v>
      </c>
      <c r="C253" t="s">
        <v>1262</v>
      </c>
      <c r="D253" t="s">
        <v>1263</v>
      </c>
      <c r="E253" t="str">
        <f t="shared" si="13"/>
        <v>msparke81@fda.gov</v>
      </c>
      <c r="F253" t="s">
        <v>1264</v>
      </c>
      <c r="G253" t="s">
        <v>11</v>
      </c>
      <c r="H253" t="str">
        <f t="shared" si="14"/>
        <v>Female</v>
      </c>
      <c r="I253" t="str">
        <f>"+880"&amp;RIGHT(SUBSTITUTE(SUBSTITUTE($J253," ",""),"-",""),10)</f>
        <v>+8809414398387</v>
      </c>
      <c r="J253" t="s">
        <v>1265</v>
      </c>
      <c r="K253" t="s">
        <v>13</v>
      </c>
      <c r="L253" t="str">
        <f>_xlfn.XLOOKUP($K$3,K:K,K:K,$K$2)</f>
        <v>Bangladesh</v>
      </c>
      <c r="M253" t="s">
        <v>814</v>
      </c>
      <c r="N253" t="e" vm="75">
        <f>_xlfn.XLOOKUP($M253,$O:$O,$P:$P,"")</f>
        <v>#VALUE!</v>
      </c>
    </row>
    <row r="254" spans="1:14" x14ac:dyDescent="0.25">
      <c r="A254">
        <v>292</v>
      </c>
      <c r="B254" t="str">
        <f t="shared" si="12"/>
        <v>Emmet</v>
      </c>
      <c r="C254" t="s">
        <v>1270</v>
      </c>
      <c r="D254" t="s">
        <v>1271</v>
      </c>
      <c r="E254" t="str">
        <f t="shared" si="13"/>
        <v>esaville83@sciencedaily.com</v>
      </c>
      <c r="F254" t="s">
        <v>1272</v>
      </c>
      <c r="G254" t="s">
        <v>18</v>
      </c>
      <c r="H254" t="str">
        <f t="shared" si="14"/>
        <v>Male</v>
      </c>
      <c r="I254" t="str">
        <f>"+880"&amp;RIGHT(SUBSTITUTE(SUBSTITUTE($J254," ",""),"-",""),10)</f>
        <v>+8805972144152</v>
      </c>
      <c r="J254" t="s">
        <v>1273</v>
      </c>
      <c r="K254" t="s">
        <v>13</v>
      </c>
      <c r="L254" t="str">
        <f>_xlfn.XLOOKUP($K$3,K:K,K:K,$K$2)</f>
        <v>Bangladesh</v>
      </c>
      <c r="M254" t="s">
        <v>243</v>
      </c>
      <c r="N254" t="e" vm="35">
        <f>_xlfn.XLOOKUP($M254,$O:$O,$P:$P,"")</f>
        <v>#VALUE!</v>
      </c>
    </row>
    <row r="255" spans="1:14" x14ac:dyDescent="0.25">
      <c r="A255">
        <v>293</v>
      </c>
      <c r="B255" t="str">
        <f t="shared" si="12"/>
        <v>Marchall</v>
      </c>
      <c r="C255" t="s">
        <v>1274</v>
      </c>
      <c r="D255" t="s">
        <v>1275</v>
      </c>
      <c r="E255" t="str">
        <f t="shared" si="13"/>
        <v>mmousley84@thetimes.co.uk</v>
      </c>
      <c r="F255" t="s">
        <v>1276</v>
      </c>
      <c r="G255" t="s">
        <v>18</v>
      </c>
      <c r="H255" t="str">
        <f t="shared" si="14"/>
        <v>Male</v>
      </c>
      <c r="I255" t="str">
        <f>"+880"&amp;RIGHT(SUBSTITUTE(SUBSTITUTE($J255," ",""),"-",""),10)</f>
        <v>+8801353455127</v>
      </c>
      <c r="J255" t="s">
        <v>1277</v>
      </c>
      <c r="K255" t="s">
        <v>13</v>
      </c>
      <c r="L255" t="str">
        <f>_xlfn.XLOOKUP($K$3,K:K,K:K,$K$2)</f>
        <v>Bangladesh</v>
      </c>
      <c r="M255" t="s">
        <v>809</v>
      </c>
      <c r="N255" t="e" vm="74">
        <f>_xlfn.XLOOKUP($M255,$O:$O,$P:$P,"")</f>
        <v>#VALUE!</v>
      </c>
    </row>
    <row r="256" spans="1:14" x14ac:dyDescent="0.25">
      <c r="A256">
        <v>294</v>
      </c>
      <c r="B256" t="str">
        <f t="shared" si="12"/>
        <v>Winifield</v>
      </c>
      <c r="C256" t="s">
        <v>1278</v>
      </c>
      <c r="D256" t="s">
        <v>1279</v>
      </c>
      <c r="E256" t="str">
        <f t="shared" si="13"/>
        <v>wrapp85@google.com.au</v>
      </c>
      <c r="F256" t="s">
        <v>1280</v>
      </c>
      <c r="G256" t="s">
        <v>18</v>
      </c>
      <c r="H256" t="str">
        <f t="shared" si="14"/>
        <v>Male</v>
      </c>
      <c r="I256" t="str">
        <f>"+880"&amp;RIGHT(SUBSTITUTE(SUBSTITUTE($J256," ",""),"-",""),10)</f>
        <v>+8809271674941</v>
      </c>
      <c r="J256" t="s">
        <v>1281</v>
      </c>
      <c r="K256" t="s">
        <v>13</v>
      </c>
      <c r="L256" t="str">
        <f>_xlfn.XLOOKUP($K$3,K:K,K:K,$K$2)</f>
        <v>Bangladesh</v>
      </c>
      <c r="M256" t="s">
        <v>154</v>
      </c>
      <c r="N256" t="e" vm="23">
        <f>_xlfn.XLOOKUP($M256,$O:$O,$P:$P,"")</f>
        <v>#VALUE!</v>
      </c>
    </row>
    <row r="257" spans="1:14" x14ac:dyDescent="0.25">
      <c r="A257">
        <v>296</v>
      </c>
      <c r="B257" t="str">
        <f t="shared" si="12"/>
        <v>Kirby</v>
      </c>
      <c r="C257" t="s">
        <v>1286</v>
      </c>
      <c r="D257" t="s">
        <v>1287</v>
      </c>
      <c r="E257" t="str">
        <f t="shared" si="13"/>
        <v>kwarder87@cafepress.com</v>
      </c>
      <c r="F257" t="s">
        <v>1288</v>
      </c>
      <c r="G257" t="s">
        <v>11</v>
      </c>
      <c r="H257" t="str">
        <f t="shared" si="14"/>
        <v>Female</v>
      </c>
      <c r="I257" t="str">
        <f>"+880"&amp;RIGHT(SUBSTITUTE(SUBSTITUTE($J257," ",""),"-",""),10)</f>
        <v>+8808545454943</v>
      </c>
      <c r="J257" t="s">
        <v>1289</v>
      </c>
      <c r="K257" t="s">
        <v>13</v>
      </c>
      <c r="L257" t="str">
        <f>_xlfn.XLOOKUP($K$3,K:K,K:K,$K$2)</f>
        <v>Bangladesh</v>
      </c>
      <c r="M257" t="s">
        <v>224</v>
      </c>
      <c r="N257" t="e" vm="33">
        <f>_xlfn.XLOOKUP($M257,$O:$O,$P:$P,"")</f>
        <v>#VALUE!</v>
      </c>
    </row>
    <row r="258" spans="1:14" x14ac:dyDescent="0.25">
      <c r="A258">
        <v>297</v>
      </c>
      <c r="B258" t="str">
        <f t="shared" si="12"/>
        <v>Kinnie</v>
      </c>
      <c r="C258" t="s">
        <v>1290</v>
      </c>
      <c r="D258" t="s">
        <v>1291</v>
      </c>
      <c r="E258" t="str">
        <f t="shared" si="13"/>
        <v>ktait88@umich.edu</v>
      </c>
      <c r="F258" t="s">
        <v>1292</v>
      </c>
      <c r="G258" t="s">
        <v>18</v>
      </c>
      <c r="H258" t="str">
        <f t="shared" si="14"/>
        <v>Male</v>
      </c>
      <c r="I258" t="str">
        <f>"+880"&amp;RIGHT(SUBSTITUTE(SUBSTITUTE($J258," ",""),"-",""),10)</f>
        <v>+8807779608816</v>
      </c>
      <c r="J258" t="s">
        <v>1293</v>
      </c>
      <c r="K258" t="s">
        <v>13</v>
      </c>
      <c r="L258" t="str">
        <f>_xlfn.XLOOKUP($K$3,K:K,K:K,$K$2)</f>
        <v>Bangladesh</v>
      </c>
      <c r="M258" t="s">
        <v>809</v>
      </c>
      <c r="N258" t="e" vm="74">
        <f>_xlfn.XLOOKUP($M258,$O:$O,$P:$P,"")</f>
        <v>#VALUE!</v>
      </c>
    </row>
    <row r="259" spans="1:14" x14ac:dyDescent="0.25">
      <c r="A259">
        <v>298</v>
      </c>
      <c r="B259" t="str">
        <f t="shared" si="12"/>
        <v>Jeremy</v>
      </c>
      <c r="C259" t="s">
        <v>1294</v>
      </c>
      <c r="D259" t="s">
        <v>1295</v>
      </c>
      <c r="E259" t="str">
        <f t="shared" si="13"/>
        <v>jbithany89@stumbleupon.com</v>
      </c>
      <c r="F259" t="s">
        <v>1296</v>
      </c>
      <c r="G259" t="s">
        <v>18</v>
      </c>
      <c r="H259" t="str">
        <f t="shared" si="14"/>
        <v>Male</v>
      </c>
      <c r="I259" t="str">
        <f>"+880"&amp;RIGHT(SUBSTITUTE(SUBSTITUTE($J259," ",""),"-",""),10)</f>
        <v>+8803459477212</v>
      </c>
      <c r="J259" t="s">
        <v>1297</v>
      </c>
      <c r="K259" t="s">
        <v>13</v>
      </c>
      <c r="L259" t="str">
        <f>_xlfn.XLOOKUP($K$3,K:K,K:K,$K$2)</f>
        <v>Bangladesh</v>
      </c>
      <c r="M259" t="s">
        <v>322</v>
      </c>
      <c r="N259" t="e" vm="44">
        <f>_xlfn.XLOOKUP($M259,$O:$O,$P:$P,"")</f>
        <v>#VALUE!</v>
      </c>
    </row>
    <row r="260" spans="1:14" x14ac:dyDescent="0.25">
      <c r="A260">
        <v>299</v>
      </c>
      <c r="B260" t="str">
        <f t="shared" si="12"/>
        <v>Jozef</v>
      </c>
      <c r="C260" t="s">
        <v>1298</v>
      </c>
      <c r="D260" t="s">
        <v>1299</v>
      </c>
      <c r="E260" t="str">
        <f t="shared" si="13"/>
        <v>jboodle8a@google.es</v>
      </c>
      <c r="F260" t="s">
        <v>1300</v>
      </c>
      <c r="G260" t="s">
        <v>18</v>
      </c>
      <c r="H260" t="str">
        <f t="shared" si="14"/>
        <v>Male</v>
      </c>
      <c r="I260" t="str">
        <f>"+880"&amp;RIGHT(SUBSTITUTE(SUBSTITUTE($J260," ",""),"-",""),10)</f>
        <v>+8805365132902</v>
      </c>
      <c r="J260" t="s">
        <v>1301</v>
      </c>
      <c r="K260" t="s">
        <v>13</v>
      </c>
      <c r="L260" t="str">
        <f>_xlfn.XLOOKUP($K$3,K:K,K:K,$K$2)</f>
        <v>Bangladesh</v>
      </c>
      <c r="M260" t="s">
        <v>1212</v>
      </c>
      <c r="N260" t="e" vm="84">
        <f>_xlfn.XLOOKUP($M260,$O:$O,$P:$P,"")</f>
        <v>#VALUE!</v>
      </c>
    </row>
    <row r="261" spans="1:14" x14ac:dyDescent="0.25">
      <c r="A261">
        <v>300</v>
      </c>
      <c r="B261" t="str">
        <f t="shared" si="12"/>
        <v>Haley</v>
      </c>
      <c r="C261" t="s">
        <v>1302</v>
      </c>
      <c r="D261" t="s">
        <v>1303</v>
      </c>
      <c r="E261" t="str">
        <f t="shared" si="13"/>
        <v>handrzejczak8b@google.pl</v>
      </c>
      <c r="F261" t="s">
        <v>1304</v>
      </c>
      <c r="G261" t="s">
        <v>11</v>
      </c>
      <c r="H261" t="str">
        <f t="shared" si="14"/>
        <v>Female</v>
      </c>
      <c r="I261" t="str">
        <f>"+880"&amp;RIGHT(SUBSTITUTE(SUBSTITUTE($J261," ",""),"-",""),10)</f>
        <v>+8805413026695</v>
      </c>
      <c r="J261" t="s">
        <v>1305</v>
      </c>
      <c r="K261" t="s">
        <v>13</v>
      </c>
      <c r="L261" t="str">
        <f>_xlfn.XLOOKUP($K$3,K:K,K:K,$K$2)</f>
        <v>Bangladesh</v>
      </c>
      <c r="M261" t="s">
        <v>296</v>
      </c>
      <c r="N261" t="e" vm="81">
        <f>_xlfn.XLOOKUP($M261,$O:$O,$P:$P,"")</f>
        <v>#VALUE!</v>
      </c>
    </row>
    <row r="262" spans="1:14" x14ac:dyDescent="0.25">
      <c r="A262">
        <v>301</v>
      </c>
      <c r="B262" t="str">
        <f t="shared" si="12"/>
        <v>Susie</v>
      </c>
      <c r="C262" t="s">
        <v>1306</v>
      </c>
      <c r="D262" t="s">
        <v>1307</v>
      </c>
      <c r="E262" t="str">
        <f t="shared" si="13"/>
        <v>sbourhill8c@yolasite.com</v>
      </c>
      <c r="F262" t="s">
        <v>1308</v>
      </c>
      <c r="G262" t="s">
        <v>11</v>
      </c>
      <c r="H262" t="str">
        <f t="shared" si="14"/>
        <v>Female</v>
      </c>
      <c r="I262" t="str">
        <f>"+880"&amp;RIGHT(SUBSTITUTE(SUBSTITUTE($J262," ",""),"-",""),10)</f>
        <v>+8807679508897</v>
      </c>
      <c r="J262" t="s">
        <v>1309</v>
      </c>
      <c r="K262" t="s">
        <v>13</v>
      </c>
      <c r="L262" t="str">
        <f>_xlfn.XLOOKUP($K$3,K:K,K:K,$K$2)</f>
        <v>Bangladesh</v>
      </c>
      <c r="M262" t="s">
        <v>404</v>
      </c>
      <c r="N262" t="e" vm="50">
        <f>_xlfn.XLOOKUP($M262,$O:$O,$P:$P,"")</f>
        <v>#VALUE!</v>
      </c>
    </row>
    <row r="263" spans="1:14" x14ac:dyDescent="0.25">
      <c r="A263">
        <v>303</v>
      </c>
      <c r="B263" t="str">
        <f t="shared" si="12"/>
        <v>Torrence</v>
      </c>
      <c r="C263" t="s">
        <v>1314</v>
      </c>
      <c r="D263" t="s">
        <v>1315</v>
      </c>
      <c r="E263" t="str">
        <f t="shared" si="13"/>
        <v>ttinwell8e@nba.com</v>
      </c>
      <c r="F263" t="s">
        <v>1316</v>
      </c>
      <c r="G263" t="s">
        <v>18</v>
      </c>
      <c r="H263" t="str">
        <f t="shared" si="14"/>
        <v>Male</v>
      </c>
      <c r="I263" t="str">
        <f>"+880"&amp;RIGHT(SUBSTITUTE(SUBSTITUTE($J263," ",""),"-",""),10)</f>
        <v>+8807687856500</v>
      </c>
      <c r="J263" t="s">
        <v>1317</v>
      </c>
      <c r="K263" t="s">
        <v>13</v>
      </c>
      <c r="L263" t="str">
        <f>_xlfn.XLOOKUP($K$3,K:K,K:K,$K$2)</f>
        <v>Bangladesh</v>
      </c>
      <c r="M263" t="s">
        <v>76</v>
      </c>
      <c r="N263" t="e" vm="10">
        <f>_xlfn.XLOOKUP($M263,$O:$O,$P:$P,"")</f>
        <v>#VALUE!</v>
      </c>
    </row>
    <row r="264" spans="1:14" x14ac:dyDescent="0.25">
      <c r="A264">
        <v>304</v>
      </c>
      <c r="B264" t="str">
        <f t="shared" si="12"/>
        <v>Ellen</v>
      </c>
      <c r="C264" t="s">
        <v>1318</v>
      </c>
      <c r="D264" t="s">
        <v>1319</v>
      </c>
      <c r="E264" t="str">
        <f t="shared" si="13"/>
        <v>ebrightwell8f@va.gov</v>
      </c>
      <c r="F264" t="s">
        <v>1320</v>
      </c>
      <c r="G264" t="s">
        <v>11</v>
      </c>
      <c r="H264" t="str">
        <f t="shared" si="14"/>
        <v>Female</v>
      </c>
      <c r="I264" t="str">
        <f>"+880"&amp;RIGHT(SUBSTITUTE(SUBSTITUTE($J264," ",""),"-",""),10)</f>
        <v>+8808467725568</v>
      </c>
      <c r="J264" t="s">
        <v>1321</v>
      </c>
      <c r="K264" t="s">
        <v>13</v>
      </c>
      <c r="L264" t="str">
        <f>_xlfn.XLOOKUP($K$3,K:K,K:K,$K$2)</f>
        <v>Bangladesh</v>
      </c>
      <c r="M264" t="s">
        <v>558</v>
      </c>
      <c r="N264" t="e" vm="53">
        <f>_xlfn.XLOOKUP($M264,$O:$O,$P:$P,"")</f>
        <v>#VALUE!</v>
      </c>
    </row>
    <row r="265" spans="1:14" x14ac:dyDescent="0.25">
      <c r="A265">
        <v>305</v>
      </c>
      <c r="B265" t="str">
        <f t="shared" si="12"/>
        <v>Nolan</v>
      </c>
      <c r="C265" t="s">
        <v>1322</v>
      </c>
      <c r="D265" t="s">
        <v>1323</v>
      </c>
      <c r="E265" t="str">
        <f t="shared" si="13"/>
        <v>nikins8g@ycombinator.com</v>
      </c>
      <c r="F265" t="s">
        <v>1324</v>
      </c>
      <c r="G265" t="s">
        <v>18</v>
      </c>
      <c r="H265" t="str">
        <f t="shared" si="14"/>
        <v>Male</v>
      </c>
      <c r="I265" t="str">
        <f>"+880"&amp;RIGHT(SUBSTITUTE(SUBSTITUTE($J265," ",""),"-",""),10)</f>
        <v>+8804991847552</v>
      </c>
      <c r="J265" t="s">
        <v>1325</v>
      </c>
      <c r="K265" t="s">
        <v>13</v>
      </c>
      <c r="L265" t="str">
        <f>_xlfn.XLOOKUP($K$3,K:K,K:K,$K$2)</f>
        <v>Bangladesh</v>
      </c>
      <c r="M265" t="s">
        <v>230</v>
      </c>
      <c r="N265" t="e" vm="34">
        <f>_xlfn.XLOOKUP($M265,$O:$O,$P:$P,"")</f>
        <v>#VALUE!</v>
      </c>
    </row>
    <row r="266" spans="1:14" x14ac:dyDescent="0.25">
      <c r="A266">
        <v>306</v>
      </c>
      <c r="B266" t="str">
        <f t="shared" si="12"/>
        <v>Felizio</v>
      </c>
      <c r="C266" t="s">
        <v>1326</v>
      </c>
      <c r="D266" t="s">
        <v>1327</v>
      </c>
      <c r="E266" t="str">
        <f t="shared" si="13"/>
        <v>fewer8h@smugmug.com</v>
      </c>
      <c r="F266" t="s">
        <v>1328</v>
      </c>
      <c r="G266" t="s">
        <v>18</v>
      </c>
      <c r="H266" t="str">
        <f t="shared" si="14"/>
        <v>Male</v>
      </c>
      <c r="I266" t="str">
        <f>"+880"&amp;RIGHT(SUBSTITUTE(SUBSTITUTE($J266," ",""),"-",""),10)</f>
        <v>+8801425012610</v>
      </c>
      <c r="J266" t="s">
        <v>1329</v>
      </c>
      <c r="K266" t="s">
        <v>13</v>
      </c>
      <c r="L266" t="str">
        <f>_xlfn.XLOOKUP($K$3,K:K,K:K,$K$2)</f>
        <v>Bangladesh</v>
      </c>
      <c r="M266" t="s">
        <v>438</v>
      </c>
      <c r="N266" t="e" vm="52">
        <f>_xlfn.XLOOKUP($M266,$O:$O,$P:$P,"")</f>
        <v>#VALUE!</v>
      </c>
    </row>
    <row r="267" spans="1:14" x14ac:dyDescent="0.25">
      <c r="A267">
        <v>307</v>
      </c>
      <c r="B267" t="str">
        <f t="shared" si="12"/>
        <v>Kary</v>
      </c>
      <c r="C267" t="s">
        <v>1330</v>
      </c>
      <c r="D267" t="s">
        <v>1331</v>
      </c>
      <c r="E267" t="str">
        <f t="shared" si="13"/>
        <v>ktracey8i@nymag.com</v>
      </c>
      <c r="F267" t="s">
        <v>1332</v>
      </c>
      <c r="G267" t="s">
        <v>11</v>
      </c>
      <c r="H267" t="str">
        <f t="shared" si="14"/>
        <v>Female</v>
      </c>
      <c r="I267" t="str">
        <f>"+880"&amp;RIGHT(SUBSTITUTE(SUBSTITUTE($J267," ",""),"-",""),10)</f>
        <v>+8804753226549</v>
      </c>
      <c r="J267" t="s">
        <v>1333</v>
      </c>
      <c r="K267" t="s">
        <v>13</v>
      </c>
      <c r="L267" t="str">
        <f>_xlfn.XLOOKUP($K$3,K:K,K:K,$K$2)</f>
        <v>Bangladesh</v>
      </c>
      <c r="M267" t="s">
        <v>91</v>
      </c>
      <c r="N267" t="e" vm="13">
        <f>_xlfn.XLOOKUP($M267,$O:$O,$P:$P,"")</f>
        <v>#VALUE!</v>
      </c>
    </row>
    <row r="268" spans="1:14" x14ac:dyDescent="0.25">
      <c r="A268">
        <v>308</v>
      </c>
      <c r="B268" t="str">
        <f t="shared" si="12"/>
        <v>Jabez</v>
      </c>
      <c r="C268" t="s">
        <v>1334</v>
      </c>
      <c r="D268" t="s">
        <v>1335</v>
      </c>
      <c r="E268" t="str">
        <f t="shared" si="13"/>
        <v>jlabroue8j@ibm.com</v>
      </c>
      <c r="F268" t="s">
        <v>1336</v>
      </c>
      <c r="G268" t="s">
        <v>18</v>
      </c>
      <c r="H268" t="str">
        <f t="shared" si="14"/>
        <v>Male</v>
      </c>
      <c r="I268" t="str">
        <f>"+880"&amp;RIGHT(SUBSTITUTE(SUBSTITUTE($J268," ",""),"-",""),10)</f>
        <v>+8805349399594</v>
      </c>
      <c r="J268" t="s">
        <v>1337</v>
      </c>
      <c r="K268" t="s">
        <v>13</v>
      </c>
      <c r="L268" t="str">
        <f>_xlfn.XLOOKUP($K$3,K:K,K:K,$K$2)</f>
        <v>Bangladesh</v>
      </c>
      <c r="M268" t="s">
        <v>804</v>
      </c>
      <c r="N268" t="e" vm="73">
        <f>_xlfn.XLOOKUP($M268,$O:$O,$P:$P,"")</f>
        <v>#VALUE!</v>
      </c>
    </row>
    <row r="269" spans="1:14" x14ac:dyDescent="0.25">
      <c r="A269">
        <v>309</v>
      </c>
      <c r="B269" t="str">
        <f t="shared" si="12"/>
        <v>Farrel</v>
      </c>
      <c r="C269" t="s">
        <v>1338</v>
      </c>
      <c r="D269" t="s">
        <v>1339</v>
      </c>
      <c r="E269" t="str">
        <f t="shared" si="13"/>
        <v>fyele8k@mediafire.com</v>
      </c>
      <c r="F269" t="s">
        <v>1340</v>
      </c>
      <c r="G269" t="s">
        <v>18</v>
      </c>
      <c r="H269" t="str">
        <f t="shared" si="14"/>
        <v>Male</v>
      </c>
      <c r="I269" t="str">
        <f>"+880"&amp;RIGHT(SUBSTITUTE(SUBSTITUTE($J269," ",""),"-",""),10)</f>
        <v>+8805758599397</v>
      </c>
      <c r="J269" t="s">
        <v>1341</v>
      </c>
      <c r="K269" t="s">
        <v>13</v>
      </c>
      <c r="L269" t="str">
        <f>_xlfn.XLOOKUP($K$3,K:K,K:K,$K$2)</f>
        <v>Bangladesh</v>
      </c>
      <c r="M269" t="s">
        <v>20</v>
      </c>
      <c r="N269" t="e" vm="2">
        <f>_xlfn.XLOOKUP($M269,$O:$O,$P:$P,"")</f>
        <v>#VALUE!</v>
      </c>
    </row>
    <row r="270" spans="1:14" x14ac:dyDescent="0.25">
      <c r="A270">
        <v>310</v>
      </c>
      <c r="B270" t="str">
        <f t="shared" si="12"/>
        <v>Felicia</v>
      </c>
      <c r="C270" t="s">
        <v>1342</v>
      </c>
      <c r="D270" t="s">
        <v>1343</v>
      </c>
      <c r="E270" t="str">
        <f t="shared" si="13"/>
        <v>fsawdon8l@comsenz.com</v>
      </c>
      <c r="F270" t="s">
        <v>1344</v>
      </c>
      <c r="G270" t="s">
        <v>11</v>
      </c>
      <c r="H270" t="str">
        <f t="shared" si="14"/>
        <v>Female</v>
      </c>
      <c r="I270" t="str">
        <f>"+880"&amp;RIGHT(SUBSTITUTE(SUBSTITUTE($J270," ",""),"-",""),10)</f>
        <v>+8803829914652</v>
      </c>
      <c r="J270" t="s">
        <v>1345</v>
      </c>
      <c r="K270" t="s">
        <v>13</v>
      </c>
      <c r="L270" t="str">
        <f>_xlfn.XLOOKUP($K$3,K:K,K:K,$K$2)</f>
        <v>Bangladesh</v>
      </c>
      <c r="M270" t="s">
        <v>71</v>
      </c>
      <c r="N270" t="e" vm="9">
        <f>_xlfn.XLOOKUP($M270,$O:$O,$P:$P,"")</f>
        <v>#VALUE!</v>
      </c>
    </row>
    <row r="271" spans="1:14" x14ac:dyDescent="0.25">
      <c r="A271">
        <v>311</v>
      </c>
      <c r="B271" t="str">
        <f t="shared" si="12"/>
        <v>Andris</v>
      </c>
      <c r="C271" t="s">
        <v>1346</v>
      </c>
      <c r="D271" t="s">
        <v>1347</v>
      </c>
      <c r="E271" t="str">
        <f t="shared" si="13"/>
        <v>acaldairou8m@diigo.com</v>
      </c>
      <c r="F271" t="s">
        <v>1348</v>
      </c>
      <c r="G271" t="s">
        <v>18</v>
      </c>
      <c r="H271" t="str">
        <f t="shared" si="14"/>
        <v>Male</v>
      </c>
      <c r="I271" t="str">
        <f>"+880"&amp;RIGHT(SUBSTITUTE(SUBSTITUTE($J271," ",""),"-",""),10)</f>
        <v>+8804488759328</v>
      </c>
      <c r="J271" t="s">
        <v>1349</v>
      </c>
      <c r="K271" t="s">
        <v>13</v>
      </c>
      <c r="L271" t="str">
        <f>_xlfn.XLOOKUP($K$3,K:K,K:K,$K$2)</f>
        <v>Bangladesh</v>
      </c>
      <c r="M271" t="s">
        <v>399</v>
      </c>
      <c r="N271" t="str">
        <f>_xlfn.XLOOKUP($M271,$O:$O,$P:$P,"")</f>
        <v>Jhingergacha</v>
      </c>
    </row>
    <row r="272" spans="1:14" x14ac:dyDescent="0.25">
      <c r="A272">
        <v>312</v>
      </c>
      <c r="B272" t="str">
        <f t="shared" si="12"/>
        <v>Christyna</v>
      </c>
      <c r="C272" t="s">
        <v>1350</v>
      </c>
      <c r="D272" t="s">
        <v>1351</v>
      </c>
      <c r="E272" t="str">
        <f t="shared" si="13"/>
        <v>cglavis8n@theglobeandmail.com</v>
      </c>
      <c r="F272" t="s">
        <v>1352</v>
      </c>
      <c r="G272" t="s">
        <v>11</v>
      </c>
      <c r="H272" t="str">
        <f t="shared" si="14"/>
        <v>Female</v>
      </c>
      <c r="I272" t="str">
        <f>"+880"&amp;RIGHT(SUBSTITUTE(SUBSTITUTE($J272," ",""),"-",""),10)</f>
        <v>+8802249077799</v>
      </c>
      <c r="J272" t="s">
        <v>1353</v>
      </c>
      <c r="K272" t="s">
        <v>13</v>
      </c>
      <c r="L272" t="str">
        <f>_xlfn.XLOOKUP($K$3,K:K,K:K,$K$2)</f>
        <v>Bangladesh</v>
      </c>
      <c r="M272" t="s">
        <v>628</v>
      </c>
      <c r="N272" t="e" vm="62">
        <f>_xlfn.XLOOKUP($M272,$O:$O,$P:$P,"")</f>
        <v>#VALUE!</v>
      </c>
    </row>
    <row r="273" spans="1:14" x14ac:dyDescent="0.25">
      <c r="A273">
        <v>313</v>
      </c>
      <c r="B273" t="str">
        <f t="shared" si="12"/>
        <v>Marijn</v>
      </c>
      <c r="C273" t="s">
        <v>1354</v>
      </c>
      <c r="D273" t="s">
        <v>1355</v>
      </c>
      <c r="E273" t="str">
        <f t="shared" si="13"/>
        <v>mmaccallester8o@ucoz.ru</v>
      </c>
      <c r="F273" t="s">
        <v>1356</v>
      </c>
      <c r="G273" t="s">
        <v>18</v>
      </c>
      <c r="H273" t="str">
        <f t="shared" si="14"/>
        <v>Male</v>
      </c>
      <c r="I273" t="str">
        <f>"+880"&amp;RIGHT(SUBSTITUTE(SUBSTITUTE($J273," ",""),"-",""),10)</f>
        <v>+8805901673120</v>
      </c>
      <c r="J273" t="s">
        <v>1357</v>
      </c>
      <c r="K273" t="s">
        <v>13</v>
      </c>
      <c r="L273" t="str">
        <f>_xlfn.XLOOKUP($K$3,K:K,K:K,$K$2)</f>
        <v>Bangladesh</v>
      </c>
      <c r="M273" t="s">
        <v>700</v>
      </c>
      <c r="N273" t="e" vm="70">
        <f>_xlfn.XLOOKUP($M273,$O:$O,$P:$P,"")</f>
        <v>#VALUE!</v>
      </c>
    </row>
    <row r="274" spans="1:14" x14ac:dyDescent="0.25">
      <c r="A274">
        <v>314</v>
      </c>
      <c r="B274" t="str">
        <f t="shared" si="12"/>
        <v>Gamaliel</v>
      </c>
      <c r="C274" t="s">
        <v>1358</v>
      </c>
      <c r="D274" t="s">
        <v>1359</v>
      </c>
      <c r="E274" t="str">
        <f t="shared" si="13"/>
        <v>gbims8p@mapy.cz</v>
      </c>
      <c r="F274" t="s">
        <v>1360</v>
      </c>
      <c r="G274" t="s">
        <v>228</v>
      </c>
      <c r="H274" t="str">
        <f t="shared" si="14"/>
        <v>Other</v>
      </c>
      <c r="I274" t="str">
        <f>"+880"&amp;RIGHT(SUBSTITUTE(SUBSTITUTE($J274," ",""),"-",""),10)</f>
        <v>+8801888805672</v>
      </c>
      <c r="J274" t="s">
        <v>1361</v>
      </c>
      <c r="K274" t="s">
        <v>13</v>
      </c>
      <c r="L274" t="str">
        <f>_xlfn.XLOOKUP($K$3,K:K,K:K,$K$2)</f>
        <v>Bangladesh</v>
      </c>
      <c r="M274" t="s">
        <v>178</v>
      </c>
      <c r="N274" t="e" vm="27">
        <f>_xlfn.XLOOKUP($M274,$O:$O,$P:$P,"")</f>
        <v>#VALUE!</v>
      </c>
    </row>
    <row r="275" spans="1:14" x14ac:dyDescent="0.25">
      <c r="A275">
        <v>315</v>
      </c>
      <c r="B275" t="str">
        <f t="shared" si="12"/>
        <v>Hendrik</v>
      </c>
      <c r="C275" t="s">
        <v>1362</v>
      </c>
      <c r="D275" t="s">
        <v>1363</v>
      </c>
      <c r="E275" t="str">
        <f t="shared" si="13"/>
        <v>hrawson8q@chron.com</v>
      </c>
      <c r="F275" t="s">
        <v>1364</v>
      </c>
      <c r="G275" t="s">
        <v>18</v>
      </c>
      <c r="H275" t="str">
        <f t="shared" si="14"/>
        <v>Male</v>
      </c>
      <c r="I275" t="str">
        <f>"+880"&amp;RIGHT(SUBSTITUTE(SUBSTITUTE($J275," ",""),"-",""),10)</f>
        <v>+8808025050285</v>
      </c>
      <c r="J275" t="s">
        <v>1365</v>
      </c>
      <c r="K275" t="s">
        <v>13</v>
      </c>
      <c r="L275" t="str">
        <f>_xlfn.XLOOKUP($K$3,K:K,K:K,$K$2)</f>
        <v>Bangladesh</v>
      </c>
      <c r="M275" t="s">
        <v>660</v>
      </c>
      <c r="N275" t="e" vm="67">
        <f>_xlfn.XLOOKUP($M275,$O:$O,$P:$P,"")</f>
        <v>#VALUE!</v>
      </c>
    </row>
    <row r="276" spans="1:14" x14ac:dyDescent="0.25">
      <c r="A276">
        <v>317</v>
      </c>
      <c r="B276" t="str">
        <f t="shared" si="12"/>
        <v>Jordan</v>
      </c>
      <c r="C276" t="s">
        <v>1370</v>
      </c>
      <c r="D276" t="s">
        <v>1371</v>
      </c>
      <c r="E276" t="str">
        <f t="shared" si="13"/>
        <v>jarlott8s@state.tx.us</v>
      </c>
      <c r="F276" t="s">
        <v>1372</v>
      </c>
      <c r="G276" t="s">
        <v>11</v>
      </c>
      <c r="H276" t="str">
        <f t="shared" si="14"/>
        <v>Female</v>
      </c>
      <c r="I276" t="str">
        <f>"+880"&amp;RIGHT(SUBSTITUTE(SUBSTITUTE($J276," ",""),"-",""),10)</f>
        <v>+8808141631213</v>
      </c>
      <c r="J276" t="s">
        <v>1373</v>
      </c>
      <c r="K276" t="s">
        <v>13</v>
      </c>
      <c r="L276" t="str">
        <f>_xlfn.XLOOKUP($K$3,K:K,K:K,$K$2)</f>
        <v>Bangladesh</v>
      </c>
      <c r="M276" t="s">
        <v>687</v>
      </c>
      <c r="N276" t="e" vm="69">
        <f>_xlfn.XLOOKUP($M276,$O:$O,$P:$P,"")</f>
        <v>#VALUE!</v>
      </c>
    </row>
    <row r="277" spans="1:14" x14ac:dyDescent="0.25">
      <c r="A277">
        <v>319</v>
      </c>
      <c r="B277" t="str">
        <f t="shared" si="12"/>
        <v>Sherman</v>
      </c>
      <c r="C277" t="s">
        <v>1378</v>
      </c>
      <c r="D277" t="s">
        <v>1379</v>
      </c>
      <c r="E277" t="str">
        <f t="shared" si="13"/>
        <v>sedgson8u@zdnet.com</v>
      </c>
      <c r="F277" t="s">
        <v>1380</v>
      </c>
      <c r="G277" t="s">
        <v>18</v>
      </c>
      <c r="H277" t="str">
        <f t="shared" si="14"/>
        <v>Male</v>
      </c>
      <c r="I277" t="str">
        <f>"+880"&amp;RIGHT(SUBSTITUTE(SUBSTITUTE($J277," ",""),"-",""),10)</f>
        <v>+8808647325290</v>
      </c>
      <c r="J277" t="s">
        <v>1381</v>
      </c>
      <c r="K277" t="s">
        <v>13</v>
      </c>
      <c r="L277" t="str">
        <f>_xlfn.XLOOKUP($K$3,K:K,K:K,$K$2)</f>
        <v>Bangladesh</v>
      </c>
      <c r="M277" t="s">
        <v>705</v>
      </c>
      <c r="N277" t="e" vm="71">
        <f>_xlfn.XLOOKUP($M277,$O:$O,$P:$P,"")</f>
        <v>#VALUE!</v>
      </c>
    </row>
    <row r="278" spans="1:14" x14ac:dyDescent="0.25">
      <c r="A278">
        <v>320</v>
      </c>
      <c r="B278" t="str">
        <f t="shared" si="12"/>
        <v>Hugibert</v>
      </c>
      <c r="C278" t="s">
        <v>576</v>
      </c>
      <c r="D278" t="s">
        <v>1382</v>
      </c>
      <c r="E278" t="str">
        <f t="shared" si="13"/>
        <v>hwinson8v@wiley.com</v>
      </c>
      <c r="F278" t="s">
        <v>1383</v>
      </c>
      <c r="G278" t="s">
        <v>18</v>
      </c>
      <c r="H278" t="str">
        <f t="shared" si="14"/>
        <v>Male</v>
      </c>
      <c r="I278" t="str">
        <f>"+880"&amp;RIGHT(SUBSTITUTE(SUBSTITUTE($J278," ",""),"-",""),10)</f>
        <v>+8803748369161</v>
      </c>
      <c r="J278" t="s">
        <v>1384</v>
      </c>
      <c r="K278" t="s">
        <v>13</v>
      </c>
      <c r="L278" t="str">
        <f>_xlfn.XLOOKUP($K$3,K:K,K:K,$K$2)</f>
        <v>Bangladesh</v>
      </c>
      <c r="M278" t="s">
        <v>549</v>
      </c>
      <c r="N278" t="e" vm="78">
        <f>_xlfn.XLOOKUP($M278,$O:$O,$P:$P,"")</f>
        <v>#VALUE!</v>
      </c>
    </row>
    <row r="279" spans="1:14" x14ac:dyDescent="0.25">
      <c r="A279">
        <v>321</v>
      </c>
      <c r="B279" t="str">
        <f t="shared" si="12"/>
        <v>Derek</v>
      </c>
      <c r="C279" t="s">
        <v>1385</v>
      </c>
      <c r="D279" t="s">
        <v>1386</v>
      </c>
      <c r="E279" t="str">
        <f t="shared" si="13"/>
        <v>dbleckly8w@soup.io</v>
      </c>
      <c r="F279" t="s">
        <v>1387</v>
      </c>
      <c r="G279" t="s">
        <v>18</v>
      </c>
      <c r="H279" t="str">
        <f t="shared" si="14"/>
        <v>Male</v>
      </c>
      <c r="I279" t="str">
        <f>"+880"&amp;RIGHT(SUBSTITUTE(SUBSTITUTE($J279," ",""),"-",""),10)</f>
        <v>+8802525868507</v>
      </c>
      <c r="J279" t="s">
        <v>1388</v>
      </c>
      <c r="K279" t="s">
        <v>13</v>
      </c>
      <c r="L279" t="str">
        <f>_xlfn.XLOOKUP($K$3,K:K,K:K,$K$2)</f>
        <v>Bangladesh</v>
      </c>
      <c r="M279" t="s">
        <v>125</v>
      </c>
      <c r="N279" t="e" vm="18">
        <f>_xlfn.XLOOKUP($M279,$O:$O,$P:$P,"")</f>
        <v>#VALUE!</v>
      </c>
    </row>
    <row r="280" spans="1:14" x14ac:dyDescent="0.25">
      <c r="A280">
        <v>322</v>
      </c>
      <c r="B280" t="str">
        <f t="shared" ref="B280:B337" si="15">PROPER(TRIM($C280))</f>
        <v>Keri</v>
      </c>
      <c r="C280" t="s">
        <v>1389</v>
      </c>
      <c r="D280" t="s">
        <v>1390</v>
      </c>
      <c r="E280" t="str">
        <f t="shared" ref="E280:E337" si="16">LOWER(TRIM($F280))</f>
        <v>kamburgy8x@wikispaces.com</v>
      </c>
      <c r="F280" t="s">
        <v>1391</v>
      </c>
      <c r="G280" t="s">
        <v>11</v>
      </c>
      <c r="H280" t="str">
        <f t="shared" ref="H280:H337" si="17">IF(OR($G280="M",LOWER($G280)="male"),"Male",
IF(OR($G280="F",LOWER($G280)="female"),"Female","Other"))</f>
        <v>Female</v>
      </c>
      <c r="I280" t="str">
        <f>"+880"&amp;RIGHT(SUBSTITUTE(SUBSTITUTE($J280," ",""),"-",""),10)</f>
        <v>+8803855201798</v>
      </c>
      <c r="J280" t="s">
        <v>1392</v>
      </c>
      <c r="K280" t="s">
        <v>13</v>
      </c>
      <c r="L280" t="str">
        <f>_xlfn.XLOOKUP($K$3,K:K,K:K,$K$2)</f>
        <v>Bangladesh</v>
      </c>
      <c r="M280" t="s">
        <v>809</v>
      </c>
      <c r="N280" t="e" vm="74">
        <f>_xlfn.XLOOKUP($M280,$O:$O,$P:$P,"")</f>
        <v>#VALUE!</v>
      </c>
    </row>
    <row r="281" spans="1:14" x14ac:dyDescent="0.25">
      <c r="A281">
        <v>323</v>
      </c>
      <c r="B281" t="str">
        <f t="shared" si="15"/>
        <v>Dulce</v>
      </c>
      <c r="C281" t="s">
        <v>1393</v>
      </c>
      <c r="D281" t="s">
        <v>1394</v>
      </c>
      <c r="E281" t="str">
        <f t="shared" si="16"/>
        <v>dbianco8y@ifeng.com</v>
      </c>
      <c r="F281" t="s">
        <v>1395</v>
      </c>
      <c r="G281" t="s">
        <v>11</v>
      </c>
      <c r="H281" t="str">
        <f t="shared" si="17"/>
        <v>Female</v>
      </c>
      <c r="I281" t="str">
        <f>"+880"&amp;RIGHT(SUBSTITUTE(SUBSTITUTE($J281," ",""),"-",""),10)</f>
        <v>+8806389546046</v>
      </c>
      <c r="J281" t="s">
        <v>1396</v>
      </c>
      <c r="K281" t="s">
        <v>13</v>
      </c>
      <c r="L281" t="str">
        <f>_xlfn.XLOOKUP($K$3,K:K,K:K,$K$2)</f>
        <v>Bangladesh</v>
      </c>
      <c r="M281" t="s">
        <v>168</v>
      </c>
      <c r="N281" t="e" vm="25">
        <f>_xlfn.XLOOKUP($M281,$O:$O,$P:$P,"")</f>
        <v>#VALUE!</v>
      </c>
    </row>
    <row r="282" spans="1:14" x14ac:dyDescent="0.25">
      <c r="A282">
        <v>324</v>
      </c>
      <c r="B282" t="str">
        <f t="shared" si="15"/>
        <v>Gabriele</v>
      </c>
      <c r="C282" t="s">
        <v>775</v>
      </c>
      <c r="D282" t="s">
        <v>1397</v>
      </c>
      <c r="E282" t="str">
        <f t="shared" si="16"/>
        <v>ghazlegrove8z@cafepress.com</v>
      </c>
      <c r="F282" t="s">
        <v>1398</v>
      </c>
      <c r="G282" t="s">
        <v>18</v>
      </c>
      <c r="H282" t="str">
        <f t="shared" si="17"/>
        <v>Male</v>
      </c>
      <c r="I282" t="str">
        <f>"+880"&amp;RIGHT(SUBSTITUTE(SUBSTITUTE($J282," ",""),"-",""),10)</f>
        <v>+8806727730084</v>
      </c>
      <c r="J282" t="s">
        <v>1399</v>
      </c>
      <c r="K282" t="s">
        <v>13</v>
      </c>
      <c r="L282" t="str">
        <f>_xlfn.XLOOKUP($K$3,K:K,K:K,$K$2)</f>
        <v>Bangladesh</v>
      </c>
      <c r="M282" t="s">
        <v>308</v>
      </c>
      <c r="N282" t="e" vm="42">
        <f>_xlfn.XLOOKUP($M282,$O:$O,$P:$P,"")</f>
        <v>#VALUE!</v>
      </c>
    </row>
    <row r="283" spans="1:14" x14ac:dyDescent="0.25">
      <c r="A283">
        <v>325</v>
      </c>
      <c r="B283" t="str">
        <f t="shared" si="15"/>
        <v>Salvidor</v>
      </c>
      <c r="C283" t="s">
        <v>1400</v>
      </c>
      <c r="D283" t="s">
        <v>1401</v>
      </c>
      <c r="E283" t="str">
        <f t="shared" si="16"/>
        <v>sraison90@seesaa.net</v>
      </c>
      <c r="F283" t="s">
        <v>1402</v>
      </c>
      <c r="G283" t="s">
        <v>280</v>
      </c>
      <c r="H283" t="str">
        <f t="shared" si="17"/>
        <v>Other</v>
      </c>
      <c r="I283" t="str">
        <f>"+880"&amp;RIGHT(SUBSTITUTE(SUBSTITUTE($J283," ",""),"-",""),10)</f>
        <v>+8802655855768</v>
      </c>
      <c r="J283" t="s">
        <v>1403</v>
      </c>
      <c r="K283" t="s">
        <v>13</v>
      </c>
      <c r="L283" t="str">
        <f>_xlfn.XLOOKUP($K$3,K:K,K:K,$K$2)</f>
        <v>Bangladesh</v>
      </c>
      <c r="M283" t="s">
        <v>210</v>
      </c>
      <c r="N283" t="e" vm="31">
        <f>_xlfn.XLOOKUP($M283,$O:$O,$P:$P,"")</f>
        <v>#VALUE!</v>
      </c>
    </row>
    <row r="284" spans="1:14" x14ac:dyDescent="0.25">
      <c r="A284">
        <v>326</v>
      </c>
      <c r="B284" t="str">
        <f t="shared" si="15"/>
        <v>Eula</v>
      </c>
      <c r="C284" t="s">
        <v>1404</v>
      </c>
      <c r="D284" t="s">
        <v>1405</v>
      </c>
      <c r="E284" t="str">
        <f t="shared" si="16"/>
        <v>eberford91@google.cn</v>
      </c>
      <c r="F284" t="s">
        <v>1406</v>
      </c>
      <c r="G284" t="s">
        <v>11</v>
      </c>
      <c r="H284" t="str">
        <f t="shared" si="17"/>
        <v>Female</v>
      </c>
      <c r="I284" t="str">
        <f>"+880"&amp;RIGHT(SUBSTITUTE(SUBSTITUTE($J284," ",""),"-",""),10)</f>
        <v>+8808088001164</v>
      </c>
      <c r="J284" t="s">
        <v>1407</v>
      </c>
      <c r="K284" t="s">
        <v>13</v>
      </c>
      <c r="L284" t="str">
        <f>_xlfn.XLOOKUP($K$3,K:K,K:K,$K$2)</f>
        <v>Bangladesh</v>
      </c>
      <c r="M284" t="s">
        <v>140</v>
      </c>
      <c r="N284" t="e" vm="21">
        <f>_xlfn.XLOOKUP($M284,$O:$O,$P:$P,"")</f>
        <v>#VALUE!</v>
      </c>
    </row>
    <row r="285" spans="1:14" x14ac:dyDescent="0.25">
      <c r="A285">
        <v>327</v>
      </c>
      <c r="B285" t="str">
        <f t="shared" si="15"/>
        <v>Regan</v>
      </c>
      <c r="C285" t="s">
        <v>1408</v>
      </c>
      <c r="D285" t="s">
        <v>1409</v>
      </c>
      <c r="E285" t="str">
        <f t="shared" si="16"/>
        <v>rschneider92@marketwatch.com</v>
      </c>
      <c r="F285" t="s">
        <v>1410</v>
      </c>
      <c r="G285" t="s">
        <v>18</v>
      </c>
      <c r="H285" t="str">
        <f t="shared" si="17"/>
        <v>Male</v>
      </c>
      <c r="I285" t="str">
        <f>"+880"&amp;RIGHT(SUBSTITUTE(SUBSTITUTE($J285," ",""),"-",""),10)</f>
        <v>+8804035294327</v>
      </c>
      <c r="J285" t="s">
        <v>1411</v>
      </c>
      <c r="K285" t="s">
        <v>13</v>
      </c>
      <c r="L285" t="str">
        <f>_xlfn.XLOOKUP($K$3,K:K,K:K,$K$2)</f>
        <v>Bangladesh</v>
      </c>
      <c r="M285" t="s">
        <v>71</v>
      </c>
      <c r="N285" t="e" vm="9">
        <f>_xlfn.XLOOKUP($M285,$O:$O,$P:$P,"")</f>
        <v>#VALUE!</v>
      </c>
    </row>
    <row r="286" spans="1:14" x14ac:dyDescent="0.25">
      <c r="A286">
        <v>328</v>
      </c>
      <c r="B286" t="str">
        <f t="shared" si="15"/>
        <v>Rosco</v>
      </c>
      <c r="C286" t="s">
        <v>1412</v>
      </c>
      <c r="D286" t="s">
        <v>1413</v>
      </c>
      <c r="E286" t="str">
        <f t="shared" si="16"/>
        <v>rchalker93@naver.com</v>
      </c>
      <c r="F286" t="s">
        <v>1414</v>
      </c>
      <c r="G286" t="s">
        <v>18</v>
      </c>
      <c r="H286" t="str">
        <f t="shared" si="17"/>
        <v>Male</v>
      </c>
      <c r="I286" t="str">
        <f>"+880"&amp;RIGHT(SUBSTITUTE(SUBSTITUTE($J286," ",""),"-",""),10)</f>
        <v>+8806487269173</v>
      </c>
      <c r="J286" t="s">
        <v>1415</v>
      </c>
      <c r="K286" t="s">
        <v>13</v>
      </c>
      <c r="L286" t="str">
        <f>_xlfn.XLOOKUP($K$3,K:K,K:K,$K$2)</f>
        <v>Bangladesh</v>
      </c>
      <c r="M286" t="s">
        <v>252</v>
      </c>
      <c r="N286" t="e" vm="36">
        <f>_xlfn.XLOOKUP($M286,$O:$O,$P:$P,"")</f>
        <v>#VALUE!</v>
      </c>
    </row>
    <row r="287" spans="1:14" x14ac:dyDescent="0.25">
      <c r="A287">
        <v>329</v>
      </c>
      <c r="B287" t="str">
        <f t="shared" si="15"/>
        <v>Doris</v>
      </c>
      <c r="C287" t="s">
        <v>1416</v>
      </c>
      <c r="D287" t="s">
        <v>1417</v>
      </c>
      <c r="E287" t="str">
        <f t="shared" si="16"/>
        <v>dmalthus94@state.tx.us</v>
      </c>
      <c r="F287" t="s">
        <v>1418</v>
      </c>
      <c r="G287" t="s">
        <v>11</v>
      </c>
      <c r="H287" t="str">
        <f t="shared" si="17"/>
        <v>Female</v>
      </c>
      <c r="I287" t="str">
        <f>"+880"&amp;RIGHT(SUBSTITUTE(SUBSTITUTE($J287," ",""),"-",""),10)</f>
        <v>+8805742474396</v>
      </c>
      <c r="J287" t="s">
        <v>1419</v>
      </c>
      <c r="K287" t="s">
        <v>13</v>
      </c>
      <c r="L287" t="str">
        <f>_xlfn.XLOOKUP($K$3,K:K,K:K,$K$2)</f>
        <v>Bangladesh</v>
      </c>
      <c r="M287" t="s">
        <v>558</v>
      </c>
      <c r="N287" t="e" vm="53">
        <f>_xlfn.XLOOKUP($M287,$O:$O,$P:$P,"")</f>
        <v>#VALUE!</v>
      </c>
    </row>
    <row r="288" spans="1:14" x14ac:dyDescent="0.25">
      <c r="A288">
        <v>330</v>
      </c>
      <c r="B288" t="str">
        <f t="shared" si="15"/>
        <v>Filia</v>
      </c>
      <c r="C288" t="s">
        <v>1420</v>
      </c>
      <c r="D288" t="s">
        <v>1421</v>
      </c>
      <c r="E288" t="str">
        <f t="shared" si="16"/>
        <v>fcuel95@house.gov</v>
      </c>
      <c r="F288" t="s">
        <v>1422</v>
      </c>
      <c r="G288" t="s">
        <v>769</v>
      </c>
      <c r="H288" t="str">
        <f t="shared" si="17"/>
        <v>Other</v>
      </c>
      <c r="I288" t="str">
        <f>"+880"&amp;RIGHT(SUBSTITUTE(SUBSTITUTE($J288," ",""),"-",""),10)</f>
        <v>+8809919736426</v>
      </c>
      <c r="J288" t="s">
        <v>1423</v>
      </c>
      <c r="K288" t="s">
        <v>13</v>
      </c>
      <c r="L288" t="str">
        <f>_xlfn.XLOOKUP($K$3,K:K,K:K,$K$2)</f>
        <v>Bangladesh</v>
      </c>
      <c r="M288" t="s">
        <v>86</v>
      </c>
      <c r="N288" t="e" vm="12">
        <f>_xlfn.XLOOKUP($M288,$O:$O,$P:$P,"")</f>
        <v>#VALUE!</v>
      </c>
    </row>
    <row r="289" spans="1:14" x14ac:dyDescent="0.25">
      <c r="A289">
        <v>331</v>
      </c>
      <c r="B289" t="str">
        <f t="shared" si="15"/>
        <v>Vaughan</v>
      </c>
      <c r="C289" t="s">
        <v>1424</v>
      </c>
      <c r="D289" t="s">
        <v>1425</v>
      </c>
      <c r="E289" t="str">
        <f t="shared" si="16"/>
        <v>vendacott96@deliciousdays.com</v>
      </c>
      <c r="F289" t="s">
        <v>1426</v>
      </c>
      <c r="G289" t="s">
        <v>18</v>
      </c>
      <c r="H289" t="str">
        <f t="shared" si="17"/>
        <v>Male</v>
      </c>
      <c r="I289" t="str">
        <f>"+880"&amp;RIGHT(SUBSTITUTE(SUBSTITUTE($J289," ",""),"-",""),10)</f>
        <v>+8802797838081</v>
      </c>
      <c r="J289" t="s">
        <v>1427</v>
      </c>
      <c r="K289" t="s">
        <v>13</v>
      </c>
      <c r="L289" t="str">
        <f>_xlfn.XLOOKUP($K$3,K:K,K:K,$K$2)</f>
        <v>Bangladesh</v>
      </c>
      <c r="M289" t="s">
        <v>66</v>
      </c>
      <c r="N289" t="e" vm="8">
        <f>_xlfn.XLOOKUP($M289,$O:$O,$P:$P,"")</f>
        <v>#VALUE!</v>
      </c>
    </row>
    <row r="290" spans="1:14" x14ac:dyDescent="0.25">
      <c r="A290">
        <v>333</v>
      </c>
      <c r="B290" t="str">
        <f t="shared" si="15"/>
        <v>Hilliary</v>
      </c>
      <c r="C290" t="s">
        <v>1433</v>
      </c>
      <c r="D290" t="s">
        <v>1434</v>
      </c>
      <c r="E290" t="str">
        <f t="shared" si="16"/>
        <v>hdowsett98@wsj.com</v>
      </c>
      <c r="F290" t="s">
        <v>1435</v>
      </c>
      <c r="G290" t="s">
        <v>274</v>
      </c>
      <c r="H290" t="str">
        <f t="shared" si="17"/>
        <v>Other</v>
      </c>
      <c r="I290" t="str">
        <f>"+880"&amp;RIGHT(SUBSTITUTE(SUBSTITUTE($J290," ",""),"-",""),10)</f>
        <v>+8809303963899</v>
      </c>
      <c r="J290" t="s">
        <v>1436</v>
      </c>
      <c r="K290" t="s">
        <v>13</v>
      </c>
      <c r="L290" t="str">
        <f>_xlfn.XLOOKUP($K$3,K:K,K:K,$K$2)</f>
        <v>Bangladesh</v>
      </c>
      <c r="M290" t="s">
        <v>14</v>
      </c>
      <c r="N290" t="e" vm="1">
        <f>_xlfn.XLOOKUP($M290,$O:$O,$P:$P,"")</f>
        <v>#VALUE!</v>
      </c>
    </row>
    <row r="291" spans="1:14" x14ac:dyDescent="0.25">
      <c r="A291">
        <v>334</v>
      </c>
      <c r="B291" t="str">
        <f t="shared" si="15"/>
        <v>Bernardina</v>
      </c>
      <c r="C291" t="s">
        <v>1437</v>
      </c>
      <c r="D291" t="s">
        <v>1438</v>
      </c>
      <c r="E291" t="str">
        <f t="shared" si="16"/>
        <v>bserman99@ning.com</v>
      </c>
      <c r="F291" t="s">
        <v>1439</v>
      </c>
      <c r="G291" t="s">
        <v>11</v>
      </c>
      <c r="H291" t="str">
        <f t="shared" si="17"/>
        <v>Female</v>
      </c>
      <c r="I291" t="str">
        <f>"+880"&amp;RIGHT(SUBSTITUTE(SUBSTITUTE($J291," ",""),"-",""),10)</f>
        <v>+8805693771877</v>
      </c>
      <c r="J291" t="s">
        <v>1440</v>
      </c>
      <c r="K291" t="s">
        <v>13</v>
      </c>
      <c r="L291" t="str">
        <f>_xlfn.XLOOKUP($K$3,K:K,K:K,$K$2)</f>
        <v>Bangladesh</v>
      </c>
      <c r="M291" t="s">
        <v>230</v>
      </c>
      <c r="N291" t="e" vm="34">
        <f>_xlfn.XLOOKUP($M291,$O:$O,$P:$P,"")</f>
        <v>#VALUE!</v>
      </c>
    </row>
    <row r="292" spans="1:14" x14ac:dyDescent="0.25">
      <c r="A292">
        <v>335</v>
      </c>
      <c r="B292" t="str">
        <f t="shared" si="15"/>
        <v>Fifine</v>
      </c>
      <c r="C292" t="s">
        <v>1441</v>
      </c>
      <c r="D292" t="s">
        <v>1442</v>
      </c>
      <c r="E292" t="str">
        <f t="shared" si="16"/>
        <v>fheisman9a@webeden.co.uk</v>
      </c>
      <c r="F292" t="s">
        <v>1443</v>
      </c>
      <c r="G292" t="s">
        <v>11</v>
      </c>
      <c r="H292" t="str">
        <f t="shared" si="17"/>
        <v>Female</v>
      </c>
      <c r="I292" t="str">
        <f>"+880"&amp;RIGHT(SUBSTITUTE(SUBSTITUTE($J292," ",""),"-",""),10)</f>
        <v>+8801456313968</v>
      </c>
      <c r="J292" t="s">
        <v>1444</v>
      </c>
      <c r="K292" t="s">
        <v>13</v>
      </c>
      <c r="L292" t="str">
        <f>_xlfn.XLOOKUP($K$3,K:K,K:K,$K$2)</f>
        <v>Bangladesh</v>
      </c>
      <c r="M292" t="s">
        <v>266</v>
      </c>
      <c r="N292" t="e" vm="38">
        <f>_xlfn.XLOOKUP($M292,$O:$O,$P:$P,"")</f>
        <v>#VALUE!</v>
      </c>
    </row>
    <row r="293" spans="1:14" x14ac:dyDescent="0.25">
      <c r="A293">
        <v>336</v>
      </c>
      <c r="B293" t="str">
        <f t="shared" si="15"/>
        <v>Jewell</v>
      </c>
      <c r="C293" t="s">
        <v>1445</v>
      </c>
      <c r="D293" t="s">
        <v>1446</v>
      </c>
      <c r="E293" t="str">
        <f t="shared" si="16"/>
        <v>jcamis9b@jigsy.com</v>
      </c>
      <c r="F293" t="s">
        <v>1447</v>
      </c>
      <c r="G293" t="s">
        <v>11</v>
      </c>
      <c r="H293" t="str">
        <f t="shared" si="17"/>
        <v>Female</v>
      </c>
      <c r="I293" t="str">
        <f>"+880"&amp;RIGHT(SUBSTITUTE(SUBSTITUTE($J293," ",""),"-",""),10)</f>
        <v>+8808334703070</v>
      </c>
      <c r="J293" t="s">
        <v>1448</v>
      </c>
      <c r="K293" t="s">
        <v>13</v>
      </c>
      <c r="L293" t="str">
        <f>_xlfn.XLOOKUP($K$3,K:K,K:K,$K$2)</f>
        <v>Bangladesh</v>
      </c>
      <c r="M293" t="s">
        <v>140</v>
      </c>
      <c r="N293" t="e" vm="21">
        <f>_xlfn.XLOOKUP($M293,$O:$O,$P:$P,"")</f>
        <v>#VALUE!</v>
      </c>
    </row>
    <row r="294" spans="1:14" x14ac:dyDescent="0.25">
      <c r="A294">
        <v>337</v>
      </c>
      <c r="B294" t="str">
        <f t="shared" si="15"/>
        <v>Steffen</v>
      </c>
      <c r="C294" t="s">
        <v>1449</v>
      </c>
      <c r="D294" t="s">
        <v>1450</v>
      </c>
      <c r="E294" t="str">
        <f t="shared" si="16"/>
        <v>spineaux9c@craigslist.org</v>
      </c>
      <c r="F294" t="s">
        <v>1451</v>
      </c>
      <c r="G294" t="s">
        <v>18</v>
      </c>
      <c r="H294" t="str">
        <f t="shared" si="17"/>
        <v>Male</v>
      </c>
      <c r="I294" t="str">
        <f>"+880"&amp;RIGHT(SUBSTITUTE(SUBSTITUTE($J294," ",""),"-",""),10)</f>
        <v>+8804634598811</v>
      </c>
      <c r="J294" t="s">
        <v>1452</v>
      </c>
      <c r="K294" t="s">
        <v>13</v>
      </c>
      <c r="L294" t="str">
        <f>_xlfn.XLOOKUP($K$3,K:K,K:K,$K$2)</f>
        <v>Bangladesh</v>
      </c>
      <c r="M294" t="s">
        <v>933</v>
      </c>
      <c r="N294" t="e" vm="77">
        <f>_xlfn.XLOOKUP($M294,$O:$O,$P:$P,"")</f>
        <v>#VALUE!</v>
      </c>
    </row>
    <row r="295" spans="1:14" x14ac:dyDescent="0.25">
      <c r="A295">
        <v>338</v>
      </c>
      <c r="B295" t="str">
        <f t="shared" si="15"/>
        <v>Travers</v>
      </c>
      <c r="C295" t="s">
        <v>1453</v>
      </c>
      <c r="D295" t="s">
        <v>1454</v>
      </c>
      <c r="E295" t="str">
        <f t="shared" si="16"/>
        <v>ttipping9d@senate.gov</v>
      </c>
      <c r="F295" t="s">
        <v>1455</v>
      </c>
      <c r="G295" t="s">
        <v>18</v>
      </c>
      <c r="H295" t="str">
        <f t="shared" si="17"/>
        <v>Male</v>
      </c>
      <c r="I295" t="str">
        <f>"+880"&amp;RIGHT(SUBSTITUTE(SUBSTITUTE($J295," ",""),"-",""),10)</f>
        <v>+8808081517286</v>
      </c>
      <c r="J295" t="s">
        <v>1456</v>
      </c>
      <c r="K295" t="s">
        <v>13</v>
      </c>
      <c r="L295" t="str">
        <f>_xlfn.XLOOKUP($K$3,K:K,K:K,$K$2)</f>
        <v>Bangladesh</v>
      </c>
      <c r="M295" t="s">
        <v>374</v>
      </c>
      <c r="N295" t="e" vm="48">
        <f>_xlfn.XLOOKUP($M295,$O:$O,$P:$P,"")</f>
        <v>#VALUE!</v>
      </c>
    </row>
    <row r="296" spans="1:14" x14ac:dyDescent="0.25">
      <c r="A296">
        <v>339</v>
      </c>
      <c r="B296" t="str">
        <f t="shared" si="15"/>
        <v>Ignaz</v>
      </c>
      <c r="C296" t="s">
        <v>1457</v>
      </c>
      <c r="D296" t="s">
        <v>1458</v>
      </c>
      <c r="E296" t="str">
        <f t="shared" si="16"/>
        <v>iodney9e@t.co</v>
      </c>
      <c r="F296" t="s">
        <v>1459</v>
      </c>
      <c r="G296" t="s">
        <v>18</v>
      </c>
      <c r="H296" t="str">
        <f t="shared" si="17"/>
        <v>Male</v>
      </c>
      <c r="I296" t="str">
        <f>"+880"&amp;RIGHT(SUBSTITUTE(SUBSTITUTE($J296," ",""),"-",""),10)</f>
        <v>+8802617728066</v>
      </c>
      <c r="J296" t="s">
        <v>1460</v>
      </c>
      <c r="K296" t="s">
        <v>13</v>
      </c>
      <c r="L296" t="str">
        <f>_xlfn.XLOOKUP($K$3,K:K,K:K,$K$2)</f>
        <v>Bangladesh</v>
      </c>
      <c r="M296" t="s">
        <v>379</v>
      </c>
      <c r="N296" t="e" vm="49">
        <f>_xlfn.XLOOKUP($M296,$O:$O,$P:$P,"")</f>
        <v>#VALUE!</v>
      </c>
    </row>
    <row r="297" spans="1:14" x14ac:dyDescent="0.25">
      <c r="A297">
        <v>340</v>
      </c>
      <c r="B297" t="str">
        <f t="shared" si="15"/>
        <v>Michelle</v>
      </c>
      <c r="C297" t="s">
        <v>1461</v>
      </c>
      <c r="D297" t="s">
        <v>1462</v>
      </c>
      <c r="E297" t="str">
        <f t="shared" si="16"/>
        <v>memmatt9f@va.gov</v>
      </c>
      <c r="F297" t="s">
        <v>1463</v>
      </c>
      <c r="G297" t="s">
        <v>11</v>
      </c>
      <c r="H297" t="str">
        <f t="shared" si="17"/>
        <v>Female</v>
      </c>
      <c r="I297" t="str">
        <f>"+880"&amp;RIGHT(SUBSTITUTE(SUBSTITUTE($J297," ",""),"-",""),10)</f>
        <v>+8807885653618</v>
      </c>
      <c r="J297" t="s">
        <v>1464</v>
      </c>
      <c r="K297" t="s">
        <v>13</v>
      </c>
      <c r="L297" t="str">
        <f>_xlfn.XLOOKUP($K$3,K:K,K:K,$K$2)</f>
        <v>Bangladesh</v>
      </c>
      <c r="M297" t="s">
        <v>178</v>
      </c>
      <c r="N297" t="e" vm="27">
        <f>_xlfn.XLOOKUP($M297,$O:$O,$P:$P,"")</f>
        <v>#VALUE!</v>
      </c>
    </row>
    <row r="298" spans="1:14" x14ac:dyDescent="0.25">
      <c r="A298">
        <v>342</v>
      </c>
      <c r="B298" t="str">
        <f t="shared" si="15"/>
        <v>Delmore</v>
      </c>
      <c r="C298" t="s">
        <v>1469</v>
      </c>
      <c r="D298" t="s">
        <v>1470</v>
      </c>
      <c r="E298" t="str">
        <f t="shared" si="16"/>
        <v>drable9h@godaddy.com</v>
      </c>
      <c r="F298" t="s">
        <v>1471</v>
      </c>
      <c r="G298" t="s">
        <v>18</v>
      </c>
      <c r="H298" t="str">
        <f t="shared" si="17"/>
        <v>Male</v>
      </c>
      <c r="I298" t="str">
        <f>"+880"&amp;RIGHT(SUBSTITUTE(SUBSTITUTE($J298," ",""),"-",""),10)</f>
        <v>+8805815817396</v>
      </c>
      <c r="J298" t="s">
        <v>1472</v>
      </c>
      <c r="K298" t="s">
        <v>13</v>
      </c>
      <c r="L298" t="str">
        <f>_xlfn.XLOOKUP($K$3,K:K,K:K,$K$2)</f>
        <v>Bangladesh</v>
      </c>
      <c r="M298" t="s">
        <v>215</v>
      </c>
      <c r="N298" t="e" vm="32">
        <f>_xlfn.XLOOKUP($M298,$O:$O,$P:$P,"")</f>
        <v>#VALUE!</v>
      </c>
    </row>
    <row r="299" spans="1:14" x14ac:dyDescent="0.25">
      <c r="A299">
        <v>343</v>
      </c>
      <c r="B299" t="str">
        <f t="shared" si="15"/>
        <v>Scarface</v>
      </c>
      <c r="C299" t="s">
        <v>1473</v>
      </c>
      <c r="D299" t="s">
        <v>1474</v>
      </c>
      <c r="E299" t="str">
        <f t="shared" si="16"/>
        <v>sjovasevic9i@creativecommons.org</v>
      </c>
      <c r="F299" t="s">
        <v>1475</v>
      </c>
      <c r="G299" t="s">
        <v>358</v>
      </c>
      <c r="H299" t="str">
        <f t="shared" si="17"/>
        <v>Other</v>
      </c>
      <c r="I299" t="str">
        <f>"+880"&amp;RIGHT(SUBSTITUTE(SUBSTITUTE($J299," ",""),"-",""),10)</f>
        <v>+8805126337204</v>
      </c>
      <c r="J299" t="s">
        <v>1476</v>
      </c>
      <c r="K299" t="s">
        <v>13</v>
      </c>
      <c r="L299" t="str">
        <f>_xlfn.XLOOKUP($K$3,K:K,K:K,$K$2)</f>
        <v>Bangladesh</v>
      </c>
      <c r="M299" t="s">
        <v>14</v>
      </c>
      <c r="N299" t="e" vm="1">
        <f>_xlfn.XLOOKUP($M299,$O:$O,$P:$P,"")</f>
        <v>#VALUE!</v>
      </c>
    </row>
    <row r="300" spans="1:14" x14ac:dyDescent="0.25">
      <c r="A300">
        <v>344</v>
      </c>
      <c r="B300" t="str">
        <f t="shared" si="15"/>
        <v>Denni</v>
      </c>
      <c r="C300" t="s">
        <v>1477</v>
      </c>
      <c r="D300" t="s">
        <v>1478</v>
      </c>
      <c r="E300" t="str">
        <f t="shared" si="16"/>
        <v>dbohlingolsen9j@si.edu</v>
      </c>
      <c r="F300" t="s">
        <v>1479</v>
      </c>
      <c r="G300" t="s">
        <v>11</v>
      </c>
      <c r="H300" t="str">
        <f t="shared" si="17"/>
        <v>Female</v>
      </c>
      <c r="I300" t="str">
        <f>"+880"&amp;RIGHT(SUBSTITUTE(SUBSTITUTE($J300," ",""),"-",""),10)</f>
        <v>+8804646651452</v>
      </c>
      <c r="J300" t="s">
        <v>1480</v>
      </c>
      <c r="K300" t="s">
        <v>13</v>
      </c>
      <c r="L300" t="str">
        <f>_xlfn.XLOOKUP($K$3,K:K,K:K,$K$2)</f>
        <v>Bangladesh</v>
      </c>
      <c r="M300" t="s">
        <v>261</v>
      </c>
      <c r="N300" t="e" vm="37">
        <f>_xlfn.XLOOKUP($M300,$O:$O,$P:$P,"")</f>
        <v>#VALUE!</v>
      </c>
    </row>
    <row r="301" spans="1:14" x14ac:dyDescent="0.25">
      <c r="A301">
        <v>345</v>
      </c>
      <c r="B301" t="str">
        <f t="shared" si="15"/>
        <v>Padriac</v>
      </c>
      <c r="C301" t="s">
        <v>1481</v>
      </c>
      <c r="D301" t="s">
        <v>1482</v>
      </c>
      <c r="E301" t="str">
        <f t="shared" si="16"/>
        <v>pmenendez9k@histats.com</v>
      </c>
      <c r="F301" t="s">
        <v>1483</v>
      </c>
      <c r="G301" t="s">
        <v>18</v>
      </c>
      <c r="H301" t="str">
        <f t="shared" si="17"/>
        <v>Male</v>
      </c>
      <c r="I301" t="str">
        <f>"+880"&amp;RIGHT(SUBSTITUTE(SUBSTITUTE($J301," ",""),"-",""),10)</f>
        <v>+8807071500871</v>
      </c>
      <c r="J301" t="s">
        <v>1484</v>
      </c>
      <c r="K301" t="s">
        <v>13</v>
      </c>
      <c r="L301" t="str">
        <f>_xlfn.XLOOKUP($K$3,K:K,K:K,$K$2)</f>
        <v>Bangladesh</v>
      </c>
      <c r="M301" t="s">
        <v>350</v>
      </c>
      <c r="N301" t="str">
        <f>_xlfn.XLOOKUP($M301,$O:$O,$P:$P,"")</f>
        <v>Pir Naogaon</v>
      </c>
    </row>
    <row r="302" spans="1:14" x14ac:dyDescent="0.25">
      <c r="A302">
        <v>346</v>
      </c>
      <c r="B302" t="str">
        <f t="shared" si="15"/>
        <v>Haze</v>
      </c>
      <c r="C302" t="s">
        <v>1485</v>
      </c>
      <c r="D302" t="s">
        <v>1486</v>
      </c>
      <c r="E302" t="str">
        <f t="shared" si="16"/>
        <v>hsimonitto9l@people.com.cn</v>
      </c>
      <c r="F302" t="s">
        <v>1487</v>
      </c>
      <c r="G302" t="s">
        <v>18</v>
      </c>
      <c r="H302" t="str">
        <f t="shared" si="17"/>
        <v>Male</v>
      </c>
      <c r="I302" t="str">
        <f>"+880"&amp;RIGHT(SUBSTITUTE(SUBSTITUTE($J302," ",""),"-",""),10)</f>
        <v>+8801598582209</v>
      </c>
      <c r="J302" t="s">
        <v>1488</v>
      </c>
      <c r="K302" t="s">
        <v>13</v>
      </c>
      <c r="L302" t="str">
        <f>_xlfn.XLOOKUP($K$3,K:K,K:K,$K$2)</f>
        <v>Bangladesh</v>
      </c>
      <c r="M302" t="s">
        <v>115</v>
      </c>
      <c r="N302" t="e" vm="17">
        <f>_xlfn.XLOOKUP($M302,$O:$O,$P:$P,"")</f>
        <v>#VALUE!</v>
      </c>
    </row>
    <row r="303" spans="1:14" x14ac:dyDescent="0.25">
      <c r="A303">
        <v>347</v>
      </c>
      <c r="B303" t="str">
        <f t="shared" si="15"/>
        <v>Burr</v>
      </c>
      <c r="C303" t="s">
        <v>1489</v>
      </c>
      <c r="D303" t="s">
        <v>1490</v>
      </c>
      <c r="E303" t="str">
        <f t="shared" si="16"/>
        <v>bvaller9m@bloglovin.com</v>
      </c>
      <c r="F303" t="s">
        <v>1491</v>
      </c>
      <c r="G303" t="s">
        <v>18</v>
      </c>
      <c r="H303" t="str">
        <f t="shared" si="17"/>
        <v>Male</v>
      </c>
      <c r="I303" t="str">
        <f>"+880"&amp;RIGHT(SUBSTITUTE(SUBSTITUTE($J303," ",""),"-",""),10)</f>
        <v>+8809768439914</v>
      </c>
      <c r="J303" t="s">
        <v>1492</v>
      </c>
      <c r="K303" t="s">
        <v>13</v>
      </c>
      <c r="L303" t="str">
        <f>_xlfn.XLOOKUP($K$3,K:K,K:K,$K$2)</f>
        <v>Bangladesh</v>
      </c>
      <c r="M303" t="s">
        <v>425</v>
      </c>
      <c r="N303" t="e" vm="51">
        <f>_xlfn.XLOOKUP($M303,$O:$O,$P:$P,"")</f>
        <v>#VALUE!</v>
      </c>
    </row>
    <row r="304" spans="1:14" x14ac:dyDescent="0.25">
      <c r="A304">
        <v>348</v>
      </c>
      <c r="B304" t="str">
        <f t="shared" si="15"/>
        <v>Nanci</v>
      </c>
      <c r="C304" t="s">
        <v>1493</v>
      </c>
      <c r="D304" t="s">
        <v>1494</v>
      </c>
      <c r="E304" t="str">
        <f t="shared" si="16"/>
        <v>ncluely9n@ted.com</v>
      </c>
      <c r="F304" t="s">
        <v>1495</v>
      </c>
      <c r="G304" t="s">
        <v>11</v>
      </c>
      <c r="H304" t="str">
        <f t="shared" si="17"/>
        <v>Female</v>
      </c>
      <c r="I304" t="str">
        <f>"+880"&amp;RIGHT(SUBSTITUTE(SUBSTITUTE($J304," ",""),"-",""),10)</f>
        <v>+8803957244331</v>
      </c>
      <c r="J304" t="s">
        <v>1496</v>
      </c>
      <c r="K304" t="s">
        <v>13</v>
      </c>
      <c r="L304" t="str">
        <f>_xlfn.XLOOKUP($K$3,K:K,K:K,$K$2)</f>
        <v>Bangladesh</v>
      </c>
      <c r="M304" t="s">
        <v>814</v>
      </c>
      <c r="N304" t="e" vm="75">
        <f>_xlfn.XLOOKUP($M304,$O:$O,$P:$P,"")</f>
        <v>#VALUE!</v>
      </c>
    </row>
    <row r="305" spans="1:14" x14ac:dyDescent="0.25">
      <c r="A305">
        <v>349</v>
      </c>
      <c r="B305" t="str">
        <f t="shared" si="15"/>
        <v>Odell</v>
      </c>
      <c r="C305" t="s">
        <v>393</v>
      </c>
      <c r="D305" t="s">
        <v>1497</v>
      </c>
      <c r="E305" t="str">
        <f t="shared" si="16"/>
        <v>owild9o@washington.edu</v>
      </c>
      <c r="F305" t="s">
        <v>1498</v>
      </c>
      <c r="G305" t="s">
        <v>18</v>
      </c>
      <c r="H305" t="str">
        <f t="shared" si="17"/>
        <v>Male</v>
      </c>
      <c r="I305" t="str">
        <f>"+880"&amp;RIGHT(SUBSTITUTE(SUBSTITUTE($J305," ",""),"-",""),10)</f>
        <v>+8806428134098</v>
      </c>
      <c r="J305" t="s">
        <v>1499</v>
      </c>
      <c r="K305" t="s">
        <v>13</v>
      </c>
      <c r="L305" t="str">
        <f>_xlfn.XLOOKUP($K$3,K:K,K:K,$K$2)</f>
        <v>Bangladesh</v>
      </c>
      <c r="M305" t="s">
        <v>814</v>
      </c>
      <c r="N305" t="e" vm="75">
        <f>_xlfn.XLOOKUP($M305,$O:$O,$P:$P,"")</f>
        <v>#VALUE!</v>
      </c>
    </row>
    <row r="306" spans="1:14" x14ac:dyDescent="0.25">
      <c r="A306">
        <v>350</v>
      </c>
      <c r="B306" t="str">
        <f t="shared" si="15"/>
        <v>Aubry</v>
      </c>
      <c r="C306" t="s">
        <v>1500</v>
      </c>
      <c r="D306" t="s">
        <v>1501</v>
      </c>
      <c r="E306" t="str">
        <f t="shared" si="16"/>
        <v>acoggles9p@bizjournals.com</v>
      </c>
      <c r="F306" t="s">
        <v>1502</v>
      </c>
      <c r="G306" t="s">
        <v>11</v>
      </c>
      <c r="H306" t="str">
        <f t="shared" si="17"/>
        <v>Female</v>
      </c>
      <c r="I306" t="str">
        <f>"+880"&amp;RIGHT(SUBSTITUTE(SUBSTITUTE($J306," ",""),"-",""),10)</f>
        <v>+8802235450477</v>
      </c>
      <c r="J306" t="s">
        <v>1503</v>
      </c>
      <c r="K306" t="s">
        <v>13</v>
      </c>
      <c r="L306" t="str">
        <f>_xlfn.XLOOKUP($K$3,K:K,K:K,$K$2)</f>
        <v>Bangladesh</v>
      </c>
      <c r="M306" t="s">
        <v>628</v>
      </c>
      <c r="N306" t="e" vm="62">
        <f>_xlfn.XLOOKUP($M306,$O:$O,$P:$P,"")</f>
        <v>#VALUE!</v>
      </c>
    </row>
    <row r="307" spans="1:14" x14ac:dyDescent="0.25">
      <c r="A307">
        <v>351</v>
      </c>
      <c r="B307" t="str">
        <f t="shared" si="15"/>
        <v>Marney</v>
      </c>
      <c r="C307" t="s">
        <v>1504</v>
      </c>
      <c r="D307" t="s">
        <v>1505</v>
      </c>
      <c r="E307" t="str">
        <f t="shared" si="16"/>
        <v>mriccelli9q@imgur.com</v>
      </c>
      <c r="F307" t="s">
        <v>1506</v>
      </c>
      <c r="G307" t="s">
        <v>11</v>
      </c>
      <c r="H307" t="str">
        <f t="shared" si="17"/>
        <v>Female</v>
      </c>
      <c r="I307" t="str">
        <f>"+880"&amp;RIGHT(SUBSTITUTE(SUBSTITUTE($J307," ",""),"-",""),10)</f>
        <v>+8807999231421</v>
      </c>
      <c r="J307" t="s">
        <v>1507</v>
      </c>
      <c r="K307" t="s">
        <v>13</v>
      </c>
      <c r="L307" t="str">
        <f>_xlfn.XLOOKUP($K$3,K:K,K:K,$K$2)</f>
        <v>Bangladesh</v>
      </c>
      <c r="M307" t="s">
        <v>205</v>
      </c>
      <c r="N307" t="e" vm="30">
        <f>_xlfn.XLOOKUP($M307,$O:$O,$P:$P,"")</f>
        <v>#VALUE!</v>
      </c>
    </row>
    <row r="308" spans="1:14" x14ac:dyDescent="0.25">
      <c r="A308">
        <v>352</v>
      </c>
      <c r="B308" t="str">
        <f t="shared" si="15"/>
        <v>Royall</v>
      </c>
      <c r="C308" t="s">
        <v>1508</v>
      </c>
      <c r="D308" t="s">
        <v>1509</v>
      </c>
      <c r="E308" t="str">
        <f t="shared" si="16"/>
        <v>rkunz9r@jimdo.com</v>
      </c>
      <c r="F308" t="s">
        <v>1510</v>
      </c>
      <c r="G308" t="s">
        <v>18</v>
      </c>
      <c r="H308" t="str">
        <f t="shared" si="17"/>
        <v>Male</v>
      </c>
      <c r="I308" t="str">
        <f>"+880"&amp;RIGHT(SUBSTITUTE(SUBSTITUTE($J308," ",""),"-",""),10)</f>
        <v>+8804337482453</v>
      </c>
      <c r="J308" t="s">
        <v>1511</v>
      </c>
      <c r="K308" t="s">
        <v>13</v>
      </c>
      <c r="L308" t="str">
        <f>_xlfn.XLOOKUP($K$3,K:K,K:K,$K$2)</f>
        <v>Bangladesh</v>
      </c>
      <c r="M308" t="s">
        <v>1017</v>
      </c>
      <c r="N308" t="e" vm="80">
        <f>_xlfn.XLOOKUP($M308,$O:$O,$P:$P,"")</f>
        <v>#VALUE!</v>
      </c>
    </row>
    <row r="309" spans="1:14" x14ac:dyDescent="0.25">
      <c r="A309">
        <v>353</v>
      </c>
      <c r="B309" t="str">
        <f t="shared" si="15"/>
        <v>Walther</v>
      </c>
      <c r="C309" t="s">
        <v>1512</v>
      </c>
      <c r="D309" t="s">
        <v>1513</v>
      </c>
      <c r="E309" t="str">
        <f t="shared" si="16"/>
        <v>wfeild9s@ovh.net</v>
      </c>
      <c r="F309" t="s">
        <v>1514</v>
      </c>
      <c r="G309" t="s">
        <v>18</v>
      </c>
      <c r="H309" t="str">
        <f t="shared" si="17"/>
        <v>Male</v>
      </c>
      <c r="I309" t="str">
        <f>"+880"&amp;RIGHT(SUBSTITUTE(SUBSTITUTE($J309," ",""),"-",""),10)</f>
        <v>+8803495920880</v>
      </c>
      <c r="J309" t="s">
        <v>1515</v>
      </c>
      <c r="K309" t="s">
        <v>13</v>
      </c>
      <c r="L309" t="str">
        <f>_xlfn.XLOOKUP($K$3,K:K,K:K,$K$2)</f>
        <v>Bangladesh</v>
      </c>
      <c r="M309" t="s">
        <v>210</v>
      </c>
      <c r="N309" t="e" vm="31">
        <f>_xlfn.XLOOKUP($M309,$O:$O,$P:$P,"")</f>
        <v>#VALUE!</v>
      </c>
    </row>
    <row r="310" spans="1:14" x14ac:dyDescent="0.25">
      <c r="A310">
        <v>354</v>
      </c>
      <c r="B310" t="str">
        <f t="shared" si="15"/>
        <v>Reiko</v>
      </c>
      <c r="C310" t="s">
        <v>1516</v>
      </c>
      <c r="D310" t="s">
        <v>1517</v>
      </c>
      <c r="E310" t="str">
        <f t="shared" si="16"/>
        <v>rcarncross9t@unc.edu</v>
      </c>
      <c r="F310" t="s">
        <v>1518</v>
      </c>
      <c r="G310" t="s">
        <v>11</v>
      </c>
      <c r="H310" t="str">
        <f t="shared" si="17"/>
        <v>Female</v>
      </c>
      <c r="I310" t="str">
        <f>"+880"&amp;RIGHT(SUBSTITUTE(SUBSTITUTE($J310," ",""),"-",""),10)</f>
        <v>+8808817287416</v>
      </c>
      <c r="J310" t="s">
        <v>1519</v>
      </c>
      <c r="K310" t="s">
        <v>13</v>
      </c>
      <c r="L310" t="str">
        <f>_xlfn.XLOOKUP($K$3,K:K,K:K,$K$2)</f>
        <v>Bangladesh</v>
      </c>
      <c r="M310" t="s">
        <v>650</v>
      </c>
      <c r="N310" t="e" vm="65">
        <f>_xlfn.XLOOKUP($M310,$O:$O,$P:$P,"")</f>
        <v>#VALUE!</v>
      </c>
    </row>
    <row r="311" spans="1:14" x14ac:dyDescent="0.25">
      <c r="A311">
        <v>355</v>
      </c>
      <c r="B311" t="str">
        <f t="shared" si="15"/>
        <v>Edd</v>
      </c>
      <c r="C311" t="s">
        <v>1520</v>
      </c>
      <c r="D311" t="s">
        <v>1521</v>
      </c>
      <c r="E311" t="str">
        <f t="shared" si="16"/>
        <v>ehele9u@google.com.br</v>
      </c>
      <c r="F311" t="s">
        <v>1522</v>
      </c>
      <c r="G311" t="s">
        <v>18</v>
      </c>
      <c r="H311" t="str">
        <f t="shared" si="17"/>
        <v>Male</v>
      </c>
      <c r="I311" t="str">
        <f>"+880"&amp;RIGHT(SUBSTITUTE(SUBSTITUTE($J311," ",""),"-",""),10)</f>
        <v>+8801918111367</v>
      </c>
      <c r="J311" t="s">
        <v>1523</v>
      </c>
      <c r="K311" t="s">
        <v>13</v>
      </c>
      <c r="L311" t="str">
        <f>_xlfn.XLOOKUP($K$3,K:K,K:K,$K$2)</f>
        <v>Bangladesh</v>
      </c>
      <c r="M311" t="s">
        <v>597</v>
      </c>
      <c r="N311" t="e" vm="59">
        <f>_xlfn.XLOOKUP($M311,$O:$O,$P:$P,"")</f>
        <v>#VALUE!</v>
      </c>
    </row>
    <row r="312" spans="1:14" x14ac:dyDescent="0.25">
      <c r="A312">
        <v>356</v>
      </c>
      <c r="B312" t="str">
        <f t="shared" si="15"/>
        <v>Almeda</v>
      </c>
      <c r="C312" t="s">
        <v>1524</v>
      </c>
      <c r="D312" t="s">
        <v>1525</v>
      </c>
      <c r="E312" t="str">
        <f t="shared" si="16"/>
        <v>aeastcourt9v@naver.com</v>
      </c>
      <c r="F312" t="s">
        <v>1526</v>
      </c>
      <c r="G312" t="s">
        <v>280</v>
      </c>
      <c r="H312" t="str">
        <f t="shared" si="17"/>
        <v>Other</v>
      </c>
      <c r="I312" t="str">
        <f>"+880"&amp;RIGHT(SUBSTITUTE(SUBSTITUTE($J312," ",""),"-",""),10)</f>
        <v>+8801725403403</v>
      </c>
      <c r="J312" t="s">
        <v>1527</v>
      </c>
      <c r="K312" t="s">
        <v>13</v>
      </c>
      <c r="L312" t="str">
        <f>_xlfn.XLOOKUP($K$3,K:K,K:K,$K$2)</f>
        <v>Bangladesh</v>
      </c>
      <c r="M312" t="s">
        <v>360</v>
      </c>
      <c r="N312" t="e" vm="56">
        <f>_xlfn.XLOOKUP($M312,$O:$O,$P:$P,"")</f>
        <v>#VALUE!</v>
      </c>
    </row>
    <row r="313" spans="1:14" x14ac:dyDescent="0.25">
      <c r="A313">
        <v>357</v>
      </c>
      <c r="B313" t="str">
        <f t="shared" si="15"/>
        <v>Mathilde</v>
      </c>
      <c r="C313" t="s">
        <v>1528</v>
      </c>
      <c r="D313" t="s">
        <v>1529</v>
      </c>
      <c r="E313" t="str">
        <f t="shared" si="16"/>
        <v>mputtrell9w@yale.edu</v>
      </c>
      <c r="F313" t="s">
        <v>1530</v>
      </c>
      <c r="G313" t="s">
        <v>11</v>
      </c>
      <c r="H313" t="str">
        <f t="shared" si="17"/>
        <v>Female</v>
      </c>
      <c r="I313" t="str">
        <f>"+880"&amp;RIGHT(SUBSTITUTE(SUBSTITUTE($J313," ",""),"-",""),10)</f>
        <v>+8809902497144</v>
      </c>
      <c r="J313" t="s">
        <v>1531</v>
      </c>
      <c r="K313" t="s">
        <v>13</v>
      </c>
      <c r="L313" t="str">
        <f>_xlfn.XLOOKUP($K$3,K:K,K:K,$K$2)</f>
        <v>Bangladesh</v>
      </c>
      <c r="M313" t="s">
        <v>210</v>
      </c>
      <c r="N313" t="e" vm="31">
        <f>_xlfn.XLOOKUP($M313,$O:$O,$P:$P,"")</f>
        <v>#VALUE!</v>
      </c>
    </row>
    <row r="314" spans="1:14" x14ac:dyDescent="0.25">
      <c r="A314">
        <v>359</v>
      </c>
      <c r="B314" t="str">
        <f t="shared" si="15"/>
        <v>Aurie</v>
      </c>
      <c r="C314" t="s">
        <v>1535</v>
      </c>
      <c r="D314" t="s">
        <v>1536</v>
      </c>
      <c r="E314" t="str">
        <f t="shared" si="16"/>
        <v>agallen9y@ow.ly</v>
      </c>
      <c r="F314" t="s">
        <v>1537</v>
      </c>
      <c r="G314" t="s">
        <v>11</v>
      </c>
      <c r="H314" t="str">
        <f t="shared" si="17"/>
        <v>Female</v>
      </c>
      <c r="I314" t="str">
        <f>"+880"&amp;RIGHT(SUBSTITUTE(SUBSTITUTE($J314," ",""),"-",""),10)</f>
        <v>+8805647645406</v>
      </c>
      <c r="J314" t="s">
        <v>1538</v>
      </c>
      <c r="K314" t="s">
        <v>13</v>
      </c>
      <c r="L314" t="str">
        <f>_xlfn.XLOOKUP($K$3,K:K,K:K,$K$2)</f>
        <v>Bangladesh</v>
      </c>
      <c r="M314" t="s">
        <v>110</v>
      </c>
      <c r="N314" t="e" vm="16">
        <f>_xlfn.XLOOKUP($M314,$O:$O,$P:$P,"")</f>
        <v>#VALUE!</v>
      </c>
    </row>
    <row r="315" spans="1:14" x14ac:dyDescent="0.25">
      <c r="A315">
        <v>360</v>
      </c>
      <c r="B315" t="str">
        <f t="shared" si="15"/>
        <v>Nathanael</v>
      </c>
      <c r="C315" t="s">
        <v>1539</v>
      </c>
      <c r="D315" t="s">
        <v>1540</v>
      </c>
      <c r="E315" t="str">
        <f t="shared" si="16"/>
        <v>ndrinkhall9z@sohu.com</v>
      </c>
      <c r="F315" t="s">
        <v>1541</v>
      </c>
      <c r="G315" t="s">
        <v>18</v>
      </c>
      <c r="H315" t="str">
        <f t="shared" si="17"/>
        <v>Male</v>
      </c>
      <c r="I315" t="str">
        <f>"+880"&amp;RIGHT(SUBSTITUTE(SUBSTITUTE($J315," ",""),"-",""),10)</f>
        <v>+8808319535615</v>
      </c>
      <c r="J315" t="s">
        <v>1542</v>
      </c>
      <c r="K315" t="s">
        <v>13</v>
      </c>
      <c r="L315" t="str">
        <f>_xlfn.XLOOKUP($K$3,K:K,K:K,$K$2)</f>
        <v>Bangladesh</v>
      </c>
      <c r="M315" t="s">
        <v>360</v>
      </c>
      <c r="N315" t="e" vm="56">
        <f>_xlfn.XLOOKUP($M315,$O:$O,$P:$P,"")</f>
        <v>#VALUE!</v>
      </c>
    </row>
    <row r="316" spans="1:14" x14ac:dyDescent="0.25">
      <c r="A316">
        <v>361</v>
      </c>
      <c r="B316" t="str">
        <f t="shared" si="15"/>
        <v>Gianna</v>
      </c>
      <c r="C316" t="s">
        <v>1543</v>
      </c>
      <c r="D316" t="s">
        <v>1544</v>
      </c>
      <c r="E316" t="str">
        <f t="shared" si="16"/>
        <v>glambrooka0@myspace.com</v>
      </c>
      <c r="F316" t="s">
        <v>1545</v>
      </c>
      <c r="G316" t="s">
        <v>11</v>
      </c>
      <c r="H316" t="str">
        <f t="shared" si="17"/>
        <v>Female</v>
      </c>
      <c r="I316" t="str">
        <f>"+880"&amp;RIGHT(SUBSTITUTE(SUBSTITUTE($J316," ",""),"-",""),10)</f>
        <v>+8801121456820</v>
      </c>
      <c r="J316" t="s">
        <v>1546</v>
      </c>
      <c r="K316" t="s">
        <v>13</v>
      </c>
      <c r="L316" t="str">
        <f>_xlfn.XLOOKUP($K$3,K:K,K:K,$K$2)</f>
        <v>Bangladesh</v>
      </c>
      <c r="M316" t="s">
        <v>266</v>
      </c>
      <c r="N316" t="e" vm="38">
        <f>_xlfn.XLOOKUP($M316,$O:$O,$P:$P,"")</f>
        <v>#VALUE!</v>
      </c>
    </row>
    <row r="317" spans="1:14" x14ac:dyDescent="0.25">
      <c r="A317">
        <v>362</v>
      </c>
      <c r="B317" t="str">
        <f t="shared" si="15"/>
        <v>Arlan</v>
      </c>
      <c r="C317" t="s">
        <v>1547</v>
      </c>
      <c r="D317" t="s">
        <v>1548</v>
      </c>
      <c r="E317" t="str">
        <f t="shared" si="16"/>
        <v>azuanellia1@godaddy.com</v>
      </c>
      <c r="F317" t="s">
        <v>1549</v>
      </c>
      <c r="G317" t="s">
        <v>18</v>
      </c>
      <c r="H317" t="str">
        <f t="shared" si="17"/>
        <v>Male</v>
      </c>
      <c r="I317" t="str">
        <f>"+880"&amp;RIGHT(SUBSTITUTE(SUBSTITUTE($J317," ",""),"-",""),10)</f>
        <v>+8809115895989</v>
      </c>
      <c r="J317" t="s">
        <v>1550</v>
      </c>
      <c r="K317" t="s">
        <v>13</v>
      </c>
      <c r="L317" t="str">
        <f>_xlfn.XLOOKUP($K$3,K:K,K:K,$K$2)</f>
        <v>Bangladesh</v>
      </c>
      <c r="M317" t="s">
        <v>71</v>
      </c>
      <c r="N317" t="e" vm="9">
        <f>_xlfn.XLOOKUP($M317,$O:$O,$P:$P,"")</f>
        <v>#VALUE!</v>
      </c>
    </row>
    <row r="318" spans="1:14" x14ac:dyDescent="0.25">
      <c r="A318">
        <v>363</v>
      </c>
      <c r="B318" t="str">
        <f t="shared" si="15"/>
        <v>Bourke</v>
      </c>
      <c r="C318" t="s">
        <v>1551</v>
      </c>
      <c r="D318" t="s">
        <v>1552</v>
      </c>
      <c r="E318" t="str">
        <f t="shared" si="16"/>
        <v>bchyuertona2@samsung.com</v>
      </c>
      <c r="F318" t="s">
        <v>1553</v>
      </c>
      <c r="G318" t="s">
        <v>18</v>
      </c>
      <c r="H318" t="str">
        <f t="shared" si="17"/>
        <v>Male</v>
      </c>
      <c r="I318" t="str">
        <f>"+880"&amp;RIGHT(SUBSTITUTE(SUBSTITUTE($J318," ",""),"-",""),10)</f>
        <v>+8803234049431</v>
      </c>
      <c r="J318" t="s">
        <v>1554</v>
      </c>
      <c r="K318" t="s">
        <v>13</v>
      </c>
      <c r="L318" t="str">
        <f>_xlfn.XLOOKUP($K$3,K:K,K:K,$K$2)</f>
        <v>Bangladesh</v>
      </c>
      <c r="M318" t="s">
        <v>809</v>
      </c>
      <c r="N318" t="e" vm="74">
        <f>_xlfn.XLOOKUP($M318,$O:$O,$P:$P,"")</f>
        <v>#VALUE!</v>
      </c>
    </row>
    <row r="319" spans="1:14" x14ac:dyDescent="0.25">
      <c r="A319">
        <v>364</v>
      </c>
      <c r="B319" t="str">
        <f t="shared" si="15"/>
        <v>Yancey</v>
      </c>
      <c r="C319" t="s">
        <v>1555</v>
      </c>
      <c r="D319" t="s">
        <v>1556</v>
      </c>
      <c r="E319" t="str">
        <f t="shared" si="16"/>
        <v>ygorellia3@opensource.org</v>
      </c>
      <c r="F319" t="s">
        <v>1557</v>
      </c>
      <c r="G319" t="s">
        <v>18</v>
      </c>
      <c r="H319" t="str">
        <f t="shared" si="17"/>
        <v>Male</v>
      </c>
      <c r="I319" t="str">
        <f>"+880"&amp;RIGHT(SUBSTITUTE(SUBSTITUTE($J319," ",""),"-",""),10)</f>
        <v>+8808654141759</v>
      </c>
      <c r="J319" t="s">
        <v>1558</v>
      </c>
      <c r="K319" t="s">
        <v>13</v>
      </c>
      <c r="L319" t="str">
        <f>_xlfn.XLOOKUP($K$3,K:K,K:K,$K$2)</f>
        <v>Bangladesh</v>
      </c>
      <c r="M319" t="s">
        <v>438</v>
      </c>
      <c r="N319" t="e" vm="52">
        <f>_xlfn.XLOOKUP($M319,$O:$O,$P:$P,"")</f>
        <v>#VALUE!</v>
      </c>
    </row>
    <row r="320" spans="1:14" x14ac:dyDescent="0.25">
      <c r="A320">
        <v>367</v>
      </c>
      <c r="B320" t="str">
        <f t="shared" si="15"/>
        <v>Darleen</v>
      </c>
      <c r="C320" t="s">
        <v>1567</v>
      </c>
      <c r="D320" t="s">
        <v>1568</v>
      </c>
      <c r="E320" t="str">
        <f t="shared" si="16"/>
        <v>dwhetnella6@springer.com</v>
      </c>
      <c r="F320" t="s">
        <v>1569</v>
      </c>
      <c r="G320" t="s">
        <v>11</v>
      </c>
      <c r="H320" t="str">
        <f t="shared" si="17"/>
        <v>Female</v>
      </c>
      <c r="I320" t="str">
        <f>"+880"&amp;RIGHT(SUBSTITUTE(SUBSTITUTE($J320," ",""),"-",""),10)</f>
        <v>+8808208020166</v>
      </c>
      <c r="J320" t="s">
        <v>1570</v>
      </c>
      <c r="K320" t="s">
        <v>13</v>
      </c>
      <c r="L320" t="str">
        <f>_xlfn.XLOOKUP($K$3,K:K,K:K,$K$2)</f>
        <v>Bangladesh</v>
      </c>
      <c r="M320" t="s">
        <v>597</v>
      </c>
      <c r="N320" t="e" vm="59">
        <f>_xlfn.XLOOKUP($M320,$O:$O,$P:$P,"")</f>
        <v>#VALUE!</v>
      </c>
    </row>
    <row r="321" spans="1:14" x14ac:dyDescent="0.25">
      <c r="A321">
        <v>368</v>
      </c>
      <c r="B321" t="str">
        <f t="shared" si="15"/>
        <v>Rubin</v>
      </c>
      <c r="C321" t="s">
        <v>1571</v>
      </c>
      <c r="D321" t="s">
        <v>1572</v>
      </c>
      <c r="E321" t="str">
        <f t="shared" si="16"/>
        <v>rfranceschia7@businesswire.com</v>
      </c>
      <c r="F321" t="s">
        <v>1573</v>
      </c>
      <c r="G321" t="s">
        <v>18</v>
      </c>
      <c r="H321" t="str">
        <f t="shared" si="17"/>
        <v>Male</v>
      </c>
      <c r="I321" t="str">
        <f>"+880"&amp;RIGHT(SUBSTITUTE(SUBSTITUTE($J321," ",""),"-",""),10)</f>
        <v>+8803105737904</v>
      </c>
      <c r="J321" t="s">
        <v>1574</v>
      </c>
      <c r="K321" t="s">
        <v>13</v>
      </c>
      <c r="L321" t="str">
        <f>_xlfn.XLOOKUP($K$3,K:K,K:K,$K$2)</f>
        <v>Bangladesh</v>
      </c>
      <c r="M321" t="s">
        <v>41</v>
      </c>
      <c r="N321" t="e" vm="58">
        <f>_xlfn.XLOOKUP($M321,$O:$O,$P:$P,"")</f>
        <v>#VALUE!</v>
      </c>
    </row>
    <row r="322" spans="1:14" x14ac:dyDescent="0.25">
      <c r="A322">
        <v>369</v>
      </c>
      <c r="B322" t="str">
        <f t="shared" si="15"/>
        <v>Pablo</v>
      </c>
      <c r="C322" t="s">
        <v>1575</v>
      </c>
      <c r="D322" t="s">
        <v>1576</v>
      </c>
      <c r="E322" t="str">
        <f t="shared" si="16"/>
        <v>pbourgourda8@cargocollective.com</v>
      </c>
      <c r="F322" t="s">
        <v>1577</v>
      </c>
      <c r="G322" t="s">
        <v>18</v>
      </c>
      <c r="H322" t="str">
        <f t="shared" si="17"/>
        <v>Male</v>
      </c>
      <c r="I322" t="str">
        <f>"+880"&amp;RIGHT(SUBSTITUTE(SUBSTITUTE($J322," ",""),"-",""),10)</f>
        <v>+8809356955950</v>
      </c>
      <c r="J322" t="s">
        <v>1578</v>
      </c>
      <c r="K322" t="s">
        <v>13</v>
      </c>
      <c r="L322" t="str">
        <f>_xlfn.XLOOKUP($K$3,K:K,K:K,$K$2)</f>
        <v>Bangladesh</v>
      </c>
      <c r="M322" t="s">
        <v>178</v>
      </c>
      <c r="N322" t="e" vm="27">
        <f>_xlfn.XLOOKUP($M322,$O:$O,$P:$P,"")</f>
        <v>#VALUE!</v>
      </c>
    </row>
    <row r="323" spans="1:14" x14ac:dyDescent="0.25">
      <c r="A323">
        <v>370</v>
      </c>
      <c r="B323" t="str">
        <f t="shared" si="15"/>
        <v>Osmond</v>
      </c>
      <c r="C323" t="s">
        <v>1579</v>
      </c>
      <c r="D323" t="s">
        <v>1580</v>
      </c>
      <c r="E323" t="str">
        <f t="shared" si="16"/>
        <v>olangstona9@dedecms.com</v>
      </c>
      <c r="F323" t="s">
        <v>1581</v>
      </c>
      <c r="G323" t="s">
        <v>18</v>
      </c>
      <c r="H323" t="str">
        <f t="shared" si="17"/>
        <v>Male</v>
      </c>
      <c r="I323" t="str">
        <f>"+880"&amp;RIGHT(SUBSTITUTE(SUBSTITUTE($J323," ",""),"-",""),10)</f>
        <v>+8805288161956</v>
      </c>
      <c r="J323" t="s">
        <v>1582</v>
      </c>
      <c r="K323" t="s">
        <v>13</v>
      </c>
      <c r="L323" t="str">
        <f>_xlfn.XLOOKUP($K$3,K:K,K:K,$K$2)</f>
        <v>Bangladesh</v>
      </c>
      <c r="M323" t="s">
        <v>374</v>
      </c>
      <c r="N323" t="e" vm="48">
        <f>_xlfn.XLOOKUP($M323,$O:$O,$P:$P,"")</f>
        <v>#VALUE!</v>
      </c>
    </row>
    <row r="324" spans="1:14" x14ac:dyDescent="0.25">
      <c r="A324">
        <v>371</v>
      </c>
      <c r="B324" t="str">
        <f t="shared" si="15"/>
        <v>Ricardo</v>
      </c>
      <c r="C324" t="s">
        <v>1583</v>
      </c>
      <c r="D324" t="s">
        <v>1584</v>
      </c>
      <c r="E324" t="str">
        <f t="shared" si="16"/>
        <v>rgonninaa@tumblr.com</v>
      </c>
      <c r="F324" t="s">
        <v>1585</v>
      </c>
      <c r="G324" t="s">
        <v>18</v>
      </c>
      <c r="H324" t="str">
        <f t="shared" si="17"/>
        <v>Male</v>
      </c>
      <c r="I324" t="str">
        <f>"+880"&amp;RIGHT(SUBSTITUTE(SUBSTITUTE($J324," ",""),"-",""),10)</f>
        <v>+8802513094489</v>
      </c>
      <c r="J324" t="s">
        <v>1586</v>
      </c>
      <c r="K324" t="s">
        <v>13</v>
      </c>
      <c r="L324" t="str">
        <f>_xlfn.XLOOKUP($K$3,K:K,K:K,$K$2)</f>
        <v>Bangladesh</v>
      </c>
      <c r="M324" t="s">
        <v>188</v>
      </c>
      <c r="N324" t="e" vm="29">
        <f>_xlfn.XLOOKUP($M324,$O:$O,$P:$P,"")</f>
        <v>#VALUE!</v>
      </c>
    </row>
    <row r="325" spans="1:14" x14ac:dyDescent="0.25">
      <c r="A325">
        <v>372</v>
      </c>
      <c r="B325" t="str">
        <f t="shared" si="15"/>
        <v>Pete</v>
      </c>
      <c r="C325" t="s">
        <v>1587</v>
      </c>
      <c r="D325" t="s">
        <v>1588</v>
      </c>
      <c r="E325" t="str">
        <f t="shared" si="16"/>
        <v>pwoolmoreab@nytimes.com</v>
      </c>
      <c r="F325" t="s">
        <v>1589</v>
      </c>
      <c r="G325" t="s">
        <v>18</v>
      </c>
      <c r="H325" t="str">
        <f t="shared" si="17"/>
        <v>Male</v>
      </c>
      <c r="I325" t="str">
        <f>"+880"&amp;RIGHT(SUBSTITUTE(SUBSTITUTE($J325," ",""),"-",""),10)</f>
        <v>+8805165557814</v>
      </c>
      <c r="J325" t="s">
        <v>1590</v>
      </c>
      <c r="K325" t="s">
        <v>13</v>
      </c>
      <c r="L325" t="str">
        <f>_xlfn.XLOOKUP($K$3,K:K,K:K,$K$2)</f>
        <v>Bangladesh</v>
      </c>
      <c r="M325" t="s">
        <v>678</v>
      </c>
      <c r="N325" t="str">
        <f>_xlfn.XLOOKUP($M325,$O:$O,$P:$P,"")</f>
        <v>Pargaaj</v>
      </c>
    </row>
    <row r="326" spans="1:14" x14ac:dyDescent="0.25">
      <c r="A326">
        <v>373</v>
      </c>
      <c r="B326" t="str">
        <f t="shared" si="15"/>
        <v>Minetta</v>
      </c>
      <c r="C326" t="s">
        <v>1591</v>
      </c>
      <c r="D326" t="s">
        <v>1592</v>
      </c>
      <c r="E326" t="str">
        <f t="shared" si="16"/>
        <v>mmacmasterac@disqus.com</v>
      </c>
      <c r="F326" t="s">
        <v>1593</v>
      </c>
      <c r="G326" t="s">
        <v>11</v>
      </c>
      <c r="H326" t="str">
        <f t="shared" si="17"/>
        <v>Female</v>
      </c>
      <c r="I326" t="str">
        <f>"+880"&amp;RIGHT(SUBSTITUTE(SUBSTITUTE($J326," ",""),"-",""),10)</f>
        <v>+8807379139109</v>
      </c>
      <c r="J326" t="s">
        <v>1594</v>
      </c>
      <c r="K326" t="s">
        <v>13</v>
      </c>
      <c r="L326" t="str">
        <f>_xlfn.XLOOKUP($K$3,K:K,K:K,$K$2)</f>
        <v>Bangladesh</v>
      </c>
      <c r="M326" t="s">
        <v>365</v>
      </c>
      <c r="N326" t="e" vm="47">
        <f>_xlfn.XLOOKUP($M326,$O:$O,$P:$P,"")</f>
        <v>#VALUE!</v>
      </c>
    </row>
    <row r="327" spans="1:14" x14ac:dyDescent="0.25">
      <c r="A327">
        <v>374</v>
      </c>
      <c r="B327" t="str">
        <f t="shared" si="15"/>
        <v>Maggie</v>
      </c>
      <c r="C327" t="s">
        <v>1595</v>
      </c>
      <c r="D327" t="s">
        <v>1596</v>
      </c>
      <c r="E327" t="str">
        <f t="shared" si="16"/>
        <v>mmattinad@sciencedaily.com</v>
      </c>
      <c r="F327" t="s">
        <v>1597</v>
      </c>
      <c r="G327" t="s">
        <v>11</v>
      </c>
      <c r="H327" t="str">
        <f t="shared" si="17"/>
        <v>Female</v>
      </c>
      <c r="I327" t="str">
        <f>"+880"&amp;RIGHT(SUBSTITUTE(SUBSTITUTE($J327," ",""),"-",""),10)</f>
        <v>+8808786599469</v>
      </c>
      <c r="J327" t="s">
        <v>1598</v>
      </c>
      <c r="K327" t="s">
        <v>13</v>
      </c>
      <c r="L327" t="str">
        <f>_xlfn.XLOOKUP($K$3,K:K,K:K,$K$2)</f>
        <v>Bangladesh</v>
      </c>
      <c r="M327" t="s">
        <v>655</v>
      </c>
      <c r="N327" t="e" vm="66">
        <f>_xlfn.XLOOKUP($M327,$O:$O,$P:$P,"")</f>
        <v>#VALUE!</v>
      </c>
    </row>
    <row r="328" spans="1:14" x14ac:dyDescent="0.25">
      <c r="A328">
        <v>375</v>
      </c>
      <c r="B328" t="str">
        <f t="shared" si="15"/>
        <v>Clemmy</v>
      </c>
      <c r="C328" t="s">
        <v>1599</v>
      </c>
      <c r="D328" t="s">
        <v>1576</v>
      </c>
      <c r="E328" t="str">
        <f t="shared" si="16"/>
        <v>cbourgourdae@t.co</v>
      </c>
      <c r="F328" t="s">
        <v>1600</v>
      </c>
      <c r="G328" t="s">
        <v>228</v>
      </c>
      <c r="H328" t="str">
        <f t="shared" si="17"/>
        <v>Other</v>
      </c>
      <c r="I328" t="str">
        <f>"+880"&amp;RIGHT(SUBSTITUTE(SUBSTITUTE($J328," ",""),"-",""),10)</f>
        <v>+8802004262957</v>
      </c>
      <c r="J328" t="s">
        <v>1601</v>
      </c>
      <c r="K328" t="s">
        <v>13</v>
      </c>
      <c r="L328" t="str">
        <f>_xlfn.XLOOKUP($K$3,K:K,K:K,$K$2)</f>
        <v>Bangladesh</v>
      </c>
      <c r="M328" t="s">
        <v>602</v>
      </c>
      <c r="N328" t="e" vm="60">
        <f>_xlfn.XLOOKUP($M328,$O:$O,$P:$P,"")</f>
        <v>#VALUE!</v>
      </c>
    </row>
    <row r="329" spans="1:14" x14ac:dyDescent="0.25">
      <c r="A329">
        <v>376</v>
      </c>
      <c r="B329" t="str">
        <f t="shared" si="15"/>
        <v>Shelden</v>
      </c>
      <c r="C329" t="s">
        <v>1602</v>
      </c>
      <c r="D329" t="s">
        <v>1603</v>
      </c>
      <c r="E329" t="str">
        <f t="shared" si="16"/>
        <v>sealdenaf@lycos.com</v>
      </c>
      <c r="F329" t="s">
        <v>1604</v>
      </c>
      <c r="G329" t="s">
        <v>18</v>
      </c>
      <c r="H329" t="str">
        <f t="shared" si="17"/>
        <v>Male</v>
      </c>
      <c r="I329" t="str">
        <f>"+880"&amp;RIGHT(SUBSTITUTE(SUBSTITUTE($J329," ",""),"-",""),10)</f>
        <v>+8809341909359</v>
      </c>
      <c r="J329" t="s">
        <v>1605</v>
      </c>
      <c r="K329" t="s">
        <v>13</v>
      </c>
      <c r="L329" t="str">
        <f>_xlfn.XLOOKUP($K$3,K:K,K:K,$K$2)</f>
        <v>Bangladesh</v>
      </c>
      <c r="M329" t="s">
        <v>66</v>
      </c>
      <c r="N329" t="e" vm="8">
        <f>_xlfn.XLOOKUP($M329,$O:$O,$P:$P,"")</f>
        <v>#VALUE!</v>
      </c>
    </row>
    <row r="330" spans="1:14" x14ac:dyDescent="0.25">
      <c r="A330">
        <v>377</v>
      </c>
      <c r="B330" t="str">
        <f t="shared" si="15"/>
        <v>Hernando</v>
      </c>
      <c r="C330" t="s">
        <v>1606</v>
      </c>
      <c r="D330" t="s">
        <v>1607</v>
      </c>
      <c r="E330" t="str">
        <f t="shared" si="16"/>
        <v>hvandersonag@mozilla.org</v>
      </c>
      <c r="F330" t="s">
        <v>1608</v>
      </c>
      <c r="G330" t="s">
        <v>18</v>
      </c>
      <c r="H330" t="str">
        <f t="shared" si="17"/>
        <v>Male</v>
      </c>
      <c r="I330" t="str">
        <f>"+880"&amp;RIGHT(SUBSTITUTE(SUBSTITUTE($J330," ",""),"-",""),10)</f>
        <v>+8806275966835</v>
      </c>
      <c r="J330" t="s">
        <v>1609</v>
      </c>
      <c r="K330" t="s">
        <v>13</v>
      </c>
      <c r="L330" t="str">
        <f>_xlfn.XLOOKUP($K$3,K:K,K:K,$K$2)</f>
        <v>Bangladesh</v>
      </c>
      <c r="M330" t="s">
        <v>210</v>
      </c>
      <c r="N330" t="e" vm="31">
        <f>_xlfn.XLOOKUP($M330,$O:$O,$P:$P,"")</f>
        <v>#VALUE!</v>
      </c>
    </row>
    <row r="331" spans="1:14" x14ac:dyDescent="0.25">
      <c r="A331">
        <v>378</v>
      </c>
      <c r="B331" t="str">
        <f t="shared" si="15"/>
        <v>Kevon</v>
      </c>
      <c r="C331" t="s">
        <v>1610</v>
      </c>
      <c r="D331" t="s">
        <v>1611</v>
      </c>
      <c r="E331" t="str">
        <f t="shared" si="16"/>
        <v>koloneah@google.de</v>
      </c>
      <c r="F331" t="s">
        <v>1612</v>
      </c>
      <c r="G331" t="s">
        <v>18</v>
      </c>
      <c r="H331" t="str">
        <f t="shared" si="17"/>
        <v>Male</v>
      </c>
      <c r="I331" t="str">
        <f>"+880"&amp;RIGHT(SUBSTITUTE(SUBSTITUTE($J331," ",""),"-",""),10)</f>
        <v>+8802139708399</v>
      </c>
      <c r="J331" t="s">
        <v>1613</v>
      </c>
      <c r="K331" t="s">
        <v>13</v>
      </c>
      <c r="L331" t="str">
        <f>_xlfn.XLOOKUP($K$3,K:K,K:K,$K$2)</f>
        <v>Bangladesh</v>
      </c>
      <c r="M331" t="s">
        <v>163</v>
      </c>
      <c r="N331" t="e" vm="24">
        <f>_xlfn.XLOOKUP($M331,$O:$O,$P:$P,"")</f>
        <v>#VALUE!</v>
      </c>
    </row>
    <row r="332" spans="1:14" x14ac:dyDescent="0.25">
      <c r="A332">
        <v>379</v>
      </c>
      <c r="B332" t="str">
        <f t="shared" si="15"/>
        <v>Morlee</v>
      </c>
      <c r="C332" t="s">
        <v>1614</v>
      </c>
      <c r="D332" t="s">
        <v>1615</v>
      </c>
      <c r="E332" t="str">
        <f t="shared" si="16"/>
        <v>mhardimanai@noaa.gov</v>
      </c>
      <c r="F332" t="s">
        <v>1616</v>
      </c>
      <c r="G332" t="s">
        <v>18</v>
      </c>
      <c r="H332" t="str">
        <f t="shared" si="17"/>
        <v>Male</v>
      </c>
      <c r="I332" t="str">
        <f>"+880"&amp;RIGHT(SUBSTITUTE(SUBSTITUTE($J332," ",""),"-",""),10)</f>
        <v>+8806162838125</v>
      </c>
      <c r="J332" t="s">
        <v>1617</v>
      </c>
      <c r="K332" t="s">
        <v>13</v>
      </c>
      <c r="L332" t="str">
        <f>_xlfn.XLOOKUP($K$3,K:K,K:K,$K$2)</f>
        <v>Bangladesh</v>
      </c>
      <c r="M332" t="s">
        <v>345</v>
      </c>
      <c r="N332" t="e" vm="46">
        <f>_xlfn.XLOOKUP($M332,$O:$O,$P:$P,"")</f>
        <v>#VALUE!</v>
      </c>
    </row>
    <row r="333" spans="1:14" x14ac:dyDescent="0.25">
      <c r="A333">
        <v>380</v>
      </c>
      <c r="B333" t="str">
        <f t="shared" si="15"/>
        <v>Dusty</v>
      </c>
      <c r="C333" t="s">
        <v>1618</v>
      </c>
      <c r="D333" t="s">
        <v>1619</v>
      </c>
      <c r="E333" t="str">
        <f t="shared" si="16"/>
        <v>dschwieraj@altervista.org</v>
      </c>
      <c r="F333" t="s">
        <v>1620</v>
      </c>
      <c r="G333" t="s">
        <v>769</v>
      </c>
      <c r="H333" t="str">
        <f t="shared" si="17"/>
        <v>Other</v>
      </c>
      <c r="I333" t="str">
        <f>"+880"&amp;RIGHT(SUBSTITUTE(SUBSTITUTE($J333," ",""),"-",""),10)</f>
        <v>+8803685344850</v>
      </c>
      <c r="J333" t="s">
        <v>1621</v>
      </c>
      <c r="K333" t="s">
        <v>13</v>
      </c>
      <c r="L333" t="str">
        <f>_xlfn.XLOOKUP($K$3,K:K,K:K,$K$2)</f>
        <v>Bangladesh</v>
      </c>
      <c r="M333" t="s">
        <v>374</v>
      </c>
      <c r="N333" t="e" vm="48">
        <f>_xlfn.XLOOKUP($M333,$O:$O,$P:$P,"")</f>
        <v>#VALUE!</v>
      </c>
    </row>
    <row r="334" spans="1:14" x14ac:dyDescent="0.25">
      <c r="A334">
        <v>381</v>
      </c>
      <c r="B334" t="str">
        <f t="shared" si="15"/>
        <v>Cheston</v>
      </c>
      <c r="C334" t="s">
        <v>1622</v>
      </c>
      <c r="D334" t="s">
        <v>1623</v>
      </c>
      <c r="E334" t="str">
        <f t="shared" si="16"/>
        <v>cballingak@ask.com</v>
      </c>
      <c r="F334" t="s">
        <v>1624</v>
      </c>
      <c r="G334" t="s">
        <v>18</v>
      </c>
      <c r="H334" t="str">
        <f t="shared" si="17"/>
        <v>Male</v>
      </c>
      <c r="I334" t="str">
        <f>"+880"&amp;RIGHT(SUBSTITUTE(SUBSTITUTE($J334," ",""),"-",""),10)</f>
        <v>+8803204642973</v>
      </c>
      <c r="J334" t="s">
        <v>1625</v>
      </c>
      <c r="K334" t="s">
        <v>13</v>
      </c>
      <c r="L334" t="str">
        <f>_xlfn.XLOOKUP($K$3,K:K,K:K,$K$2)</f>
        <v>Bangladesh</v>
      </c>
      <c r="M334" t="s">
        <v>215</v>
      </c>
      <c r="N334" t="e" vm="32">
        <f>_xlfn.XLOOKUP($M334,$O:$O,$P:$P,"")</f>
        <v>#VALUE!</v>
      </c>
    </row>
    <row r="335" spans="1:14" x14ac:dyDescent="0.25">
      <c r="A335">
        <v>382</v>
      </c>
      <c r="B335" t="str">
        <f t="shared" si="15"/>
        <v>Katha</v>
      </c>
      <c r="C335" t="s">
        <v>1626</v>
      </c>
      <c r="D335" t="s">
        <v>1627</v>
      </c>
      <c r="E335" t="str">
        <f t="shared" si="16"/>
        <v>kscudderal@si.edu</v>
      </c>
      <c r="F335" t="s">
        <v>1628</v>
      </c>
      <c r="G335" t="s">
        <v>11</v>
      </c>
      <c r="H335" t="str">
        <f t="shared" si="17"/>
        <v>Female</v>
      </c>
      <c r="I335" t="str">
        <f>"+880"&amp;RIGHT(SUBSTITUTE(SUBSTITUTE($J335," ",""),"-",""),10)</f>
        <v>+8808022915181</v>
      </c>
      <c r="J335" t="s">
        <v>1629</v>
      </c>
      <c r="K335" t="s">
        <v>13</v>
      </c>
      <c r="L335" t="str">
        <f>_xlfn.XLOOKUP($K$3,K:K,K:K,$K$2)</f>
        <v>Bangladesh</v>
      </c>
      <c r="M335" t="s">
        <v>188</v>
      </c>
      <c r="N335" t="e" vm="29">
        <f>_xlfn.XLOOKUP($M335,$O:$O,$P:$P,"")</f>
        <v>#VALUE!</v>
      </c>
    </row>
    <row r="336" spans="1:14" x14ac:dyDescent="0.25">
      <c r="A336">
        <v>384</v>
      </c>
      <c r="B336" t="str">
        <f t="shared" si="15"/>
        <v>Shelly</v>
      </c>
      <c r="C336" t="s">
        <v>1635</v>
      </c>
      <c r="D336" t="s">
        <v>1636</v>
      </c>
      <c r="E336" t="str">
        <f t="shared" si="16"/>
        <v>spadlyan@sitemeter.com</v>
      </c>
      <c r="F336" t="s">
        <v>1637</v>
      </c>
      <c r="G336" t="s">
        <v>11</v>
      </c>
      <c r="H336" t="str">
        <f t="shared" si="17"/>
        <v>Female</v>
      </c>
      <c r="I336" t="str">
        <f>"+880"&amp;RIGHT(SUBSTITUTE(SUBSTITUTE($J336," ",""),"-",""),10)</f>
        <v>+8809714312441</v>
      </c>
      <c r="J336" t="s">
        <v>1638</v>
      </c>
      <c r="K336" t="s">
        <v>13</v>
      </c>
      <c r="L336" t="str">
        <f>_xlfn.XLOOKUP($K$3,K:K,K:K,$K$2)</f>
        <v>Bangladesh</v>
      </c>
      <c r="M336" t="s">
        <v>91</v>
      </c>
      <c r="N336" t="e" vm="13">
        <f>_xlfn.XLOOKUP($M336,$O:$O,$P:$P,"")</f>
        <v>#VALUE!</v>
      </c>
    </row>
    <row r="337" spans="1:14" x14ac:dyDescent="0.25">
      <c r="A337">
        <v>385</v>
      </c>
      <c r="B337" t="str">
        <f t="shared" si="15"/>
        <v>Eadmund</v>
      </c>
      <c r="C337" t="s">
        <v>1639</v>
      </c>
      <c r="D337" t="s">
        <v>1640</v>
      </c>
      <c r="E337" t="str">
        <f t="shared" si="16"/>
        <v>etestao@wufoo.com</v>
      </c>
      <c r="F337" t="s">
        <v>1641</v>
      </c>
      <c r="G337" t="s">
        <v>18</v>
      </c>
      <c r="H337" t="str">
        <f t="shared" si="17"/>
        <v>Male</v>
      </c>
      <c r="I337" t="str">
        <f>"+880"&amp;RIGHT(SUBSTITUTE(SUBSTITUTE($J337," ",""),"-",""),10)</f>
        <v>+8803858266404</v>
      </c>
      <c r="J337" t="s">
        <v>1642</v>
      </c>
      <c r="K337" t="s">
        <v>13</v>
      </c>
      <c r="L337" t="str">
        <f>_xlfn.XLOOKUP($K$3,K:K,K:K,$K$2)</f>
        <v>Bangladesh</v>
      </c>
      <c r="M337" t="s">
        <v>66</v>
      </c>
      <c r="N337" t="e" vm="8">
        <f>_xlfn.XLOOKUP($M337,$O:$O,$P:$P,"")</f>
        <v>#VALUE!</v>
      </c>
    </row>
    <row r="338" spans="1:14" x14ac:dyDescent="0.25">
      <c r="A338">
        <v>387</v>
      </c>
      <c r="B338" t="str">
        <f t="shared" ref="B338:B384" si="18">PROPER(TRIM($C338))</f>
        <v>Porty</v>
      </c>
      <c r="C338" t="s">
        <v>1647</v>
      </c>
      <c r="D338" t="s">
        <v>1648</v>
      </c>
      <c r="E338" t="str">
        <f t="shared" ref="E338:E384" si="19">LOWER(TRIM($F338))</f>
        <v>pmeachaq@linkedin.com</v>
      </c>
      <c r="F338" t="s">
        <v>1649</v>
      </c>
      <c r="G338" t="s">
        <v>18</v>
      </c>
      <c r="H338" t="str">
        <f t="shared" ref="H338:H384" si="20">IF(OR($G338="M",LOWER($G338)="male"),"Male",
IF(OR($G338="F",LOWER($G338)="female"),"Female","Other"))</f>
        <v>Male</v>
      </c>
      <c r="I338" t="str">
        <f>"+880"&amp;RIGHT(SUBSTITUTE(SUBSTITUTE($J338," ",""),"-",""),10)</f>
        <v>+8809095261246</v>
      </c>
      <c r="J338" t="s">
        <v>1650</v>
      </c>
      <c r="K338" t="s">
        <v>13</v>
      </c>
      <c r="L338" t="str">
        <f>_xlfn.XLOOKUP($K$3,K:K,K:K,$K$2)</f>
        <v>Bangladesh</v>
      </c>
      <c r="M338" t="s">
        <v>641</v>
      </c>
      <c r="N338" t="e" vm="63">
        <f>_xlfn.XLOOKUP($M338,$O:$O,$P:$P,"")</f>
        <v>#VALUE!</v>
      </c>
    </row>
    <row r="339" spans="1:14" x14ac:dyDescent="0.25">
      <c r="A339">
        <v>388</v>
      </c>
      <c r="B339" t="str">
        <f t="shared" si="18"/>
        <v>Kitti</v>
      </c>
      <c r="C339" t="s">
        <v>1651</v>
      </c>
      <c r="D339" t="s">
        <v>1652</v>
      </c>
      <c r="E339" t="str">
        <f t="shared" si="19"/>
        <v>kbougenar@odnoklassniki.ru</v>
      </c>
      <c r="F339" t="s">
        <v>1653</v>
      </c>
      <c r="G339" t="s">
        <v>11</v>
      </c>
      <c r="H339" t="str">
        <f t="shared" si="20"/>
        <v>Female</v>
      </c>
      <c r="I339" t="str">
        <f>"+880"&amp;RIGHT(SUBSTITUTE(SUBSTITUTE($J339," ",""),"-",""),10)</f>
        <v>+8806832260789</v>
      </c>
      <c r="J339" t="s">
        <v>1654</v>
      </c>
      <c r="K339" t="s">
        <v>13</v>
      </c>
      <c r="L339" t="str">
        <f>_xlfn.XLOOKUP($K$3,K:K,K:K,$K$2)</f>
        <v>Bangladesh</v>
      </c>
      <c r="M339" t="s">
        <v>678</v>
      </c>
      <c r="N339" t="str">
        <f>_xlfn.XLOOKUP($M339,$O:$O,$P:$P,"")</f>
        <v>Pargaaj</v>
      </c>
    </row>
    <row r="340" spans="1:14" x14ac:dyDescent="0.25">
      <c r="A340">
        <v>389</v>
      </c>
      <c r="B340" t="str">
        <f t="shared" si="18"/>
        <v>Scott</v>
      </c>
      <c r="C340" t="s">
        <v>1655</v>
      </c>
      <c r="D340" t="s">
        <v>1656</v>
      </c>
      <c r="E340" t="str">
        <f t="shared" si="19"/>
        <v>sbotleras@yelp.com</v>
      </c>
      <c r="F340" t="s">
        <v>1657</v>
      </c>
      <c r="G340" t="s">
        <v>18</v>
      </c>
      <c r="H340" t="str">
        <f t="shared" si="20"/>
        <v>Male</v>
      </c>
      <c r="I340" t="str">
        <f>"+880"&amp;RIGHT(SUBSTITUTE(SUBSTITUTE($J340," ",""),"-",""),10)</f>
        <v>+8804546962421</v>
      </c>
      <c r="J340" t="s">
        <v>1658</v>
      </c>
      <c r="K340" t="s">
        <v>13</v>
      </c>
      <c r="L340" t="str">
        <f>_xlfn.XLOOKUP($K$3,K:K,K:K,$K$2)</f>
        <v>Bangladesh</v>
      </c>
      <c r="M340" t="s">
        <v>252</v>
      </c>
      <c r="N340" t="e" vm="36">
        <f>_xlfn.XLOOKUP($M340,$O:$O,$P:$P,"")</f>
        <v>#VALUE!</v>
      </c>
    </row>
    <row r="341" spans="1:14" x14ac:dyDescent="0.25">
      <c r="A341">
        <v>390</v>
      </c>
      <c r="B341" t="str">
        <f t="shared" si="18"/>
        <v>Gracia</v>
      </c>
      <c r="C341" t="s">
        <v>1659</v>
      </c>
      <c r="D341" t="s">
        <v>1660</v>
      </c>
      <c r="E341" t="str">
        <f t="shared" si="19"/>
        <v>gandrolliat@fotki.com</v>
      </c>
      <c r="F341" t="s">
        <v>1661</v>
      </c>
      <c r="G341" t="s">
        <v>11</v>
      </c>
      <c r="H341" t="str">
        <f t="shared" si="20"/>
        <v>Female</v>
      </c>
      <c r="I341" t="str">
        <f>"+880"&amp;RIGHT(SUBSTITUTE(SUBSTITUTE($J341," ",""),"-",""),10)</f>
        <v>+8807349046508</v>
      </c>
      <c r="J341" t="s">
        <v>1662</v>
      </c>
      <c r="K341" t="s">
        <v>13</v>
      </c>
      <c r="L341" t="str">
        <f>_xlfn.XLOOKUP($K$3,K:K,K:K,$K$2)</f>
        <v>Bangladesh</v>
      </c>
      <c r="M341" t="s">
        <v>252</v>
      </c>
      <c r="N341" t="e" vm="36">
        <f>_xlfn.XLOOKUP($M341,$O:$O,$P:$P,"")</f>
        <v>#VALUE!</v>
      </c>
    </row>
    <row r="342" spans="1:14" x14ac:dyDescent="0.25">
      <c r="A342">
        <v>391</v>
      </c>
      <c r="B342" t="str">
        <f t="shared" si="18"/>
        <v>Guglielma</v>
      </c>
      <c r="C342" t="s">
        <v>1663</v>
      </c>
      <c r="D342" t="s">
        <v>1664</v>
      </c>
      <c r="E342" t="str">
        <f t="shared" si="19"/>
        <v>gellinau@huffingtonpost.com</v>
      </c>
      <c r="F342" t="s">
        <v>1665</v>
      </c>
      <c r="G342" t="s">
        <v>11</v>
      </c>
      <c r="H342" t="str">
        <f t="shared" si="20"/>
        <v>Female</v>
      </c>
      <c r="I342" t="str">
        <f>"+880"&amp;RIGHT(SUBSTITUTE(SUBSTITUTE($J342," ",""),"-",""),10)</f>
        <v>+8809838578396</v>
      </c>
      <c r="J342" t="s">
        <v>1666</v>
      </c>
      <c r="K342" t="s">
        <v>13</v>
      </c>
      <c r="L342" t="str">
        <f>_xlfn.XLOOKUP($K$3,K:K,K:K,$K$2)</f>
        <v>Bangladesh</v>
      </c>
      <c r="M342" t="s">
        <v>814</v>
      </c>
      <c r="N342" t="e" vm="75">
        <f>_xlfn.XLOOKUP($M342,$O:$O,$P:$P,"")</f>
        <v>#VALUE!</v>
      </c>
    </row>
    <row r="343" spans="1:14" x14ac:dyDescent="0.25">
      <c r="A343">
        <v>392</v>
      </c>
      <c r="B343" t="str">
        <f t="shared" si="18"/>
        <v>Harwilll</v>
      </c>
      <c r="C343" t="s">
        <v>1667</v>
      </c>
      <c r="D343" t="s">
        <v>1668</v>
      </c>
      <c r="E343" t="str">
        <f t="shared" si="19"/>
        <v>hhankardav@netscape.com</v>
      </c>
      <c r="F343" t="s">
        <v>1669</v>
      </c>
      <c r="G343" t="s">
        <v>18</v>
      </c>
      <c r="H343" t="str">
        <f t="shared" si="20"/>
        <v>Male</v>
      </c>
      <c r="I343" t="str">
        <f>"+880"&amp;RIGHT(SUBSTITUTE(SUBSTITUTE($J343," ",""),"-",""),10)</f>
        <v>+8804726146881</v>
      </c>
      <c r="J343" t="s">
        <v>1670</v>
      </c>
      <c r="K343" t="s">
        <v>13</v>
      </c>
      <c r="L343" t="str">
        <f>_xlfn.XLOOKUP($K$3,K:K,K:K,$K$2)</f>
        <v>Bangladesh</v>
      </c>
      <c r="M343" t="s">
        <v>243</v>
      </c>
      <c r="N343" t="e" vm="35">
        <f>_xlfn.XLOOKUP($M343,$O:$O,$P:$P,"")</f>
        <v>#VALUE!</v>
      </c>
    </row>
    <row r="344" spans="1:14" x14ac:dyDescent="0.25">
      <c r="A344">
        <v>396</v>
      </c>
      <c r="B344" t="str">
        <f t="shared" si="18"/>
        <v>Tito</v>
      </c>
      <c r="C344" t="s">
        <v>1682</v>
      </c>
      <c r="D344" t="s">
        <v>1683</v>
      </c>
      <c r="E344" t="str">
        <f t="shared" si="19"/>
        <v>thammerbergeraz@about.com</v>
      </c>
      <c r="F344" t="s">
        <v>1684</v>
      </c>
      <c r="G344" t="s">
        <v>18</v>
      </c>
      <c r="H344" t="str">
        <f t="shared" si="20"/>
        <v>Male</v>
      </c>
      <c r="I344" t="str">
        <f>"+880"&amp;RIGHT(SUBSTITUTE(SUBSTITUTE($J344," ",""),"-",""),10)</f>
        <v>+8805855311905</v>
      </c>
      <c r="J344" t="s">
        <v>1685</v>
      </c>
      <c r="K344" t="s">
        <v>13</v>
      </c>
      <c r="L344" t="str">
        <f>_xlfn.XLOOKUP($K$3,K:K,K:K,$K$2)</f>
        <v>Bangladesh</v>
      </c>
      <c r="M344" t="s">
        <v>81</v>
      </c>
      <c r="N344" t="e" vm="11">
        <f>_xlfn.XLOOKUP($M344,$O:$O,$P:$P,"")</f>
        <v>#VALUE!</v>
      </c>
    </row>
    <row r="345" spans="1:14" x14ac:dyDescent="0.25">
      <c r="A345">
        <v>397</v>
      </c>
      <c r="B345" t="str">
        <f t="shared" si="18"/>
        <v>Wake</v>
      </c>
      <c r="C345" t="s">
        <v>1686</v>
      </c>
      <c r="D345" t="s">
        <v>1687</v>
      </c>
      <c r="E345" t="str">
        <f t="shared" si="19"/>
        <v>wflaubertb0@nature.com</v>
      </c>
      <c r="F345" t="s">
        <v>1688</v>
      </c>
      <c r="G345" t="s">
        <v>18</v>
      </c>
      <c r="H345" t="str">
        <f t="shared" si="20"/>
        <v>Male</v>
      </c>
      <c r="I345" t="str">
        <f>"+880"&amp;RIGHT(SUBSTITUTE(SUBSTITUTE($J345," ",""),"-",""),10)</f>
        <v>+8804309636287</v>
      </c>
      <c r="J345" t="s">
        <v>1689</v>
      </c>
      <c r="K345" t="s">
        <v>13</v>
      </c>
      <c r="L345" t="str">
        <f>_xlfn.XLOOKUP($K$3,K:K,K:K,$K$2)</f>
        <v>Bangladesh</v>
      </c>
      <c r="M345" t="s">
        <v>374</v>
      </c>
      <c r="N345" t="e" vm="48">
        <f>_xlfn.XLOOKUP($M345,$O:$O,$P:$P,"")</f>
        <v>#VALUE!</v>
      </c>
    </row>
    <row r="346" spans="1:14" x14ac:dyDescent="0.25">
      <c r="A346">
        <v>398</v>
      </c>
      <c r="B346" t="str">
        <f t="shared" si="18"/>
        <v>Odille</v>
      </c>
      <c r="C346" t="s">
        <v>1690</v>
      </c>
      <c r="D346" t="s">
        <v>1691</v>
      </c>
      <c r="E346" t="str">
        <f t="shared" si="19"/>
        <v>odadleyb1@yellowbook.com</v>
      </c>
      <c r="F346" t="s">
        <v>1692</v>
      </c>
      <c r="G346" t="s">
        <v>11</v>
      </c>
      <c r="H346" t="str">
        <f t="shared" si="20"/>
        <v>Female</v>
      </c>
      <c r="I346" t="str">
        <f>"+880"&amp;RIGHT(SUBSTITUTE(SUBSTITUTE($J346," ",""),"-",""),10)</f>
        <v>+8808282021411</v>
      </c>
      <c r="J346" t="s">
        <v>1693</v>
      </c>
      <c r="K346" t="s">
        <v>13</v>
      </c>
      <c r="L346" t="str">
        <f>_xlfn.XLOOKUP($K$3,K:K,K:K,$K$2)</f>
        <v>Bangladesh</v>
      </c>
      <c r="M346" t="s">
        <v>135</v>
      </c>
      <c r="N346" t="e" vm="20">
        <f>_xlfn.XLOOKUP($M346,$O:$O,$P:$P,"")</f>
        <v>#VALUE!</v>
      </c>
    </row>
    <row r="347" spans="1:14" x14ac:dyDescent="0.25">
      <c r="A347">
        <v>399</v>
      </c>
      <c r="B347" t="str">
        <f t="shared" si="18"/>
        <v>Nicole</v>
      </c>
      <c r="C347" t="s">
        <v>1694</v>
      </c>
      <c r="D347" t="s">
        <v>1695</v>
      </c>
      <c r="E347" t="str">
        <f t="shared" si="19"/>
        <v>nwixeyb2@miibeian.gov.cn</v>
      </c>
      <c r="F347" t="s">
        <v>1696</v>
      </c>
      <c r="G347" t="s">
        <v>11</v>
      </c>
      <c r="H347" t="str">
        <f t="shared" si="20"/>
        <v>Female</v>
      </c>
      <c r="I347" t="str">
        <f>"+880"&amp;RIGHT(SUBSTITUTE(SUBSTITUTE($J347," ",""),"-",""),10)</f>
        <v>+8801687774417</v>
      </c>
      <c r="J347" t="s">
        <v>1697</v>
      </c>
      <c r="K347" t="s">
        <v>13</v>
      </c>
      <c r="L347" t="str">
        <f>_xlfn.XLOOKUP($K$3,K:K,K:K,$K$2)</f>
        <v>Bangladesh</v>
      </c>
      <c r="M347" t="s">
        <v>168</v>
      </c>
      <c r="N347" t="e" vm="25">
        <f>_xlfn.XLOOKUP($M347,$O:$O,$P:$P,"")</f>
        <v>#VALUE!</v>
      </c>
    </row>
    <row r="348" spans="1:14" x14ac:dyDescent="0.25">
      <c r="A348">
        <v>400</v>
      </c>
      <c r="B348" t="str">
        <f t="shared" si="18"/>
        <v>Dulcy</v>
      </c>
      <c r="C348" t="s">
        <v>1698</v>
      </c>
      <c r="D348" t="s">
        <v>1699</v>
      </c>
      <c r="E348" t="str">
        <f t="shared" si="19"/>
        <v>dtomainob3@dmoz.org</v>
      </c>
      <c r="F348" t="s">
        <v>1700</v>
      </c>
      <c r="G348" t="s">
        <v>11</v>
      </c>
      <c r="H348" t="str">
        <f t="shared" si="20"/>
        <v>Female</v>
      </c>
      <c r="I348" t="str">
        <f>"+880"&amp;RIGHT(SUBSTITUTE(SUBSTITUTE($J348," ",""),"-",""),10)</f>
        <v>+8805621897887</v>
      </c>
      <c r="J348" t="s">
        <v>1701</v>
      </c>
      <c r="K348" t="s">
        <v>13</v>
      </c>
      <c r="L348" t="str">
        <f>_xlfn.XLOOKUP($K$3,K:K,K:K,$K$2)</f>
        <v>Bangladesh</v>
      </c>
      <c r="M348" t="s">
        <v>588</v>
      </c>
      <c r="N348" t="e" vm="57">
        <f>_xlfn.XLOOKUP($M348,$O:$O,$P:$P,"")</f>
        <v>#VALUE!</v>
      </c>
    </row>
    <row r="349" spans="1:14" x14ac:dyDescent="0.25">
      <c r="A349">
        <v>401</v>
      </c>
      <c r="B349" t="str">
        <f t="shared" si="18"/>
        <v>Alexio</v>
      </c>
      <c r="C349" t="s">
        <v>1702</v>
      </c>
      <c r="D349" t="s">
        <v>1703</v>
      </c>
      <c r="E349" t="str">
        <f t="shared" si="19"/>
        <v>apinckb4@weather.com</v>
      </c>
      <c r="F349" t="s">
        <v>1704</v>
      </c>
      <c r="G349" t="s">
        <v>18</v>
      </c>
      <c r="H349" t="str">
        <f t="shared" si="20"/>
        <v>Male</v>
      </c>
      <c r="I349" t="str">
        <f>"+880"&amp;RIGHT(SUBSTITUTE(SUBSTITUTE($J349," ",""),"-",""),10)</f>
        <v>+8801496953745</v>
      </c>
      <c r="J349" t="s">
        <v>1705</v>
      </c>
      <c r="K349" t="s">
        <v>13</v>
      </c>
      <c r="L349" t="str">
        <f>_xlfn.XLOOKUP($K$3,K:K,K:K,$K$2)</f>
        <v>Bangladesh</v>
      </c>
      <c r="M349" t="s">
        <v>597</v>
      </c>
      <c r="N349" t="e" vm="59">
        <f>_xlfn.XLOOKUP($M349,$O:$O,$P:$P,"")</f>
        <v>#VALUE!</v>
      </c>
    </row>
    <row r="350" spans="1:14" x14ac:dyDescent="0.25">
      <c r="A350">
        <v>402</v>
      </c>
      <c r="B350" t="str">
        <f t="shared" si="18"/>
        <v>Elden</v>
      </c>
      <c r="C350" t="s">
        <v>4027</v>
      </c>
      <c r="D350" t="s">
        <v>1707</v>
      </c>
      <c r="E350" t="str">
        <f t="shared" si="19"/>
        <v>etitherb5@i2i.jp</v>
      </c>
      <c r="F350" t="s">
        <v>1708</v>
      </c>
      <c r="G350" t="s">
        <v>280</v>
      </c>
      <c r="H350" t="str">
        <f t="shared" si="20"/>
        <v>Other</v>
      </c>
      <c r="I350" t="str">
        <f>"+880"&amp;RIGHT(SUBSTITUTE(SUBSTITUTE($J350," ",""),"-",""),10)</f>
        <v>+8805662381957</v>
      </c>
      <c r="J350" t="s">
        <v>1709</v>
      </c>
      <c r="K350" t="s">
        <v>13</v>
      </c>
      <c r="L350" t="str">
        <f>_xlfn.XLOOKUP($K$3,K:K,K:K,$K$2)</f>
        <v>Bangladesh</v>
      </c>
      <c r="M350" t="s">
        <v>567</v>
      </c>
      <c r="N350" t="e" vm="55">
        <f>_xlfn.XLOOKUP($M350,$O:$O,$P:$P,"")</f>
        <v>#VALUE!</v>
      </c>
    </row>
    <row r="351" spans="1:14" x14ac:dyDescent="0.25">
      <c r="A351">
        <v>404</v>
      </c>
      <c r="B351" t="str">
        <f t="shared" si="18"/>
        <v>Carol-Jean</v>
      </c>
      <c r="C351" t="s">
        <v>1714</v>
      </c>
      <c r="D351" t="s">
        <v>1715</v>
      </c>
      <c r="E351" t="str">
        <f t="shared" si="19"/>
        <v>cwhitneyb7@hostgator.com</v>
      </c>
      <c r="F351" t="s">
        <v>1716</v>
      </c>
      <c r="G351" t="s">
        <v>11</v>
      </c>
      <c r="H351" t="str">
        <f t="shared" si="20"/>
        <v>Female</v>
      </c>
      <c r="I351" t="str">
        <f>"+880"&amp;RIGHT(SUBSTITUTE(SUBSTITUTE($J351," ",""),"-",""),10)</f>
        <v>+8803636923724</v>
      </c>
      <c r="J351" t="s">
        <v>1717</v>
      </c>
      <c r="K351" t="s">
        <v>13</v>
      </c>
      <c r="L351" t="str">
        <f>_xlfn.XLOOKUP($K$3,K:K,K:K,$K$2)</f>
        <v>Bangladesh</v>
      </c>
      <c r="M351" t="s">
        <v>252</v>
      </c>
      <c r="N351" t="e" vm="36">
        <f>_xlfn.XLOOKUP($M351,$O:$O,$P:$P,"")</f>
        <v>#VALUE!</v>
      </c>
    </row>
    <row r="352" spans="1:14" x14ac:dyDescent="0.25">
      <c r="A352">
        <v>405</v>
      </c>
      <c r="B352" t="str">
        <f t="shared" si="18"/>
        <v>Pinchas</v>
      </c>
      <c r="C352" t="s">
        <v>1718</v>
      </c>
      <c r="D352" t="s">
        <v>1719</v>
      </c>
      <c r="E352" t="str">
        <f t="shared" si="19"/>
        <v>ptembridgeb8@biblegateway.com</v>
      </c>
      <c r="F352" t="s">
        <v>1720</v>
      </c>
      <c r="G352" t="s">
        <v>18</v>
      </c>
      <c r="H352" t="str">
        <f t="shared" si="20"/>
        <v>Male</v>
      </c>
      <c r="I352" t="str">
        <f>"+880"&amp;RIGHT(SUBSTITUTE(SUBSTITUTE($J352," ",""),"-",""),10)</f>
        <v>+8804409309554</v>
      </c>
      <c r="J352" t="s">
        <v>1721</v>
      </c>
      <c r="K352" t="s">
        <v>13</v>
      </c>
      <c r="L352" t="str">
        <f>_xlfn.XLOOKUP($K$3,K:K,K:K,$K$2)</f>
        <v>Bangladesh</v>
      </c>
      <c r="M352" t="s">
        <v>20</v>
      </c>
      <c r="N352" t="e" vm="2">
        <f>_xlfn.XLOOKUP($M352,$O:$O,$P:$P,"")</f>
        <v>#VALUE!</v>
      </c>
    </row>
    <row r="353" spans="1:14" x14ac:dyDescent="0.25">
      <c r="A353">
        <v>407</v>
      </c>
      <c r="B353" t="str">
        <f t="shared" si="18"/>
        <v>Roi</v>
      </c>
      <c r="C353" t="s">
        <v>1727</v>
      </c>
      <c r="D353" t="s">
        <v>1728</v>
      </c>
      <c r="E353" t="str">
        <f t="shared" si="19"/>
        <v>roilierba@nba.com</v>
      </c>
      <c r="F353" t="s">
        <v>1729</v>
      </c>
      <c r="G353" t="s">
        <v>18</v>
      </c>
      <c r="H353" t="str">
        <f t="shared" si="20"/>
        <v>Male</v>
      </c>
      <c r="I353" t="str">
        <f>"+880"&amp;RIGHT(SUBSTITUTE(SUBSTITUTE($J353," ",""),"-",""),10)</f>
        <v>+8806216429812</v>
      </c>
      <c r="J353" t="s">
        <v>1730</v>
      </c>
      <c r="K353" t="s">
        <v>13</v>
      </c>
      <c r="L353" t="str">
        <f>_xlfn.XLOOKUP($K$3,K:K,K:K,$K$2)</f>
        <v>Bangladesh</v>
      </c>
      <c r="M353" t="s">
        <v>125</v>
      </c>
      <c r="N353" t="e" vm="18">
        <f>_xlfn.XLOOKUP($M353,$O:$O,$P:$P,"")</f>
        <v>#VALUE!</v>
      </c>
    </row>
    <row r="354" spans="1:14" x14ac:dyDescent="0.25">
      <c r="A354">
        <v>409</v>
      </c>
      <c r="B354" t="str">
        <f t="shared" si="18"/>
        <v>Stacey</v>
      </c>
      <c r="C354" t="s">
        <v>1735</v>
      </c>
      <c r="D354" t="s">
        <v>1736</v>
      </c>
      <c r="E354" t="str">
        <f t="shared" si="19"/>
        <v>seliescobc@arstechnica.com</v>
      </c>
      <c r="F354" t="s">
        <v>1737</v>
      </c>
      <c r="G354" t="s">
        <v>11</v>
      </c>
      <c r="H354" t="str">
        <f t="shared" si="20"/>
        <v>Female</v>
      </c>
      <c r="I354" t="str">
        <f>"+880"&amp;RIGHT(SUBSTITUTE(SUBSTITUTE($J354," ",""),"-",""),10)</f>
        <v>+8808553205966</v>
      </c>
      <c r="J354" t="s">
        <v>1738</v>
      </c>
      <c r="K354" t="s">
        <v>13</v>
      </c>
      <c r="L354" t="str">
        <f>_xlfn.XLOOKUP($K$3,K:K,K:K,$K$2)</f>
        <v>Bangladesh</v>
      </c>
      <c r="M354" t="s">
        <v>41</v>
      </c>
      <c r="N354" t="e" vm="58">
        <f>_xlfn.XLOOKUP($M354,$O:$O,$P:$P,"")</f>
        <v>#VALUE!</v>
      </c>
    </row>
    <row r="355" spans="1:14" x14ac:dyDescent="0.25">
      <c r="A355">
        <v>410</v>
      </c>
      <c r="B355" t="str">
        <f t="shared" si="18"/>
        <v>Urson</v>
      </c>
      <c r="C355" t="s">
        <v>1739</v>
      </c>
      <c r="D355" t="s">
        <v>1740</v>
      </c>
      <c r="E355" t="str">
        <f t="shared" si="19"/>
        <v>ucumberledgebd@google.ru</v>
      </c>
      <c r="F355" t="s">
        <v>1741</v>
      </c>
      <c r="G355" t="s">
        <v>18</v>
      </c>
      <c r="H355" t="str">
        <f t="shared" si="20"/>
        <v>Male</v>
      </c>
      <c r="I355" t="str">
        <f>"+880"&amp;RIGHT(SUBSTITUTE(SUBSTITUTE($J355," ",""),"-",""),10)</f>
        <v>+8801667149991</v>
      </c>
      <c r="J355" t="s">
        <v>1742</v>
      </c>
      <c r="K355" t="s">
        <v>13</v>
      </c>
      <c r="L355" t="str">
        <f>_xlfn.XLOOKUP($K$3,K:K,K:K,$K$2)</f>
        <v>Bangladesh</v>
      </c>
      <c r="M355" t="s">
        <v>660</v>
      </c>
      <c r="N355" t="e" vm="67">
        <f>_xlfn.XLOOKUP($M355,$O:$O,$P:$P,"")</f>
        <v>#VALUE!</v>
      </c>
    </row>
    <row r="356" spans="1:14" x14ac:dyDescent="0.25">
      <c r="A356">
        <v>411</v>
      </c>
      <c r="B356" t="str">
        <f t="shared" si="18"/>
        <v>Ingeborg</v>
      </c>
      <c r="C356" t="s">
        <v>1743</v>
      </c>
      <c r="D356" t="s">
        <v>1744</v>
      </c>
      <c r="E356" t="str">
        <f t="shared" si="19"/>
        <v>ifingletonbe@i2i.jp</v>
      </c>
      <c r="F356" t="s">
        <v>1745</v>
      </c>
      <c r="G356" t="s">
        <v>11</v>
      </c>
      <c r="H356" t="str">
        <f t="shared" si="20"/>
        <v>Female</v>
      </c>
      <c r="I356" t="str">
        <f>"+880"&amp;RIGHT(SUBSTITUTE(SUBSTITUTE($J356," ",""),"-",""),10)</f>
        <v>+8809195871978</v>
      </c>
      <c r="J356" t="s">
        <v>1746</v>
      </c>
      <c r="K356" t="s">
        <v>13</v>
      </c>
      <c r="L356" t="str">
        <f>_xlfn.XLOOKUP($K$3,K:K,K:K,$K$2)</f>
        <v>Bangladesh</v>
      </c>
      <c r="M356" t="s">
        <v>25</v>
      </c>
      <c r="N356" t="e" vm="3">
        <f>_xlfn.XLOOKUP($M356,$O:$O,$P:$P,"")</f>
        <v>#VALUE!</v>
      </c>
    </row>
    <row r="357" spans="1:14" x14ac:dyDescent="0.25">
      <c r="A357">
        <v>412</v>
      </c>
      <c r="B357" t="str">
        <f t="shared" si="18"/>
        <v>Zedekiah</v>
      </c>
      <c r="C357" t="s">
        <v>1747</v>
      </c>
      <c r="D357" t="s">
        <v>1748</v>
      </c>
      <c r="E357" t="str">
        <f t="shared" si="19"/>
        <v>zmiddlerbf@wikispaces.com</v>
      </c>
      <c r="F357" t="s">
        <v>1749</v>
      </c>
      <c r="G357" t="s">
        <v>18</v>
      </c>
      <c r="H357" t="str">
        <f t="shared" si="20"/>
        <v>Male</v>
      </c>
      <c r="I357" t="str">
        <f>"+880"&amp;RIGHT(SUBSTITUTE(SUBSTITUTE($J357," ",""),"-",""),10)</f>
        <v>+8808711038491</v>
      </c>
      <c r="J357" t="s">
        <v>1750</v>
      </c>
      <c r="K357" t="s">
        <v>13</v>
      </c>
      <c r="L357" t="str">
        <f>_xlfn.XLOOKUP($K$3,K:K,K:K,$K$2)</f>
        <v>Bangladesh</v>
      </c>
      <c r="M357" t="s">
        <v>360</v>
      </c>
      <c r="N357" t="e" vm="56">
        <f>_xlfn.XLOOKUP($M357,$O:$O,$P:$P,"")</f>
        <v>#VALUE!</v>
      </c>
    </row>
    <row r="358" spans="1:14" x14ac:dyDescent="0.25">
      <c r="A358">
        <v>413</v>
      </c>
      <c r="B358" t="str">
        <f t="shared" si="18"/>
        <v>Danila</v>
      </c>
      <c r="C358" t="s">
        <v>1751</v>
      </c>
      <c r="D358" t="s">
        <v>1752</v>
      </c>
      <c r="E358" t="str">
        <f t="shared" si="19"/>
        <v>dbigleybg@goodreads.com</v>
      </c>
      <c r="F358" t="s">
        <v>1753</v>
      </c>
      <c r="G358" t="s">
        <v>274</v>
      </c>
      <c r="H358" t="str">
        <f t="shared" si="20"/>
        <v>Other</v>
      </c>
      <c r="I358" t="str">
        <f>"+880"&amp;RIGHT(SUBSTITUTE(SUBSTITUTE($J358," ",""),"-",""),10)</f>
        <v>+8805142608494</v>
      </c>
      <c r="J358" t="s">
        <v>1754</v>
      </c>
      <c r="K358" t="s">
        <v>13</v>
      </c>
      <c r="L358" t="str">
        <f>_xlfn.XLOOKUP($K$3,K:K,K:K,$K$2)</f>
        <v>Bangladesh</v>
      </c>
      <c r="M358" t="s">
        <v>115</v>
      </c>
      <c r="N358" t="e" vm="17">
        <f>_xlfn.XLOOKUP($M358,$O:$O,$P:$P,"")</f>
        <v>#VALUE!</v>
      </c>
    </row>
    <row r="359" spans="1:14" x14ac:dyDescent="0.25">
      <c r="A359">
        <v>414</v>
      </c>
      <c r="B359" t="str">
        <f t="shared" si="18"/>
        <v>Amelita</v>
      </c>
      <c r="C359" t="s">
        <v>1755</v>
      </c>
      <c r="D359" t="s">
        <v>1756</v>
      </c>
      <c r="E359" t="str">
        <f t="shared" si="19"/>
        <v>agibardbh@e-recht24.de</v>
      </c>
      <c r="F359" t="s">
        <v>1757</v>
      </c>
      <c r="G359" t="s">
        <v>11</v>
      </c>
      <c r="H359" t="str">
        <f t="shared" si="20"/>
        <v>Female</v>
      </c>
      <c r="I359" t="str">
        <f>"+880"&amp;RIGHT(SUBSTITUTE(SUBSTITUTE($J359," ",""),"-",""),10)</f>
        <v>+8807446174894</v>
      </c>
      <c r="J359" t="s">
        <v>1758</v>
      </c>
      <c r="K359" t="s">
        <v>13</v>
      </c>
      <c r="L359" t="str">
        <f>_xlfn.XLOOKUP($K$3,K:K,K:K,$K$2)</f>
        <v>Bangladesh</v>
      </c>
      <c r="M359" t="s">
        <v>135</v>
      </c>
      <c r="N359" t="e" vm="20">
        <f>_xlfn.XLOOKUP($M359,$O:$O,$P:$P,"")</f>
        <v>#VALUE!</v>
      </c>
    </row>
    <row r="360" spans="1:14" x14ac:dyDescent="0.25">
      <c r="A360">
        <v>415</v>
      </c>
      <c r="B360" t="str">
        <f t="shared" si="18"/>
        <v>Cheri</v>
      </c>
      <c r="C360" t="s">
        <v>1759</v>
      </c>
      <c r="D360" t="s">
        <v>1760</v>
      </c>
      <c r="E360" t="str">
        <f t="shared" si="19"/>
        <v>csansbi@google.nl</v>
      </c>
      <c r="F360" t="s">
        <v>1761</v>
      </c>
      <c r="G360" t="s">
        <v>11</v>
      </c>
      <c r="H360" t="str">
        <f t="shared" si="20"/>
        <v>Female</v>
      </c>
      <c r="I360" t="str">
        <f>"+880"&amp;RIGHT(SUBSTITUTE(SUBSTITUTE($J360," ",""),"-",""),10)</f>
        <v>+8805265018664</v>
      </c>
      <c r="J360" t="s">
        <v>1762</v>
      </c>
      <c r="K360" t="s">
        <v>13</v>
      </c>
      <c r="L360" t="str">
        <f>_xlfn.XLOOKUP($K$3,K:K,K:K,$K$2)</f>
        <v>Bangladesh</v>
      </c>
      <c r="M360" t="s">
        <v>101</v>
      </c>
      <c r="N360" t="e" vm="15">
        <f>_xlfn.XLOOKUP($M360,$O:$O,$P:$P,"")</f>
        <v>#VALUE!</v>
      </c>
    </row>
    <row r="361" spans="1:14" x14ac:dyDescent="0.25">
      <c r="A361">
        <v>416</v>
      </c>
      <c r="B361" t="str">
        <f t="shared" si="18"/>
        <v>Blake</v>
      </c>
      <c r="C361" t="s">
        <v>1763</v>
      </c>
      <c r="D361" t="s">
        <v>1764</v>
      </c>
      <c r="E361" t="str">
        <f t="shared" si="19"/>
        <v>bbrownsillbj@miitbeian.gov.cn</v>
      </c>
      <c r="F361" t="s">
        <v>1765</v>
      </c>
      <c r="G361" t="s">
        <v>18</v>
      </c>
      <c r="H361" t="str">
        <f t="shared" si="20"/>
        <v>Male</v>
      </c>
      <c r="I361" t="str">
        <f>"+880"&amp;RIGHT(SUBSTITUTE(SUBSTITUTE($J361," ",""),"-",""),10)</f>
        <v>+8802312184645</v>
      </c>
      <c r="J361" t="s">
        <v>1766</v>
      </c>
      <c r="K361" t="s">
        <v>13</v>
      </c>
      <c r="L361" t="str">
        <f>_xlfn.XLOOKUP($K$3,K:K,K:K,$K$2)</f>
        <v>Bangladesh</v>
      </c>
      <c r="M361" t="s">
        <v>120</v>
      </c>
      <c r="N361" t="str">
        <f>_xlfn.XLOOKUP($M361,$O:$O,$P:$P,"")</f>
        <v>Bhatpara Abhaynagar</v>
      </c>
    </row>
    <row r="362" spans="1:14" x14ac:dyDescent="0.25">
      <c r="A362">
        <v>418</v>
      </c>
      <c r="B362" t="str">
        <f t="shared" si="18"/>
        <v>Hershel</v>
      </c>
      <c r="C362" t="s">
        <v>1772</v>
      </c>
      <c r="D362" t="s">
        <v>1773</v>
      </c>
      <c r="E362" t="str">
        <f t="shared" si="19"/>
        <v>halonsobl@miitbeian.gov.cn</v>
      </c>
      <c r="F362" t="s">
        <v>1774</v>
      </c>
      <c r="G362" t="s">
        <v>18</v>
      </c>
      <c r="H362" t="str">
        <f t="shared" si="20"/>
        <v>Male</v>
      </c>
      <c r="I362" t="str">
        <f>"+880"&amp;RIGHT(SUBSTITUTE(SUBSTITUTE($J362," ",""),"-",""),10)</f>
        <v>+8806743806474</v>
      </c>
      <c r="J362" t="s">
        <v>1775</v>
      </c>
      <c r="K362" t="s">
        <v>13</v>
      </c>
      <c r="L362" t="str">
        <f>_xlfn.XLOOKUP($K$3,K:K,K:K,$K$2)</f>
        <v>Bangladesh</v>
      </c>
      <c r="M362" t="s">
        <v>399</v>
      </c>
      <c r="N362" t="str">
        <f>_xlfn.XLOOKUP($M362,$O:$O,$P:$P,"")</f>
        <v>Jhingergacha</v>
      </c>
    </row>
    <row r="363" spans="1:14" x14ac:dyDescent="0.25">
      <c r="A363">
        <v>419</v>
      </c>
      <c r="B363" t="str">
        <f t="shared" si="18"/>
        <v>Edgard</v>
      </c>
      <c r="C363" t="s">
        <v>1776</v>
      </c>
      <c r="D363" t="s">
        <v>1777</v>
      </c>
      <c r="E363" t="str">
        <f t="shared" si="19"/>
        <v>egoadbybm@free.fr</v>
      </c>
      <c r="F363" t="s">
        <v>1778</v>
      </c>
      <c r="G363" t="s">
        <v>18</v>
      </c>
      <c r="H363" t="str">
        <f t="shared" si="20"/>
        <v>Male</v>
      </c>
      <c r="I363" t="str">
        <f>"+880"&amp;RIGHT(SUBSTITUTE(SUBSTITUTE($J363," ",""),"-",""),10)</f>
        <v>+8809623542506</v>
      </c>
      <c r="J363" t="s">
        <v>1779</v>
      </c>
      <c r="K363" t="s">
        <v>13</v>
      </c>
      <c r="L363" t="str">
        <f>_xlfn.XLOOKUP($K$3,K:K,K:K,$K$2)</f>
        <v>Bangladesh</v>
      </c>
      <c r="M363" t="s">
        <v>41</v>
      </c>
      <c r="N363" t="e" vm="58">
        <f>_xlfn.XLOOKUP($M363,$O:$O,$P:$P,"")</f>
        <v>#VALUE!</v>
      </c>
    </row>
    <row r="364" spans="1:14" x14ac:dyDescent="0.25">
      <c r="A364">
        <v>422</v>
      </c>
      <c r="B364" t="str">
        <f t="shared" si="18"/>
        <v>Madelle</v>
      </c>
      <c r="C364" t="s">
        <v>563</v>
      </c>
      <c r="D364" t="s">
        <v>1787</v>
      </c>
      <c r="E364" t="str">
        <f t="shared" si="19"/>
        <v>mbebbbp@usa.gov</v>
      </c>
      <c r="F364" t="s">
        <v>1788</v>
      </c>
      <c r="G364" t="s">
        <v>769</v>
      </c>
      <c r="H364" t="str">
        <f t="shared" si="20"/>
        <v>Other</v>
      </c>
      <c r="I364" t="str">
        <f>"+880"&amp;RIGHT(SUBSTITUTE(SUBSTITUTE($J364," ",""),"-",""),10)</f>
        <v>+8803159619687</v>
      </c>
      <c r="J364" t="s">
        <v>1789</v>
      </c>
      <c r="K364" t="s">
        <v>13</v>
      </c>
      <c r="L364" t="str">
        <f>_xlfn.XLOOKUP($K$3,K:K,K:K,$K$2)</f>
        <v>Bangladesh</v>
      </c>
      <c r="M364" t="s">
        <v>61</v>
      </c>
      <c r="N364" t="e" vm="7">
        <f>_xlfn.XLOOKUP($M364,$O:$O,$P:$P,"")</f>
        <v>#VALUE!</v>
      </c>
    </row>
    <row r="365" spans="1:14" x14ac:dyDescent="0.25">
      <c r="A365">
        <v>423</v>
      </c>
      <c r="B365" t="str">
        <f t="shared" si="18"/>
        <v>Carlin</v>
      </c>
      <c r="C365" t="s">
        <v>1790</v>
      </c>
      <c r="D365" t="s">
        <v>1791</v>
      </c>
      <c r="E365" t="str">
        <f t="shared" si="19"/>
        <v>csellstrombq@liveinternet.ru</v>
      </c>
      <c r="F365" t="s">
        <v>1792</v>
      </c>
      <c r="G365" t="s">
        <v>18</v>
      </c>
      <c r="H365" t="str">
        <f t="shared" si="20"/>
        <v>Male</v>
      </c>
      <c r="I365" t="str">
        <f>"+880"&amp;RIGHT(SUBSTITUTE(SUBSTITUTE($J365," ",""),"-",""),10)</f>
        <v>+8801054605906</v>
      </c>
      <c r="J365" t="s">
        <v>1793</v>
      </c>
      <c r="K365" t="s">
        <v>13</v>
      </c>
      <c r="L365" t="str">
        <f>_xlfn.XLOOKUP($K$3,K:K,K:K,$K$2)</f>
        <v>Bangladesh</v>
      </c>
      <c r="M365" t="s">
        <v>81</v>
      </c>
      <c r="N365" t="e" vm="11">
        <f>_xlfn.XLOOKUP($M365,$O:$O,$P:$P,"")</f>
        <v>#VALUE!</v>
      </c>
    </row>
    <row r="366" spans="1:14" x14ac:dyDescent="0.25">
      <c r="A366">
        <v>424</v>
      </c>
      <c r="B366" t="str">
        <f t="shared" si="18"/>
        <v>Kaylil</v>
      </c>
      <c r="C366" t="s">
        <v>1794</v>
      </c>
      <c r="D366" t="s">
        <v>1795</v>
      </c>
      <c r="E366" t="str">
        <f t="shared" si="19"/>
        <v>ktaborrebr@wsj.com</v>
      </c>
      <c r="F366" t="s">
        <v>1796</v>
      </c>
      <c r="G366" t="s">
        <v>11</v>
      </c>
      <c r="H366" t="str">
        <f t="shared" si="20"/>
        <v>Female</v>
      </c>
      <c r="I366" t="str">
        <f>"+880"&amp;RIGHT(SUBSTITUTE(SUBSTITUTE($J366," ",""),"-",""),10)</f>
        <v>+8801604088677</v>
      </c>
      <c r="J366" t="s">
        <v>1797</v>
      </c>
      <c r="K366" t="s">
        <v>13</v>
      </c>
      <c r="L366" t="str">
        <f>_xlfn.XLOOKUP($K$3,K:K,K:K,$K$2)</f>
        <v>Bangladesh</v>
      </c>
      <c r="M366" t="s">
        <v>504</v>
      </c>
      <c r="N366" t="e" vm="54">
        <f>_xlfn.XLOOKUP($M366,$O:$O,$P:$P,"")</f>
        <v>#VALUE!</v>
      </c>
    </row>
    <row r="367" spans="1:14" x14ac:dyDescent="0.25">
      <c r="A367">
        <v>426</v>
      </c>
      <c r="B367" t="str">
        <f t="shared" si="18"/>
        <v>Corty</v>
      </c>
      <c r="C367" t="s">
        <v>1801</v>
      </c>
      <c r="D367" t="s">
        <v>1802</v>
      </c>
      <c r="E367" t="str">
        <f t="shared" si="19"/>
        <v>cfoxtenbt@so-net.ne.jp</v>
      </c>
      <c r="F367" t="s">
        <v>1803</v>
      </c>
      <c r="G367" t="s">
        <v>280</v>
      </c>
      <c r="H367" t="str">
        <f t="shared" si="20"/>
        <v>Other</v>
      </c>
      <c r="I367" t="str">
        <f>"+880"&amp;RIGHT(SUBSTITUTE(SUBSTITUTE($J367," ",""),"-",""),10)</f>
        <v>+8802266521922</v>
      </c>
      <c r="J367" t="s">
        <v>1804</v>
      </c>
      <c r="K367" t="s">
        <v>13</v>
      </c>
      <c r="L367" t="str">
        <f>_xlfn.XLOOKUP($K$3,K:K,K:K,$K$2)</f>
        <v>Bangladesh</v>
      </c>
      <c r="M367" t="s">
        <v>276</v>
      </c>
      <c r="N367" t="e" vm="39">
        <f>_xlfn.XLOOKUP($M367,$O:$O,$P:$P,"")</f>
        <v>#VALUE!</v>
      </c>
    </row>
    <row r="368" spans="1:14" x14ac:dyDescent="0.25">
      <c r="A368">
        <v>427</v>
      </c>
      <c r="B368" t="str">
        <f t="shared" si="18"/>
        <v>Freddy</v>
      </c>
      <c r="C368" t="s">
        <v>1805</v>
      </c>
      <c r="D368" t="s">
        <v>1806</v>
      </c>
      <c r="E368" t="str">
        <f t="shared" si="19"/>
        <v>forrobu@google.cn</v>
      </c>
      <c r="F368" t="s">
        <v>1807</v>
      </c>
      <c r="G368" t="s">
        <v>18</v>
      </c>
      <c r="H368" t="str">
        <f t="shared" si="20"/>
        <v>Male</v>
      </c>
      <c r="I368" t="str">
        <f>"+880"&amp;RIGHT(SUBSTITUTE(SUBSTITUTE($J368," ",""),"-",""),10)</f>
        <v>+8809093718540</v>
      </c>
      <c r="J368" t="s">
        <v>1808</v>
      </c>
      <c r="K368" t="s">
        <v>13</v>
      </c>
      <c r="L368" t="str">
        <f>_xlfn.XLOOKUP($K$3,K:K,K:K,$K$2)</f>
        <v>Bangladesh</v>
      </c>
      <c r="M368" t="s">
        <v>779</v>
      </c>
      <c r="N368" t="e" vm="72">
        <f>_xlfn.XLOOKUP($M368,$O:$O,$P:$P,"")</f>
        <v>#VALUE!</v>
      </c>
    </row>
    <row r="369" spans="1:14" x14ac:dyDescent="0.25">
      <c r="A369">
        <v>428</v>
      </c>
      <c r="B369" t="str">
        <f t="shared" si="18"/>
        <v>Kaine</v>
      </c>
      <c r="C369" t="s">
        <v>1809</v>
      </c>
      <c r="D369" t="s">
        <v>1810</v>
      </c>
      <c r="E369" t="str">
        <f t="shared" si="19"/>
        <v>kfreebornbv@ted.com</v>
      </c>
      <c r="F369" t="s">
        <v>1811</v>
      </c>
      <c r="G369" t="s">
        <v>18</v>
      </c>
      <c r="H369" t="str">
        <f t="shared" si="20"/>
        <v>Male</v>
      </c>
      <c r="I369" t="str">
        <f>"+880"&amp;RIGHT(SUBSTITUTE(SUBSTITUTE($J369," ",""),"-",""),10)</f>
        <v>+8807806878609</v>
      </c>
      <c r="J369" t="s">
        <v>1812</v>
      </c>
      <c r="K369" t="s">
        <v>13</v>
      </c>
      <c r="L369" t="str">
        <f>_xlfn.XLOOKUP($K$3,K:K,K:K,$K$2)</f>
        <v>Bangladesh</v>
      </c>
      <c r="M369" t="s">
        <v>66</v>
      </c>
      <c r="N369" t="e" vm="8">
        <f>_xlfn.XLOOKUP($M369,$O:$O,$P:$P,"")</f>
        <v>#VALUE!</v>
      </c>
    </row>
    <row r="370" spans="1:14" x14ac:dyDescent="0.25">
      <c r="A370">
        <v>429</v>
      </c>
      <c r="B370" t="str">
        <f t="shared" si="18"/>
        <v>Julian</v>
      </c>
      <c r="C370" t="s">
        <v>1813</v>
      </c>
      <c r="D370" t="s">
        <v>1814</v>
      </c>
      <c r="E370" t="str">
        <f t="shared" si="19"/>
        <v>jvalintinebw@tripod.com</v>
      </c>
      <c r="F370" t="s">
        <v>1815</v>
      </c>
      <c r="G370" t="s">
        <v>18</v>
      </c>
      <c r="H370" t="str">
        <f t="shared" si="20"/>
        <v>Male</v>
      </c>
      <c r="I370" t="str">
        <f>"+880"&amp;RIGHT(SUBSTITUTE(SUBSTITUTE($J370," ",""),"-",""),10)</f>
        <v>+8806857420119</v>
      </c>
      <c r="J370" t="s">
        <v>1816</v>
      </c>
      <c r="K370" t="s">
        <v>13</v>
      </c>
      <c r="L370" t="str">
        <f>_xlfn.XLOOKUP($K$3,K:K,K:K,$K$2)</f>
        <v>Bangladesh</v>
      </c>
      <c r="M370" t="s">
        <v>839</v>
      </c>
      <c r="N370" t="e" vm="76">
        <f>_xlfn.XLOOKUP($M370,$O:$O,$P:$P,"")</f>
        <v>#VALUE!</v>
      </c>
    </row>
    <row r="371" spans="1:14" x14ac:dyDescent="0.25">
      <c r="A371">
        <v>431</v>
      </c>
      <c r="B371" t="str">
        <f t="shared" si="18"/>
        <v>Mayer</v>
      </c>
      <c r="C371" t="s">
        <v>1821</v>
      </c>
      <c r="D371" t="s">
        <v>1822</v>
      </c>
      <c r="E371" t="str">
        <f t="shared" si="19"/>
        <v>mgutowskiby@biglobe.ne.jp</v>
      </c>
      <c r="F371" t="s">
        <v>1823</v>
      </c>
      <c r="G371" t="s">
        <v>18</v>
      </c>
      <c r="H371" t="str">
        <f t="shared" si="20"/>
        <v>Male</v>
      </c>
      <c r="I371" t="str">
        <f>"+880"&amp;RIGHT(SUBSTITUTE(SUBSTITUTE($J371," ",""),"-",""),10)</f>
        <v>+8807352497134</v>
      </c>
      <c r="J371" t="s">
        <v>1824</v>
      </c>
      <c r="K371" t="s">
        <v>13</v>
      </c>
      <c r="L371" t="str">
        <f>_xlfn.XLOOKUP($K$3,K:K,K:K,$K$2)</f>
        <v>Bangladesh</v>
      </c>
      <c r="M371" t="s">
        <v>210</v>
      </c>
      <c r="N371" t="e" vm="31">
        <f>_xlfn.XLOOKUP($M371,$O:$O,$P:$P,"")</f>
        <v>#VALUE!</v>
      </c>
    </row>
    <row r="372" spans="1:14" x14ac:dyDescent="0.25">
      <c r="A372">
        <v>433</v>
      </c>
      <c r="B372" t="str">
        <f t="shared" si="18"/>
        <v>Corabella</v>
      </c>
      <c r="C372" t="s">
        <v>1829</v>
      </c>
      <c r="D372" t="s">
        <v>1830</v>
      </c>
      <c r="E372" t="str">
        <f t="shared" si="19"/>
        <v>clutzc0@dot.gov</v>
      </c>
      <c r="F372" t="s">
        <v>1831</v>
      </c>
      <c r="G372" t="s">
        <v>11</v>
      </c>
      <c r="H372" t="str">
        <f t="shared" si="20"/>
        <v>Female</v>
      </c>
      <c r="I372" t="str">
        <f>"+880"&amp;RIGHT(SUBSTITUTE(SUBSTITUTE($J372," ",""),"-",""),10)</f>
        <v>+8804914931444</v>
      </c>
      <c r="J372" t="s">
        <v>1832</v>
      </c>
      <c r="K372" t="s">
        <v>13</v>
      </c>
      <c r="L372" t="str">
        <f>_xlfn.XLOOKUP($K$3,K:K,K:K,$K$2)</f>
        <v>Bangladesh</v>
      </c>
      <c r="M372" t="s">
        <v>336</v>
      </c>
      <c r="N372" t="e" vm="45">
        <f>_xlfn.XLOOKUP($M372,$O:$O,$P:$P,"")</f>
        <v>#VALUE!</v>
      </c>
    </row>
    <row r="373" spans="1:14" x14ac:dyDescent="0.25">
      <c r="A373">
        <v>435</v>
      </c>
      <c r="B373" t="str">
        <f t="shared" si="18"/>
        <v>Brandon</v>
      </c>
      <c r="C373" t="s">
        <v>1836</v>
      </c>
      <c r="D373" t="s">
        <v>1837</v>
      </c>
      <c r="E373" t="str">
        <f t="shared" si="19"/>
        <v>bcopcuttc2@gizmodo.com</v>
      </c>
      <c r="F373" t="s">
        <v>1838</v>
      </c>
      <c r="G373" t="s">
        <v>18</v>
      </c>
      <c r="H373" t="str">
        <f t="shared" si="20"/>
        <v>Male</v>
      </c>
      <c r="I373" t="str">
        <f>"+880"&amp;RIGHT(SUBSTITUTE(SUBSTITUTE($J373," ",""),"-",""),10)</f>
        <v>+8806852185690</v>
      </c>
      <c r="J373" t="s">
        <v>1839</v>
      </c>
      <c r="K373" t="s">
        <v>13</v>
      </c>
      <c r="L373" t="str">
        <f>_xlfn.XLOOKUP($K$3,K:K,K:K,$K$2)</f>
        <v>Bangladesh</v>
      </c>
      <c r="M373" t="s">
        <v>549</v>
      </c>
      <c r="N373" t="e" vm="78">
        <f>_xlfn.XLOOKUP($M373,$O:$O,$P:$P,"")</f>
        <v>#VALUE!</v>
      </c>
    </row>
    <row r="374" spans="1:14" x14ac:dyDescent="0.25">
      <c r="A374">
        <v>436</v>
      </c>
      <c r="B374" t="str">
        <f t="shared" si="18"/>
        <v>Aldus</v>
      </c>
      <c r="C374" t="s">
        <v>1840</v>
      </c>
      <c r="D374" t="s">
        <v>1841</v>
      </c>
      <c r="E374" t="str">
        <f t="shared" si="19"/>
        <v>akenrydc3@uiuc.edu</v>
      </c>
      <c r="F374" t="s">
        <v>1842</v>
      </c>
      <c r="G374" t="s">
        <v>18</v>
      </c>
      <c r="H374" t="str">
        <f t="shared" si="20"/>
        <v>Male</v>
      </c>
      <c r="I374" t="str">
        <f>"+880"&amp;RIGHT(SUBSTITUTE(SUBSTITUTE($J374," ",""),"-",""),10)</f>
        <v>+8801751113351</v>
      </c>
      <c r="J374" t="s">
        <v>1843</v>
      </c>
      <c r="K374" t="s">
        <v>13</v>
      </c>
      <c r="L374" t="str">
        <f>_xlfn.XLOOKUP($K$3,K:K,K:K,$K$2)</f>
        <v>Bangladesh</v>
      </c>
      <c r="M374" t="s">
        <v>804</v>
      </c>
      <c r="N374" t="e" vm="73">
        <f>_xlfn.XLOOKUP($M374,$O:$O,$P:$P,"")</f>
        <v>#VALUE!</v>
      </c>
    </row>
    <row r="375" spans="1:14" x14ac:dyDescent="0.25">
      <c r="A375">
        <v>438</v>
      </c>
      <c r="B375" t="str">
        <f t="shared" si="18"/>
        <v>Tyler</v>
      </c>
      <c r="C375" t="s">
        <v>1849</v>
      </c>
      <c r="D375" t="s">
        <v>1850</v>
      </c>
      <c r="E375" t="str">
        <f t="shared" si="19"/>
        <v>ttamlettc5@phoca.cz</v>
      </c>
      <c r="F375" t="s">
        <v>1851</v>
      </c>
      <c r="G375" t="s">
        <v>18</v>
      </c>
      <c r="H375" t="str">
        <f t="shared" si="20"/>
        <v>Male</v>
      </c>
      <c r="I375" t="str">
        <f>"+880"&amp;RIGHT(SUBSTITUTE(SUBSTITUTE($J375," ",""),"-",""),10)</f>
        <v>+8801186136406</v>
      </c>
      <c r="J375" t="s">
        <v>1852</v>
      </c>
      <c r="K375" t="s">
        <v>13</v>
      </c>
      <c r="L375" t="str">
        <f>_xlfn.XLOOKUP($K$3,K:K,K:K,$K$2)</f>
        <v>Bangladesh</v>
      </c>
      <c r="M375" t="s">
        <v>678</v>
      </c>
      <c r="N375" t="str">
        <f>_xlfn.XLOOKUP($M375,$O:$O,$P:$P,"")</f>
        <v>Pargaaj</v>
      </c>
    </row>
    <row r="376" spans="1:14" x14ac:dyDescent="0.25">
      <c r="A376">
        <v>439</v>
      </c>
      <c r="B376" t="str">
        <f t="shared" si="18"/>
        <v>Pattie</v>
      </c>
      <c r="C376" t="s">
        <v>1853</v>
      </c>
      <c r="D376" t="s">
        <v>1854</v>
      </c>
      <c r="E376" t="str">
        <f t="shared" si="19"/>
        <v>pwoodwardc6@blogtalkradio.com</v>
      </c>
      <c r="F376" t="s">
        <v>1855</v>
      </c>
      <c r="G376" t="s">
        <v>18</v>
      </c>
      <c r="H376" t="str">
        <f t="shared" si="20"/>
        <v>Male</v>
      </c>
      <c r="I376" t="str">
        <f>"+880"&amp;RIGHT(SUBSTITUTE(SUBSTITUTE($J376," ",""),"-",""),10)</f>
        <v>+8807681603129</v>
      </c>
      <c r="J376" t="s">
        <v>1856</v>
      </c>
      <c r="K376" t="s">
        <v>13</v>
      </c>
      <c r="L376" t="str">
        <f>_xlfn.XLOOKUP($K$3,K:K,K:K,$K$2)</f>
        <v>Bangladesh</v>
      </c>
      <c r="M376" t="s">
        <v>549</v>
      </c>
      <c r="N376" t="e" vm="78">
        <f>_xlfn.XLOOKUP($M376,$O:$O,$P:$P,"")</f>
        <v>#VALUE!</v>
      </c>
    </row>
    <row r="377" spans="1:14" x14ac:dyDescent="0.25">
      <c r="A377">
        <v>441</v>
      </c>
      <c r="B377" t="str">
        <f t="shared" si="18"/>
        <v>Ethelred</v>
      </c>
      <c r="C377" t="s">
        <v>1861</v>
      </c>
      <c r="D377" t="s">
        <v>1862</v>
      </c>
      <c r="E377" t="str">
        <f t="shared" si="19"/>
        <v>efarragherc8@ed.gov</v>
      </c>
      <c r="F377" t="s">
        <v>1863</v>
      </c>
      <c r="G377" t="s">
        <v>18</v>
      </c>
      <c r="H377" t="str">
        <f t="shared" si="20"/>
        <v>Male</v>
      </c>
      <c r="I377" t="str">
        <f>"+880"&amp;RIGHT(SUBSTITUTE(SUBSTITUTE($J377," ",""),"-",""),10)</f>
        <v>+8804254367073</v>
      </c>
      <c r="J377" t="s">
        <v>1864</v>
      </c>
      <c r="K377" t="s">
        <v>13</v>
      </c>
      <c r="L377" t="str">
        <f>_xlfn.XLOOKUP($K$3,K:K,K:K,$K$2)</f>
        <v>Bangladesh</v>
      </c>
      <c r="M377" t="s">
        <v>602</v>
      </c>
      <c r="N377" t="e" vm="60">
        <f>_xlfn.XLOOKUP($M377,$O:$O,$P:$P,"")</f>
        <v>#VALUE!</v>
      </c>
    </row>
    <row r="378" spans="1:14" x14ac:dyDescent="0.25">
      <c r="A378">
        <v>442</v>
      </c>
      <c r="B378" t="str">
        <f t="shared" si="18"/>
        <v>Lydon</v>
      </c>
      <c r="C378" t="s">
        <v>1865</v>
      </c>
      <c r="D378" t="s">
        <v>1866</v>
      </c>
      <c r="E378" t="str">
        <f t="shared" si="19"/>
        <v>lbarukhc9@theguardian.com</v>
      </c>
      <c r="F378" t="s">
        <v>1867</v>
      </c>
      <c r="G378" t="s">
        <v>18</v>
      </c>
      <c r="H378" t="str">
        <f t="shared" si="20"/>
        <v>Male</v>
      </c>
      <c r="I378" t="str">
        <f>"+880"&amp;RIGHT(SUBSTITUTE(SUBSTITUTE($J378," ",""),"-",""),10)</f>
        <v>+8809097052628</v>
      </c>
      <c r="J378" t="s">
        <v>1868</v>
      </c>
      <c r="K378" t="s">
        <v>13</v>
      </c>
      <c r="L378" t="str">
        <f>_xlfn.XLOOKUP($K$3,K:K,K:K,$K$2)</f>
        <v>Bangladesh</v>
      </c>
      <c r="M378" t="s">
        <v>276</v>
      </c>
      <c r="N378" t="e" vm="39">
        <f>_xlfn.XLOOKUP($M378,$O:$O,$P:$P,"")</f>
        <v>#VALUE!</v>
      </c>
    </row>
    <row r="379" spans="1:14" x14ac:dyDescent="0.25">
      <c r="A379">
        <v>443</v>
      </c>
      <c r="B379" t="str">
        <f t="shared" si="18"/>
        <v>Myranda</v>
      </c>
      <c r="C379" t="s">
        <v>1869</v>
      </c>
      <c r="D379" t="s">
        <v>1870</v>
      </c>
      <c r="E379" t="str">
        <f t="shared" si="19"/>
        <v>mthackhamca@illinois.edu</v>
      </c>
      <c r="F379" t="s">
        <v>1871</v>
      </c>
      <c r="G379" t="s">
        <v>11</v>
      </c>
      <c r="H379" t="str">
        <f t="shared" si="20"/>
        <v>Female</v>
      </c>
      <c r="I379" t="str">
        <f>"+880"&amp;RIGHT(SUBSTITUTE(SUBSTITUTE($J379," ",""),"-",""),10)</f>
        <v>+8809685637701</v>
      </c>
      <c r="J379" t="s">
        <v>1872</v>
      </c>
      <c r="K379" t="s">
        <v>13</v>
      </c>
      <c r="L379" t="str">
        <f>_xlfn.XLOOKUP($K$3,K:K,K:K,$K$2)</f>
        <v>Bangladesh</v>
      </c>
      <c r="M379" t="s">
        <v>14</v>
      </c>
      <c r="N379" t="e" vm="1">
        <f>_xlfn.XLOOKUP($M379,$O:$O,$P:$P,"")</f>
        <v>#VALUE!</v>
      </c>
    </row>
    <row r="380" spans="1:14" x14ac:dyDescent="0.25">
      <c r="A380">
        <v>444</v>
      </c>
      <c r="B380" t="str">
        <f t="shared" si="18"/>
        <v>Emmalynne</v>
      </c>
      <c r="C380" t="s">
        <v>1873</v>
      </c>
      <c r="D380" t="s">
        <v>1874</v>
      </c>
      <c r="E380" t="str">
        <f t="shared" si="19"/>
        <v>eedrichcb@behance.net</v>
      </c>
      <c r="F380" t="s">
        <v>1875</v>
      </c>
      <c r="G380" t="s">
        <v>11</v>
      </c>
      <c r="H380" t="str">
        <f t="shared" si="20"/>
        <v>Female</v>
      </c>
      <c r="I380" t="str">
        <f>"+880"&amp;RIGHT(SUBSTITUTE(SUBSTITUTE($J380," ",""),"-",""),10)</f>
        <v>+8807209481251</v>
      </c>
      <c r="J380" t="s">
        <v>1876</v>
      </c>
      <c r="K380" t="s">
        <v>13</v>
      </c>
      <c r="L380" t="str">
        <f>_xlfn.XLOOKUP($K$3,K:K,K:K,$K$2)</f>
        <v>Bangladesh</v>
      </c>
      <c r="M380" t="s">
        <v>350</v>
      </c>
      <c r="N380" t="str">
        <f>_xlfn.XLOOKUP($M380,$O:$O,$P:$P,"")</f>
        <v>Pir Naogaon</v>
      </c>
    </row>
    <row r="381" spans="1:14" x14ac:dyDescent="0.25">
      <c r="A381">
        <v>445</v>
      </c>
      <c r="B381" t="str">
        <f t="shared" si="18"/>
        <v>Woody</v>
      </c>
      <c r="C381" t="s">
        <v>1877</v>
      </c>
      <c r="D381" t="s">
        <v>1878</v>
      </c>
      <c r="E381" t="str">
        <f t="shared" si="19"/>
        <v>wfarmarcc@technorati.com</v>
      </c>
      <c r="F381" t="s">
        <v>1879</v>
      </c>
      <c r="G381" t="s">
        <v>228</v>
      </c>
      <c r="H381" t="str">
        <f t="shared" si="20"/>
        <v>Other</v>
      </c>
      <c r="I381" t="str">
        <f>"+880"&amp;RIGHT(SUBSTITUTE(SUBSTITUTE($J381," ",""),"-",""),10)</f>
        <v>+8808679749694</v>
      </c>
      <c r="J381" t="s">
        <v>1880</v>
      </c>
      <c r="K381" t="s">
        <v>13</v>
      </c>
      <c r="L381" t="str">
        <f>_xlfn.XLOOKUP($K$3,K:K,K:K,$K$2)</f>
        <v>Bangladesh</v>
      </c>
      <c r="M381" t="s">
        <v>130</v>
      </c>
      <c r="N381" t="e" vm="19">
        <f>_xlfn.XLOOKUP($M381,$O:$O,$P:$P,"")</f>
        <v>#VALUE!</v>
      </c>
    </row>
    <row r="382" spans="1:14" x14ac:dyDescent="0.25">
      <c r="A382">
        <v>446</v>
      </c>
      <c r="B382" t="str">
        <f t="shared" si="18"/>
        <v>Carree</v>
      </c>
      <c r="C382" t="s">
        <v>1881</v>
      </c>
      <c r="D382" t="s">
        <v>1882</v>
      </c>
      <c r="E382" t="str">
        <f t="shared" si="19"/>
        <v>cwildorcd@discovery.com</v>
      </c>
      <c r="F382" t="s">
        <v>1883</v>
      </c>
      <c r="G382" t="s">
        <v>11</v>
      </c>
      <c r="H382" t="str">
        <f t="shared" si="20"/>
        <v>Female</v>
      </c>
      <c r="I382" t="str">
        <f>"+880"&amp;RIGHT(SUBSTITUTE(SUBSTITUTE($J382," ",""),"-",""),10)</f>
        <v>+8802942135258</v>
      </c>
      <c r="J382" t="s">
        <v>1884</v>
      </c>
      <c r="K382" t="s">
        <v>13</v>
      </c>
      <c r="L382" t="str">
        <f>_xlfn.XLOOKUP($K$3,K:K,K:K,$K$2)</f>
        <v>Bangladesh</v>
      </c>
      <c r="M382" t="s">
        <v>91</v>
      </c>
      <c r="N382" t="e" vm="13">
        <f>_xlfn.XLOOKUP($M382,$O:$O,$P:$P,"")</f>
        <v>#VALUE!</v>
      </c>
    </row>
    <row r="383" spans="1:14" x14ac:dyDescent="0.25">
      <c r="A383">
        <v>448</v>
      </c>
      <c r="B383" t="str">
        <f t="shared" si="18"/>
        <v>Ambrosi</v>
      </c>
      <c r="C383" t="s">
        <v>1889</v>
      </c>
      <c r="D383" t="s">
        <v>1890</v>
      </c>
      <c r="E383" t="str">
        <f t="shared" si="19"/>
        <v>atyghtcf@spiegel.de</v>
      </c>
      <c r="F383" t="s">
        <v>1891</v>
      </c>
      <c r="G383" t="s">
        <v>18</v>
      </c>
      <c r="H383" t="str">
        <f t="shared" si="20"/>
        <v>Male</v>
      </c>
      <c r="I383" t="str">
        <f>"+880"&amp;RIGHT(SUBSTITUTE(SUBSTITUTE($J383," ",""),"-",""),10)</f>
        <v>+8802647938230</v>
      </c>
      <c r="J383" t="s">
        <v>1892</v>
      </c>
      <c r="K383" t="s">
        <v>13</v>
      </c>
      <c r="L383" t="str">
        <f>_xlfn.XLOOKUP($K$3,K:K,K:K,$K$2)</f>
        <v>Bangladesh</v>
      </c>
      <c r="M383" t="s">
        <v>809</v>
      </c>
      <c r="N383" t="e" vm="74">
        <f>_xlfn.XLOOKUP($M383,$O:$O,$P:$P,"")</f>
        <v>#VALUE!</v>
      </c>
    </row>
    <row r="384" spans="1:14" x14ac:dyDescent="0.25">
      <c r="A384">
        <v>449</v>
      </c>
      <c r="B384" t="str">
        <f t="shared" si="18"/>
        <v>Valentine</v>
      </c>
      <c r="C384" t="s">
        <v>1893</v>
      </c>
      <c r="D384" t="s">
        <v>1894</v>
      </c>
      <c r="E384" t="str">
        <f t="shared" si="19"/>
        <v>vscarfcg@google.ca</v>
      </c>
      <c r="F384" t="s">
        <v>1895</v>
      </c>
      <c r="G384" t="s">
        <v>11</v>
      </c>
      <c r="H384" t="str">
        <f t="shared" si="20"/>
        <v>Female</v>
      </c>
      <c r="I384" t="str">
        <f>"+880"&amp;RIGHT(SUBSTITUTE(SUBSTITUTE($J384," ",""),"-",""),10)</f>
        <v>+8804514890597</v>
      </c>
      <c r="J384" t="s">
        <v>1896</v>
      </c>
      <c r="K384" t="s">
        <v>13</v>
      </c>
      <c r="L384" t="str">
        <f>_xlfn.XLOOKUP($K$3,K:K,K:K,$K$2)</f>
        <v>Bangladesh</v>
      </c>
      <c r="M384" t="s">
        <v>809</v>
      </c>
      <c r="N384" t="e" vm="74">
        <f>_xlfn.XLOOKUP($M384,$O:$O,$P:$P,"")</f>
        <v>#VALUE!</v>
      </c>
    </row>
    <row r="385" spans="1:14" x14ac:dyDescent="0.25">
      <c r="A385">
        <v>450</v>
      </c>
      <c r="B385" t="str">
        <f t="shared" ref="B385:B436" si="21">PROPER(TRIM($C385))</f>
        <v>Hanna</v>
      </c>
      <c r="C385" t="s">
        <v>1897</v>
      </c>
      <c r="D385" t="s">
        <v>1898</v>
      </c>
      <c r="E385" t="str">
        <f t="shared" ref="E385:E436" si="22">LOWER(TRIM($F385))</f>
        <v>hburdch@bloglovin.com</v>
      </c>
      <c r="F385" t="s">
        <v>1899</v>
      </c>
      <c r="G385" t="s">
        <v>11</v>
      </c>
      <c r="H385" t="str">
        <f t="shared" ref="H385:H436" si="23">IF(OR($G385="M",LOWER($G385)="male"),"Male",
IF(OR($G385="F",LOWER($G385)="female"),"Female","Other"))</f>
        <v>Female</v>
      </c>
      <c r="I385" t="str">
        <f>"+880"&amp;RIGHT(SUBSTITUTE(SUBSTITUTE($J385," ",""),"-",""),10)</f>
        <v>+8808128022747</v>
      </c>
      <c r="J385" t="s">
        <v>1900</v>
      </c>
      <c r="K385" t="s">
        <v>13</v>
      </c>
      <c r="L385" t="str">
        <f>_xlfn.XLOOKUP($K$3,K:K,K:K,$K$2)</f>
        <v>Bangladesh</v>
      </c>
      <c r="M385" t="s">
        <v>673</v>
      </c>
      <c r="N385" t="e" vm="68">
        <f>_xlfn.XLOOKUP($M385,$O:$O,$P:$P,"")</f>
        <v>#VALUE!</v>
      </c>
    </row>
    <row r="386" spans="1:14" x14ac:dyDescent="0.25">
      <c r="A386">
        <v>452</v>
      </c>
      <c r="B386" t="str">
        <f t="shared" si="21"/>
        <v>Alfy</v>
      </c>
      <c r="C386" t="s">
        <v>1904</v>
      </c>
      <c r="D386" t="s">
        <v>1905</v>
      </c>
      <c r="E386" t="str">
        <f t="shared" si="22"/>
        <v>apetrellicj@uiuc.edu</v>
      </c>
      <c r="F386" t="s">
        <v>1906</v>
      </c>
      <c r="G386" t="s">
        <v>11</v>
      </c>
      <c r="H386" t="str">
        <f t="shared" si="23"/>
        <v>Female</v>
      </c>
      <c r="I386" t="str">
        <f>"+880"&amp;RIGHT(SUBSTITUTE(SUBSTITUTE($J386," ",""),"-",""),10)</f>
        <v>+8801752200204</v>
      </c>
      <c r="J386" t="s">
        <v>1907</v>
      </c>
      <c r="K386" t="s">
        <v>13</v>
      </c>
      <c r="L386" t="str">
        <f>_xlfn.XLOOKUP($K$3,K:K,K:K,$K$2)</f>
        <v>Bangladesh</v>
      </c>
      <c r="M386" t="s">
        <v>51</v>
      </c>
      <c r="N386" t="str">
        <f>_xlfn.XLOOKUP($M386,$O:$O,$P:$P,"")</f>
        <v>Mathba</v>
      </c>
    </row>
    <row r="387" spans="1:14" x14ac:dyDescent="0.25">
      <c r="A387">
        <v>454</v>
      </c>
      <c r="B387" t="str">
        <f t="shared" si="21"/>
        <v>Irena</v>
      </c>
      <c r="C387" t="s">
        <v>1912</v>
      </c>
      <c r="D387" t="s">
        <v>1913</v>
      </c>
      <c r="E387" t="str">
        <f t="shared" si="22"/>
        <v>imannerscl@accuweather.com</v>
      </c>
      <c r="F387" t="s">
        <v>1914</v>
      </c>
      <c r="G387" t="s">
        <v>11</v>
      </c>
      <c r="H387" t="str">
        <f t="shared" si="23"/>
        <v>Female</v>
      </c>
      <c r="I387" t="str">
        <f>"+880"&amp;RIGHT(SUBSTITUTE(SUBSTITUTE($J387," ",""),"-",""),10)</f>
        <v>+8807146112949</v>
      </c>
      <c r="J387" t="s">
        <v>1915</v>
      </c>
      <c r="K387" t="s">
        <v>13</v>
      </c>
      <c r="L387" t="str">
        <f>_xlfn.XLOOKUP($K$3,K:K,K:K,$K$2)</f>
        <v>Bangladesh</v>
      </c>
      <c r="M387" t="s">
        <v>120</v>
      </c>
      <c r="N387" t="str">
        <f>_xlfn.XLOOKUP($M387,$O:$O,$P:$P,"")</f>
        <v>Bhatpara Abhaynagar</v>
      </c>
    </row>
    <row r="388" spans="1:14" x14ac:dyDescent="0.25">
      <c r="A388">
        <v>456</v>
      </c>
      <c r="B388" t="str">
        <f t="shared" si="21"/>
        <v>Hirsch</v>
      </c>
      <c r="C388" t="s">
        <v>1920</v>
      </c>
      <c r="D388" t="s">
        <v>1921</v>
      </c>
      <c r="E388" t="str">
        <f t="shared" si="22"/>
        <v>hbohmancn@mapquest.com</v>
      </c>
      <c r="F388" t="s">
        <v>1922</v>
      </c>
      <c r="G388" t="s">
        <v>18</v>
      </c>
      <c r="H388" t="str">
        <f t="shared" si="23"/>
        <v>Male</v>
      </c>
      <c r="I388" t="str">
        <f>"+880"&amp;RIGHT(SUBSTITUTE(SUBSTITUTE($J388," ",""),"-",""),10)</f>
        <v>+8803099315196</v>
      </c>
      <c r="J388" t="s">
        <v>1923</v>
      </c>
      <c r="K388" t="s">
        <v>13</v>
      </c>
      <c r="L388" t="str">
        <f>_xlfn.XLOOKUP($K$3,K:K,K:K,$K$2)</f>
        <v>Bangladesh</v>
      </c>
      <c r="M388" t="s">
        <v>51</v>
      </c>
      <c r="N388" t="str">
        <f>_xlfn.XLOOKUP($M388,$O:$O,$P:$P,"")</f>
        <v>Mathba</v>
      </c>
    </row>
    <row r="389" spans="1:14" x14ac:dyDescent="0.25">
      <c r="A389">
        <v>457</v>
      </c>
      <c r="B389" t="str">
        <f t="shared" si="21"/>
        <v>Pieter</v>
      </c>
      <c r="C389" t="s">
        <v>1924</v>
      </c>
      <c r="D389" t="s">
        <v>1925</v>
      </c>
      <c r="E389" t="str">
        <f t="shared" si="22"/>
        <v>pbleasdaleco@github.com</v>
      </c>
      <c r="F389" t="s">
        <v>1926</v>
      </c>
      <c r="G389" t="s">
        <v>18</v>
      </c>
      <c r="H389" t="str">
        <f t="shared" si="23"/>
        <v>Male</v>
      </c>
      <c r="I389" t="str">
        <f>"+880"&amp;RIGHT(SUBSTITUTE(SUBSTITUTE($J389," ",""),"-",""),10)</f>
        <v>+8806415909554</v>
      </c>
      <c r="J389" t="s">
        <v>1927</v>
      </c>
      <c r="K389" t="s">
        <v>13</v>
      </c>
      <c r="L389" t="str">
        <f>_xlfn.XLOOKUP($K$3,K:K,K:K,$K$2)</f>
        <v>Bangladesh</v>
      </c>
      <c r="M389" t="s">
        <v>173</v>
      </c>
      <c r="N389" t="e" vm="26">
        <f>_xlfn.XLOOKUP($M389,$O:$O,$P:$P,"")</f>
        <v>#VALUE!</v>
      </c>
    </row>
    <row r="390" spans="1:14" x14ac:dyDescent="0.25">
      <c r="A390">
        <v>458</v>
      </c>
      <c r="B390" t="str">
        <f t="shared" si="21"/>
        <v>Craig</v>
      </c>
      <c r="C390" t="s">
        <v>1928</v>
      </c>
      <c r="D390" t="s">
        <v>1929</v>
      </c>
      <c r="E390" t="str">
        <f t="shared" si="22"/>
        <v>clonghornecp@seesaa.net</v>
      </c>
      <c r="F390" t="s">
        <v>1930</v>
      </c>
      <c r="G390" t="s">
        <v>18</v>
      </c>
      <c r="H390" t="str">
        <f t="shared" si="23"/>
        <v>Male</v>
      </c>
      <c r="I390" t="str">
        <f>"+880"&amp;RIGHT(SUBSTITUTE(SUBSTITUTE($J390," ",""),"-",""),10)</f>
        <v>+8801753419019</v>
      </c>
      <c r="J390" t="s">
        <v>1931</v>
      </c>
      <c r="K390" t="s">
        <v>13</v>
      </c>
      <c r="L390" t="str">
        <f>_xlfn.XLOOKUP($K$3,K:K,K:K,$K$2)</f>
        <v>Bangladesh</v>
      </c>
      <c r="M390" t="s">
        <v>210</v>
      </c>
      <c r="N390" t="e" vm="31">
        <f>_xlfn.XLOOKUP($M390,$O:$O,$P:$P,"")</f>
        <v>#VALUE!</v>
      </c>
    </row>
    <row r="391" spans="1:14" x14ac:dyDescent="0.25">
      <c r="A391">
        <v>459</v>
      </c>
      <c r="B391" t="str">
        <f t="shared" si="21"/>
        <v>Florenza</v>
      </c>
      <c r="C391" t="s">
        <v>982</v>
      </c>
      <c r="D391" t="s">
        <v>1932</v>
      </c>
      <c r="E391" t="str">
        <f t="shared" si="22"/>
        <v>fgaenorcq@com.com</v>
      </c>
      <c r="F391" t="s">
        <v>1933</v>
      </c>
      <c r="G391" t="s">
        <v>11</v>
      </c>
      <c r="H391" t="str">
        <f t="shared" si="23"/>
        <v>Female</v>
      </c>
      <c r="I391" t="str">
        <f>"+880"&amp;RIGHT(SUBSTITUTE(SUBSTITUTE($J391," ",""),"-",""),10)</f>
        <v>+8804451353715</v>
      </c>
      <c r="J391" t="s">
        <v>1934</v>
      </c>
      <c r="K391" t="s">
        <v>13</v>
      </c>
      <c r="L391" t="str">
        <f>_xlfn.XLOOKUP($K$3,K:K,K:K,$K$2)</f>
        <v>Bangladesh</v>
      </c>
      <c r="M391" t="s">
        <v>1187</v>
      </c>
      <c r="N391" t="e" vm="82">
        <f>_xlfn.XLOOKUP($M391,$O:$O,$P:$P,"")</f>
        <v>#VALUE!</v>
      </c>
    </row>
    <row r="392" spans="1:14" x14ac:dyDescent="0.25">
      <c r="A392">
        <v>460</v>
      </c>
      <c r="B392" t="str">
        <f t="shared" si="21"/>
        <v>Erek</v>
      </c>
      <c r="C392" t="s">
        <v>1935</v>
      </c>
      <c r="D392" t="s">
        <v>922</v>
      </c>
      <c r="E392" t="str">
        <f t="shared" si="22"/>
        <v>edempstercr@delicious.com</v>
      </c>
      <c r="F392" t="s">
        <v>1936</v>
      </c>
      <c r="G392" t="s">
        <v>18</v>
      </c>
      <c r="H392" t="str">
        <f t="shared" si="23"/>
        <v>Male</v>
      </c>
      <c r="I392" t="str">
        <f>"+880"&amp;RIGHT(SUBSTITUTE(SUBSTITUTE($J392," ",""),"-",""),10)</f>
        <v>+8808735262970</v>
      </c>
      <c r="J392" t="s">
        <v>1937</v>
      </c>
      <c r="K392" t="s">
        <v>13</v>
      </c>
      <c r="L392" t="str">
        <f>_xlfn.XLOOKUP($K$3,K:K,K:K,$K$2)</f>
        <v>Bangladesh</v>
      </c>
      <c r="M392" t="s">
        <v>66</v>
      </c>
      <c r="N392" t="e" vm="8">
        <f>_xlfn.XLOOKUP($M392,$O:$O,$P:$P,"")</f>
        <v>#VALUE!</v>
      </c>
    </row>
    <row r="393" spans="1:14" x14ac:dyDescent="0.25">
      <c r="A393">
        <v>461</v>
      </c>
      <c r="B393" t="str">
        <f t="shared" si="21"/>
        <v>Tami</v>
      </c>
      <c r="C393" t="s">
        <v>1938</v>
      </c>
      <c r="D393" t="s">
        <v>1939</v>
      </c>
      <c r="E393" t="str">
        <f t="shared" si="22"/>
        <v>tsheklecs@people.com.cn</v>
      </c>
      <c r="F393" t="s">
        <v>1940</v>
      </c>
      <c r="G393" t="s">
        <v>11</v>
      </c>
      <c r="H393" t="str">
        <f t="shared" si="23"/>
        <v>Female</v>
      </c>
      <c r="I393" t="str">
        <f>"+880"&amp;RIGHT(SUBSTITUTE(SUBSTITUTE($J393," ",""),"-",""),10)</f>
        <v>+8801035775128</v>
      </c>
      <c r="J393" t="s">
        <v>1941</v>
      </c>
      <c r="K393" t="s">
        <v>13</v>
      </c>
      <c r="L393" t="str">
        <f>_xlfn.XLOOKUP($K$3,K:K,K:K,$K$2)</f>
        <v>Bangladesh</v>
      </c>
      <c r="M393" t="s">
        <v>101</v>
      </c>
      <c r="N393" t="e" vm="15">
        <f>_xlfn.XLOOKUP($M393,$O:$O,$P:$P,"")</f>
        <v>#VALUE!</v>
      </c>
    </row>
    <row r="394" spans="1:14" x14ac:dyDescent="0.25">
      <c r="A394">
        <v>462</v>
      </c>
      <c r="B394" t="str">
        <f t="shared" si="21"/>
        <v>Malory</v>
      </c>
      <c r="C394" t="s">
        <v>1942</v>
      </c>
      <c r="D394" t="s">
        <v>1943</v>
      </c>
      <c r="E394" t="str">
        <f t="shared" si="22"/>
        <v>mgeroldct@discovery.com</v>
      </c>
      <c r="F394" t="s">
        <v>1944</v>
      </c>
      <c r="G394" t="s">
        <v>11</v>
      </c>
      <c r="H394" t="str">
        <f t="shared" si="23"/>
        <v>Female</v>
      </c>
      <c r="I394" t="str">
        <f>"+880"&amp;RIGHT(SUBSTITUTE(SUBSTITUTE($J394," ",""),"-",""),10)</f>
        <v>+8805192308947</v>
      </c>
      <c r="J394" t="s">
        <v>1945</v>
      </c>
      <c r="K394" t="s">
        <v>13</v>
      </c>
      <c r="L394" t="str">
        <f>_xlfn.XLOOKUP($K$3,K:K,K:K,$K$2)</f>
        <v>Bangladesh</v>
      </c>
      <c r="M394" t="s">
        <v>183</v>
      </c>
      <c r="N394" t="e" vm="28">
        <f>_xlfn.XLOOKUP($M394,$O:$O,$P:$P,"")</f>
        <v>#VALUE!</v>
      </c>
    </row>
    <row r="395" spans="1:14" x14ac:dyDescent="0.25">
      <c r="A395">
        <v>463</v>
      </c>
      <c r="B395" t="str">
        <f t="shared" si="21"/>
        <v>Tracy</v>
      </c>
      <c r="C395" t="s">
        <v>1946</v>
      </c>
      <c r="D395" t="s">
        <v>1947</v>
      </c>
      <c r="E395" t="str">
        <f t="shared" si="22"/>
        <v>tmichurincu@merriam-webster.com</v>
      </c>
      <c r="F395" t="s">
        <v>1948</v>
      </c>
      <c r="G395" t="s">
        <v>11</v>
      </c>
      <c r="H395" t="str">
        <f t="shared" si="23"/>
        <v>Female</v>
      </c>
      <c r="I395" t="str">
        <f>"+880"&amp;RIGHT(SUBSTITUTE(SUBSTITUTE($J395," ",""),"-",""),10)</f>
        <v>+8805798755981</v>
      </c>
      <c r="J395" t="s">
        <v>1949</v>
      </c>
      <c r="K395" t="s">
        <v>13</v>
      </c>
      <c r="L395" t="str">
        <f>_xlfn.XLOOKUP($K$3,K:K,K:K,$K$2)</f>
        <v>Bangladesh</v>
      </c>
      <c r="M395" t="s">
        <v>86</v>
      </c>
      <c r="N395" t="e" vm="12">
        <f>_xlfn.XLOOKUP($M395,$O:$O,$P:$P,"")</f>
        <v>#VALUE!</v>
      </c>
    </row>
    <row r="396" spans="1:14" x14ac:dyDescent="0.25">
      <c r="A396">
        <v>464</v>
      </c>
      <c r="B396" t="str">
        <f t="shared" si="21"/>
        <v>Urban</v>
      </c>
      <c r="C396" t="s">
        <v>1950</v>
      </c>
      <c r="D396" t="s">
        <v>1951</v>
      </c>
      <c r="E396" t="str">
        <f t="shared" si="22"/>
        <v>udiplockcv@usgs.gov</v>
      </c>
      <c r="F396" t="s">
        <v>1952</v>
      </c>
      <c r="G396" t="s">
        <v>18</v>
      </c>
      <c r="H396" t="str">
        <f t="shared" si="23"/>
        <v>Male</v>
      </c>
      <c r="I396" t="str">
        <f>"+880"&amp;RIGHT(SUBSTITUTE(SUBSTITUTE($J396," ",""),"-",""),10)</f>
        <v>+8809396099150</v>
      </c>
      <c r="J396" t="s">
        <v>1953</v>
      </c>
      <c r="K396" t="s">
        <v>13</v>
      </c>
      <c r="L396" t="str">
        <f>_xlfn.XLOOKUP($K$3,K:K,K:K,$K$2)</f>
        <v>Bangladesh</v>
      </c>
      <c r="M396" t="s">
        <v>916</v>
      </c>
      <c r="N396" t="e" vm="79">
        <f>_xlfn.XLOOKUP($M396,$O:$O,$P:$P,"")</f>
        <v>#VALUE!</v>
      </c>
    </row>
    <row r="397" spans="1:14" x14ac:dyDescent="0.25">
      <c r="A397">
        <v>465</v>
      </c>
      <c r="B397" t="str">
        <f t="shared" si="21"/>
        <v>Carleen</v>
      </c>
      <c r="C397" t="s">
        <v>1954</v>
      </c>
      <c r="D397" t="s">
        <v>1955</v>
      </c>
      <c r="E397" t="str">
        <f t="shared" si="22"/>
        <v>coldnallcw@artisteer.com</v>
      </c>
      <c r="F397" t="s">
        <v>1956</v>
      </c>
      <c r="G397" t="s">
        <v>11</v>
      </c>
      <c r="H397" t="str">
        <f t="shared" si="23"/>
        <v>Female</v>
      </c>
      <c r="I397" t="str">
        <f>"+880"&amp;RIGHT(SUBSTITUTE(SUBSTITUTE($J397," ",""),"-",""),10)</f>
        <v>+8806035459743</v>
      </c>
      <c r="J397" t="s">
        <v>1957</v>
      </c>
      <c r="K397" t="s">
        <v>13</v>
      </c>
      <c r="L397" t="str">
        <f>_xlfn.XLOOKUP($K$3,K:K,K:K,$K$2)</f>
        <v>Bangladesh</v>
      </c>
      <c r="M397" t="s">
        <v>287</v>
      </c>
      <c r="N397" t="e" vm="41">
        <f>_xlfn.XLOOKUP($M397,$O:$O,$P:$P,"")</f>
        <v>#VALUE!</v>
      </c>
    </row>
    <row r="398" spans="1:14" x14ac:dyDescent="0.25">
      <c r="A398">
        <v>466</v>
      </c>
      <c r="B398" t="str">
        <f t="shared" si="21"/>
        <v>Pierrette</v>
      </c>
      <c r="C398" t="s">
        <v>1958</v>
      </c>
      <c r="D398" t="s">
        <v>1959</v>
      </c>
      <c r="E398" t="str">
        <f t="shared" si="22"/>
        <v>pjedrzejczykcx@ft.com</v>
      </c>
      <c r="F398" t="s">
        <v>1960</v>
      </c>
      <c r="G398" t="s">
        <v>11</v>
      </c>
      <c r="H398" t="str">
        <f t="shared" si="23"/>
        <v>Female</v>
      </c>
      <c r="I398" t="str">
        <f>"+880"&amp;RIGHT(SUBSTITUTE(SUBSTITUTE($J398," ",""),"-",""),10)</f>
        <v>+8803389722854</v>
      </c>
      <c r="J398" t="s">
        <v>1961</v>
      </c>
      <c r="K398" t="s">
        <v>13</v>
      </c>
      <c r="L398" t="str">
        <f>_xlfn.XLOOKUP($K$3,K:K,K:K,$K$2)</f>
        <v>Bangladesh</v>
      </c>
      <c r="M398" t="s">
        <v>296</v>
      </c>
      <c r="N398" t="e" vm="81">
        <f>_xlfn.XLOOKUP($M398,$O:$O,$P:$P,"")</f>
        <v>#VALUE!</v>
      </c>
    </row>
    <row r="399" spans="1:14" x14ac:dyDescent="0.25">
      <c r="A399">
        <v>468</v>
      </c>
      <c r="B399" t="str">
        <f t="shared" si="21"/>
        <v>Wyn</v>
      </c>
      <c r="C399" t="s">
        <v>1966</v>
      </c>
      <c r="D399" t="s">
        <v>1967</v>
      </c>
      <c r="E399" t="str">
        <f t="shared" si="22"/>
        <v>wiliffecz@comcast.net</v>
      </c>
      <c r="F399" t="s">
        <v>1968</v>
      </c>
      <c r="G399" t="s">
        <v>18</v>
      </c>
      <c r="H399" t="str">
        <f t="shared" si="23"/>
        <v>Male</v>
      </c>
      <c r="I399" t="str">
        <f>"+880"&amp;RIGHT(SUBSTITUTE(SUBSTITUTE($J399," ",""),"-",""),10)</f>
        <v>+8803775908665</v>
      </c>
      <c r="J399" t="s">
        <v>1969</v>
      </c>
      <c r="K399" t="s">
        <v>13</v>
      </c>
      <c r="L399" t="str">
        <f>_xlfn.XLOOKUP($K$3,K:K,K:K,$K$2)</f>
        <v>Bangladesh</v>
      </c>
      <c r="M399" t="s">
        <v>360</v>
      </c>
      <c r="N399" t="e" vm="56">
        <f>_xlfn.XLOOKUP($M399,$O:$O,$P:$P,"")</f>
        <v>#VALUE!</v>
      </c>
    </row>
    <row r="400" spans="1:14" x14ac:dyDescent="0.25">
      <c r="A400">
        <v>469</v>
      </c>
      <c r="B400" t="str">
        <f t="shared" si="21"/>
        <v>Celia</v>
      </c>
      <c r="C400" t="s">
        <v>77</v>
      </c>
      <c r="D400" t="s">
        <v>1970</v>
      </c>
      <c r="E400" t="str">
        <f t="shared" si="22"/>
        <v>cbubbd0@uiuc.edu</v>
      </c>
      <c r="F400" t="s">
        <v>1971</v>
      </c>
      <c r="G400" t="s">
        <v>11</v>
      </c>
      <c r="H400" t="str">
        <f t="shared" si="23"/>
        <v>Female</v>
      </c>
      <c r="I400" t="str">
        <f>"+880"&amp;RIGHT(SUBSTITUTE(SUBSTITUTE($J400," ",""),"-",""),10)</f>
        <v>+8802545816036</v>
      </c>
      <c r="J400" t="s">
        <v>1972</v>
      </c>
      <c r="K400" t="s">
        <v>13</v>
      </c>
      <c r="L400" t="str">
        <f>_xlfn.XLOOKUP($K$3,K:K,K:K,$K$2)</f>
        <v>Bangladesh</v>
      </c>
      <c r="M400" t="s">
        <v>20</v>
      </c>
      <c r="N400" t="e" vm="2">
        <f>_xlfn.XLOOKUP($M400,$O:$O,$P:$P,"")</f>
        <v>#VALUE!</v>
      </c>
    </row>
    <row r="401" spans="1:14" x14ac:dyDescent="0.25">
      <c r="A401">
        <v>470</v>
      </c>
      <c r="B401" t="str">
        <f t="shared" si="21"/>
        <v>Jeffy</v>
      </c>
      <c r="C401" t="s">
        <v>1973</v>
      </c>
      <c r="D401" t="s">
        <v>1974</v>
      </c>
      <c r="E401" t="str">
        <f t="shared" si="22"/>
        <v>joldfieldd1@epa.gov</v>
      </c>
      <c r="F401" t="s">
        <v>1975</v>
      </c>
      <c r="G401" t="s">
        <v>18</v>
      </c>
      <c r="H401" t="str">
        <f t="shared" si="23"/>
        <v>Male</v>
      </c>
      <c r="I401" t="str">
        <f>"+880"&amp;RIGHT(SUBSTITUTE(SUBSTITUTE($J401," ",""),"-",""),10)</f>
        <v>+8802324815218</v>
      </c>
      <c r="J401" t="s">
        <v>1976</v>
      </c>
      <c r="K401" t="s">
        <v>13</v>
      </c>
      <c r="L401" t="str">
        <f>_xlfn.XLOOKUP($K$3,K:K,K:K,$K$2)</f>
        <v>Bangladesh</v>
      </c>
      <c r="M401" t="s">
        <v>31</v>
      </c>
      <c r="N401" t="e" vm="4">
        <f>_xlfn.XLOOKUP($M401,$O:$O,$P:$P,"")</f>
        <v>#VALUE!</v>
      </c>
    </row>
    <row r="402" spans="1:14" x14ac:dyDescent="0.25">
      <c r="A402">
        <v>471</v>
      </c>
      <c r="B402" t="str">
        <f t="shared" si="21"/>
        <v>Haley</v>
      </c>
      <c r="C402" t="s">
        <v>1302</v>
      </c>
      <c r="D402" t="s">
        <v>1977</v>
      </c>
      <c r="E402" t="str">
        <f t="shared" si="22"/>
        <v>hbasilld2@themeforest.net</v>
      </c>
      <c r="F402" t="s">
        <v>1978</v>
      </c>
      <c r="G402" t="s">
        <v>11</v>
      </c>
      <c r="H402" t="str">
        <f t="shared" si="23"/>
        <v>Female</v>
      </c>
      <c r="I402" t="str">
        <f>"+880"&amp;RIGHT(SUBSTITUTE(SUBSTITUTE($J402," ",""),"-",""),10)</f>
        <v>+8801772325346</v>
      </c>
      <c r="J402" t="s">
        <v>1979</v>
      </c>
      <c r="K402" t="s">
        <v>13</v>
      </c>
      <c r="L402" t="str">
        <f>_xlfn.XLOOKUP($K$3,K:K,K:K,$K$2)</f>
        <v>Bangladesh</v>
      </c>
      <c r="M402" t="s">
        <v>183</v>
      </c>
      <c r="N402" t="e" vm="28">
        <f>_xlfn.XLOOKUP($M402,$O:$O,$P:$P,"")</f>
        <v>#VALUE!</v>
      </c>
    </row>
    <row r="403" spans="1:14" x14ac:dyDescent="0.25">
      <c r="A403">
        <v>473</v>
      </c>
      <c r="B403" t="str">
        <f t="shared" si="21"/>
        <v>Correy</v>
      </c>
      <c r="C403" t="s">
        <v>1984</v>
      </c>
      <c r="D403" t="s">
        <v>1985</v>
      </c>
      <c r="E403" t="str">
        <f t="shared" si="22"/>
        <v>cvangod4@seattletimes.com</v>
      </c>
      <c r="F403" t="s">
        <v>1986</v>
      </c>
      <c r="G403" t="s">
        <v>11</v>
      </c>
      <c r="H403" t="str">
        <f t="shared" si="23"/>
        <v>Female</v>
      </c>
      <c r="I403" t="str">
        <f>"+880"&amp;RIGHT(SUBSTITUTE(SUBSTITUTE($J403," ",""),"-",""),10)</f>
        <v>+8809975668545</v>
      </c>
      <c r="J403" t="s">
        <v>1987</v>
      </c>
      <c r="K403" t="s">
        <v>13</v>
      </c>
      <c r="L403" t="str">
        <f>_xlfn.XLOOKUP($K$3,K:K,K:K,$K$2)</f>
        <v>Bangladesh</v>
      </c>
      <c r="M403" t="s">
        <v>814</v>
      </c>
      <c r="N403" t="e" vm="75">
        <f>_xlfn.XLOOKUP($M403,$O:$O,$P:$P,"")</f>
        <v>#VALUE!</v>
      </c>
    </row>
    <row r="404" spans="1:14" x14ac:dyDescent="0.25">
      <c r="A404">
        <v>474</v>
      </c>
      <c r="B404" t="str">
        <f t="shared" si="21"/>
        <v>Ilario</v>
      </c>
      <c r="C404" t="s">
        <v>1988</v>
      </c>
      <c r="D404" t="s">
        <v>1989</v>
      </c>
      <c r="E404" t="str">
        <f t="shared" si="22"/>
        <v>idomegand5@facebook.com</v>
      </c>
      <c r="F404" t="s">
        <v>1990</v>
      </c>
      <c r="G404" t="s">
        <v>18</v>
      </c>
      <c r="H404" t="str">
        <f t="shared" si="23"/>
        <v>Male</v>
      </c>
      <c r="I404" t="str">
        <f>"+880"&amp;RIGHT(SUBSTITUTE(SUBSTITUTE($J404," ",""),"-",""),10)</f>
        <v>+8803273302787</v>
      </c>
      <c r="J404" t="s">
        <v>1991</v>
      </c>
      <c r="K404" t="s">
        <v>13</v>
      </c>
      <c r="L404" t="str">
        <f>_xlfn.XLOOKUP($K$3,K:K,K:K,$K$2)</f>
        <v>Bangladesh</v>
      </c>
      <c r="M404" t="s">
        <v>71</v>
      </c>
      <c r="N404" t="e" vm="9">
        <f>_xlfn.XLOOKUP($M404,$O:$O,$P:$P,"")</f>
        <v>#VALUE!</v>
      </c>
    </row>
    <row r="405" spans="1:14" x14ac:dyDescent="0.25">
      <c r="A405">
        <v>475</v>
      </c>
      <c r="B405" t="str">
        <f t="shared" si="21"/>
        <v>Kassia</v>
      </c>
      <c r="C405" t="s">
        <v>1992</v>
      </c>
      <c r="D405" t="s">
        <v>1993</v>
      </c>
      <c r="E405" t="str">
        <f t="shared" si="22"/>
        <v>ksteedd6@thetimes.co.uk</v>
      </c>
      <c r="F405" t="s">
        <v>1994</v>
      </c>
      <c r="G405" t="s">
        <v>11</v>
      </c>
      <c r="H405" t="str">
        <f t="shared" si="23"/>
        <v>Female</v>
      </c>
      <c r="I405" t="str">
        <f>"+880"&amp;RIGHT(SUBSTITUTE(SUBSTITUTE($J405," ",""),"-",""),10)</f>
        <v>+8808868729568</v>
      </c>
      <c r="J405" t="s">
        <v>1995</v>
      </c>
      <c r="K405" t="s">
        <v>13</v>
      </c>
      <c r="L405" t="str">
        <f>_xlfn.XLOOKUP($K$3,K:K,K:K,$K$2)</f>
        <v>Bangladesh</v>
      </c>
      <c r="M405" t="s">
        <v>687</v>
      </c>
      <c r="N405" t="e" vm="69">
        <f>_xlfn.XLOOKUP($M405,$O:$O,$P:$P,"")</f>
        <v>#VALUE!</v>
      </c>
    </row>
    <row r="406" spans="1:14" x14ac:dyDescent="0.25">
      <c r="A406">
        <v>476</v>
      </c>
      <c r="B406" t="str">
        <f t="shared" si="21"/>
        <v>Chaim</v>
      </c>
      <c r="C406" t="s">
        <v>1996</v>
      </c>
      <c r="D406" t="s">
        <v>1997</v>
      </c>
      <c r="E406" t="str">
        <f t="shared" si="22"/>
        <v>ccovertd7@ca.gov</v>
      </c>
      <c r="F406" t="s">
        <v>1998</v>
      </c>
      <c r="G406" t="s">
        <v>18</v>
      </c>
      <c r="H406" t="str">
        <f t="shared" si="23"/>
        <v>Male</v>
      </c>
      <c r="I406" t="str">
        <f>"+880"&amp;RIGHT(SUBSTITUTE(SUBSTITUTE($J406," ",""),"-",""),10)</f>
        <v>+8806572731390</v>
      </c>
      <c r="J406" t="s">
        <v>1999</v>
      </c>
      <c r="K406" t="s">
        <v>13</v>
      </c>
      <c r="L406" t="str">
        <f>_xlfn.XLOOKUP($K$3,K:K,K:K,$K$2)</f>
        <v>Bangladesh</v>
      </c>
      <c r="M406" t="s">
        <v>597</v>
      </c>
      <c r="N406" t="e" vm="59">
        <f>_xlfn.XLOOKUP($M406,$O:$O,$P:$P,"")</f>
        <v>#VALUE!</v>
      </c>
    </row>
    <row r="407" spans="1:14" x14ac:dyDescent="0.25">
      <c r="A407">
        <v>477</v>
      </c>
      <c r="B407" t="str">
        <f t="shared" si="21"/>
        <v>Jameson</v>
      </c>
      <c r="C407" t="s">
        <v>2000</v>
      </c>
      <c r="D407" t="s">
        <v>2001</v>
      </c>
      <c r="E407" t="str">
        <f t="shared" si="22"/>
        <v>jsapird8@prnewswire.com</v>
      </c>
      <c r="F407" t="s">
        <v>2002</v>
      </c>
      <c r="G407" t="s">
        <v>18</v>
      </c>
      <c r="H407" t="str">
        <f t="shared" si="23"/>
        <v>Male</v>
      </c>
      <c r="I407" t="str">
        <f>"+880"&amp;RIGHT(SUBSTITUTE(SUBSTITUTE($J407," ",""),"-",""),10)</f>
        <v>+8804211403452</v>
      </c>
      <c r="J407" t="s">
        <v>2003</v>
      </c>
      <c r="K407" t="s">
        <v>13</v>
      </c>
      <c r="L407" t="str">
        <f>_xlfn.XLOOKUP($K$3,K:K,K:K,$K$2)</f>
        <v>Bangladesh</v>
      </c>
      <c r="M407" t="s">
        <v>814</v>
      </c>
      <c r="N407" t="e" vm="75">
        <f>_xlfn.XLOOKUP($M407,$O:$O,$P:$P,"")</f>
        <v>#VALUE!</v>
      </c>
    </row>
    <row r="408" spans="1:14" x14ac:dyDescent="0.25">
      <c r="A408">
        <v>479</v>
      </c>
      <c r="B408" t="str">
        <f t="shared" si="21"/>
        <v>Warden</v>
      </c>
      <c r="C408" t="s">
        <v>2007</v>
      </c>
      <c r="D408" t="s">
        <v>2008</v>
      </c>
      <c r="E408" t="str">
        <f t="shared" si="22"/>
        <v>whubatschda@timesonline.co.uk</v>
      </c>
      <c r="F408" t="s">
        <v>2009</v>
      </c>
      <c r="G408" t="s">
        <v>18</v>
      </c>
      <c r="H408" t="str">
        <f t="shared" si="23"/>
        <v>Male</v>
      </c>
      <c r="I408" t="str">
        <f>"+880"&amp;RIGHT(SUBSTITUTE(SUBSTITUTE($J408," ",""),"-",""),10)</f>
        <v>+8804883109299</v>
      </c>
      <c r="J408" t="s">
        <v>2010</v>
      </c>
      <c r="K408" t="s">
        <v>13</v>
      </c>
      <c r="L408" t="str">
        <f>_xlfn.XLOOKUP($K$3,K:K,K:K,$K$2)</f>
        <v>Bangladesh</v>
      </c>
      <c r="M408" t="s">
        <v>210</v>
      </c>
      <c r="N408" t="e" vm="31">
        <f>_xlfn.XLOOKUP($M408,$O:$O,$P:$P,"")</f>
        <v>#VALUE!</v>
      </c>
    </row>
    <row r="409" spans="1:14" x14ac:dyDescent="0.25">
      <c r="A409">
        <v>480</v>
      </c>
      <c r="B409" t="str">
        <f t="shared" si="21"/>
        <v>Hermie</v>
      </c>
      <c r="C409" t="s">
        <v>2011</v>
      </c>
      <c r="D409" t="s">
        <v>2012</v>
      </c>
      <c r="E409" t="str">
        <f t="shared" si="22"/>
        <v>hgrisewooddb@feedburner.com</v>
      </c>
      <c r="F409" t="s">
        <v>2013</v>
      </c>
      <c r="G409" t="s">
        <v>18</v>
      </c>
      <c r="H409" t="str">
        <f t="shared" si="23"/>
        <v>Male</v>
      </c>
      <c r="I409" t="str">
        <f>"+880"&amp;RIGHT(SUBSTITUTE(SUBSTITUTE($J409," ",""),"-",""),10)</f>
        <v>+8809038507619</v>
      </c>
      <c r="J409" t="s">
        <v>2014</v>
      </c>
      <c r="K409" t="s">
        <v>13</v>
      </c>
      <c r="L409" t="str">
        <f>_xlfn.XLOOKUP($K$3,K:K,K:K,$K$2)</f>
        <v>Bangladesh</v>
      </c>
      <c r="M409" t="s">
        <v>173</v>
      </c>
      <c r="N409" t="e" vm="26">
        <f>_xlfn.XLOOKUP($M409,$O:$O,$P:$P,"")</f>
        <v>#VALUE!</v>
      </c>
    </row>
    <row r="410" spans="1:14" x14ac:dyDescent="0.25">
      <c r="A410">
        <v>481</v>
      </c>
      <c r="B410" t="str">
        <f t="shared" si="21"/>
        <v>Philbert</v>
      </c>
      <c r="C410" t="s">
        <v>467</v>
      </c>
      <c r="D410" t="s">
        <v>2015</v>
      </c>
      <c r="E410" t="str">
        <f t="shared" si="22"/>
        <v>ppiggensdc@epa.gov</v>
      </c>
      <c r="F410" t="s">
        <v>2016</v>
      </c>
      <c r="G410" t="s">
        <v>18</v>
      </c>
      <c r="H410" t="str">
        <f t="shared" si="23"/>
        <v>Male</v>
      </c>
      <c r="I410" t="str">
        <f>"+880"&amp;RIGHT(SUBSTITUTE(SUBSTITUTE($J410," ",""),"-",""),10)</f>
        <v>+8806846414126</v>
      </c>
      <c r="J410" t="s">
        <v>2017</v>
      </c>
      <c r="K410" t="s">
        <v>4035</v>
      </c>
      <c r="L410" t="str">
        <f>_xlfn.XLOOKUP($K$3,K:K,K:K,$K$2)</f>
        <v>Bangladesh</v>
      </c>
      <c r="M410" t="s">
        <v>101</v>
      </c>
      <c r="N410" t="e" vm="15">
        <f>_xlfn.XLOOKUP($M410,$O:$O,$P:$P,"")</f>
        <v>#VALUE!</v>
      </c>
    </row>
    <row r="411" spans="1:14" x14ac:dyDescent="0.25">
      <c r="A411">
        <v>482</v>
      </c>
      <c r="B411" t="str">
        <f t="shared" si="21"/>
        <v>Brianna</v>
      </c>
      <c r="C411" t="s">
        <v>2018</v>
      </c>
      <c r="D411" t="s">
        <v>2019</v>
      </c>
      <c r="E411" t="str">
        <f t="shared" si="22"/>
        <v>bcompstondd@aol.com</v>
      </c>
      <c r="F411" t="s">
        <v>2020</v>
      </c>
      <c r="G411" t="s">
        <v>11</v>
      </c>
      <c r="H411" t="str">
        <f t="shared" si="23"/>
        <v>Female</v>
      </c>
      <c r="I411" t="str">
        <f>"+880"&amp;RIGHT(SUBSTITUTE(SUBSTITUTE($J411," ",""),"-",""),10)</f>
        <v>+8809715660172</v>
      </c>
      <c r="J411" t="s">
        <v>2021</v>
      </c>
      <c r="K411" t="s">
        <v>13</v>
      </c>
      <c r="L411" t="str">
        <f>_xlfn.XLOOKUP($K$3,K:K,K:K,$K$2)</f>
        <v>Bangladesh</v>
      </c>
      <c r="M411" t="s">
        <v>1017</v>
      </c>
      <c r="N411" t="e" vm="80">
        <f>_xlfn.XLOOKUP($M411,$O:$O,$P:$P,"")</f>
        <v>#VALUE!</v>
      </c>
    </row>
    <row r="412" spans="1:14" x14ac:dyDescent="0.25">
      <c r="A412">
        <v>483</v>
      </c>
      <c r="B412" t="str">
        <f t="shared" si="21"/>
        <v>Davon</v>
      </c>
      <c r="C412" t="s">
        <v>2022</v>
      </c>
      <c r="D412" t="s">
        <v>2023</v>
      </c>
      <c r="E412" t="str">
        <f t="shared" si="22"/>
        <v>dmanuaudde@naver.com</v>
      </c>
      <c r="F412" t="s">
        <v>2024</v>
      </c>
      <c r="G412" t="s">
        <v>18</v>
      </c>
      <c r="H412" t="str">
        <f t="shared" si="23"/>
        <v>Male</v>
      </c>
      <c r="I412" t="str">
        <f>"+880"&amp;RIGHT(SUBSTITUTE(SUBSTITUTE($J412," ",""),"-",""),10)</f>
        <v>+8804798044741</v>
      </c>
      <c r="J412" t="s">
        <v>2025</v>
      </c>
      <c r="K412" t="s">
        <v>13</v>
      </c>
      <c r="L412" t="str">
        <f>_xlfn.XLOOKUP($K$3,K:K,K:K,$K$2)</f>
        <v>Bangladesh</v>
      </c>
      <c r="M412" t="s">
        <v>641</v>
      </c>
      <c r="N412" t="e" vm="63">
        <f>_xlfn.XLOOKUP($M412,$O:$O,$P:$P,"")</f>
        <v>#VALUE!</v>
      </c>
    </row>
    <row r="413" spans="1:14" x14ac:dyDescent="0.25">
      <c r="A413">
        <v>484</v>
      </c>
      <c r="B413" t="str">
        <f t="shared" si="21"/>
        <v>Janna</v>
      </c>
      <c r="C413" t="s">
        <v>2026</v>
      </c>
      <c r="D413" t="s">
        <v>2027</v>
      </c>
      <c r="E413" t="str">
        <f t="shared" si="22"/>
        <v>jjoseydf@dagondesign.com</v>
      </c>
      <c r="F413" t="s">
        <v>2028</v>
      </c>
      <c r="G413" t="s">
        <v>11</v>
      </c>
      <c r="H413" t="str">
        <f t="shared" si="23"/>
        <v>Female</v>
      </c>
      <c r="I413" t="str">
        <f>"+880"&amp;RIGHT(SUBSTITUTE(SUBSTITUTE($J413," ",""),"-",""),10)</f>
        <v>+8805206516919</v>
      </c>
      <c r="J413" t="s">
        <v>2029</v>
      </c>
      <c r="K413" t="s">
        <v>13</v>
      </c>
      <c r="L413" t="str">
        <f>_xlfn.XLOOKUP($K$3,K:K,K:K,$K$2)</f>
        <v>Bangladesh</v>
      </c>
      <c r="M413" t="s">
        <v>404</v>
      </c>
      <c r="N413" t="e" vm="50">
        <f>_xlfn.XLOOKUP($M413,$O:$O,$P:$P,"")</f>
        <v>#VALUE!</v>
      </c>
    </row>
    <row r="414" spans="1:14" x14ac:dyDescent="0.25">
      <c r="A414">
        <v>485</v>
      </c>
      <c r="B414" t="str">
        <f t="shared" si="21"/>
        <v>Leonard</v>
      </c>
      <c r="C414" t="s">
        <v>2030</v>
      </c>
      <c r="D414" t="s">
        <v>2031</v>
      </c>
      <c r="E414" t="str">
        <f t="shared" si="22"/>
        <v>lissacsondg@mapy.cz</v>
      </c>
      <c r="F414" t="s">
        <v>2032</v>
      </c>
      <c r="G414" t="s">
        <v>18</v>
      </c>
      <c r="H414" t="str">
        <f t="shared" si="23"/>
        <v>Male</v>
      </c>
      <c r="I414" t="str">
        <f>"+880"&amp;RIGHT(SUBSTITUTE(SUBSTITUTE($J414," ",""),"-",""),10)</f>
        <v>+8802643167743</v>
      </c>
      <c r="J414" t="s">
        <v>2033</v>
      </c>
      <c r="K414" t="s">
        <v>13</v>
      </c>
      <c r="L414" t="str">
        <f>_xlfn.XLOOKUP($K$3,K:K,K:K,$K$2)</f>
        <v>Bangladesh</v>
      </c>
      <c r="M414" t="s">
        <v>549</v>
      </c>
      <c r="N414" t="e" vm="78">
        <f>_xlfn.XLOOKUP($M414,$O:$O,$P:$P,"")</f>
        <v>#VALUE!</v>
      </c>
    </row>
    <row r="415" spans="1:14" x14ac:dyDescent="0.25">
      <c r="A415">
        <v>486</v>
      </c>
      <c r="B415" t="str">
        <f t="shared" si="21"/>
        <v>Lewes</v>
      </c>
      <c r="C415" t="s">
        <v>2034</v>
      </c>
      <c r="D415" t="s">
        <v>2035</v>
      </c>
      <c r="E415" t="str">
        <f t="shared" si="22"/>
        <v>ljedrzejewiczdh@hostgator.com</v>
      </c>
      <c r="F415" t="s">
        <v>2036</v>
      </c>
      <c r="G415" t="s">
        <v>18</v>
      </c>
      <c r="H415" t="str">
        <f t="shared" si="23"/>
        <v>Male</v>
      </c>
      <c r="I415" t="str">
        <f>"+880"&amp;RIGHT(SUBSTITUTE(SUBSTITUTE($J415," ",""),"-",""),10)</f>
        <v>+8807042244025</v>
      </c>
      <c r="J415" t="s">
        <v>2037</v>
      </c>
      <c r="K415" t="s">
        <v>13</v>
      </c>
      <c r="L415" t="str">
        <f>_xlfn.XLOOKUP($K$3,K:K,K:K,$K$2)</f>
        <v>Bangladesh</v>
      </c>
      <c r="M415" t="s">
        <v>360</v>
      </c>
      <c r="N415" t="e" vm="56">
        <f>_xlfn.XLOOKUP($M415,$O:$O,$P:$P,"")</f>
        <v>#VALUE!</v>
      </c>
    </row>
    <row r="416" spans="1:14" x14ac:dyDescent="0.25">
      <c r="A416">
        <v>488</v>
      </c>
      <c r="B416" t="str">
        <f t="shared" si="21"/>
        <v>Leland</v>
      </c>
      <c r="C416" t="s">
        <v>2042</v>
      </c>
      <c r="D416" t="s">
        <v>2043</v>
      </c>
      <c r="E416" t="str">
        <f t="shared" si="22"/>
        <v>lpereldj@oracle.com</v>
      </c>
      <c r="F416" t="s">
        <v>2044</v>
      </c>
      <c r="G416" t="s">
        <v>11</v>
      </c>
      <c r="H416" t="str">
        <f t="shared" si="23"/>
        <v>Female</v>
      </c>
      <c r="I416" t="str">
        <f>"+880"&amp;RIGHT(SUBSTITUTE(SUBSTITUTE($J416," ",""),"-",""),10)</f>
        <v>+8803132971610</v>
      </c>
      <c r="J416" t="s">
        <v>2045</v>
      </c>
      <c r="K416" t="s">
        <v>13</v>
      </c>
      <c r="L416" t="str">
        <f>_xlfn.XLOOKUP($K$3,K:K,K:K,$K$2)</f>
        <v>Bangladesh</v>
      </c>
      <c r="M416" t="s">
        <v>602</v>
      </c>
      <c r="N416" t="e" vm="60">
        <f>_xlfn.XLOOKUP($M416,$O:$O,$P:$P,"")</f>
        <v>#VALUE!</v>
      </c>
    </row>
    <row r="417" spans="1:14" x14ac:dyDescent="0.25">
      <c r="A417">
        <v>489</v>
      </c>
      <c r="B417" t="str">
        <f t="shared" si="21"/>
        <v>Aluin</v>
      </c>
      <c r="C417" t="s">
        <v>2046</v>
      </c>
      <c r="D417" t="s">
        <v>2047</v>
      </c>
      <c r="E417" t="str">
        <f t="shared" si="22"/>
        <v>ascaladk@noaa.gov</v>
      </c>
      <c r="F417" t="s">
        <v>2048</v>
      </c>
      <c r="G417" t="s">
        <v>18</v>
      </c>
      <c r="H417" t="str">
        <f t="shared" si="23"/>
        <v>Male</v>
      </c>
      <c r="I417" t="str">
        <f>"+880"&amp;RIGHT(SUBSTITUTE(SUBSTITUTE($J417," ",""),"-",""),10)</f>
        <v>+8803342857920</v>
      </c>
      <c r="J417" t="s">
        <v>2049</v>
      </c>
      <c r="K417" t="s">
        <v>13</v>
      </c>
      <c r="L417" t="str">
        <f>_xlfn.XLOOKUP($K$3,K:K,K:K,$K$2)</f>
        <v>Bangladesh</v>
      </c>
      <c r="M417" t="s">
        <v>135</v>
      </c>
      <c r="N417" t="e" vm="20">
        <f>_xlfn.XLOOKUP($M417,$O:$O,$P:$P,"")</f>
        <v>#VALUE!</v>
      </c>
    </row>
    <row r="418" spans="1:14" x14ac:dyDescent="0.25">
      <c r="A418">
        <v>490</v>
      </c>
      <c r="B418" t="str">
        <f t="shared" si="21"/>
        <v>Ransom</v>
      </c>
      <c r="C418" t="s">
        <v>2050</v>
      </c>
      <c r="D418" t="s">
        <v>2051</v>
      </c>
      <c r="E418" t="str">
        <f t="shared" si="22"/>
        <v>rwincottdl@newyorker.com</v>
      </c>
      <c r="F418" t="s">
        <v>2052</v>
      </c>
      <c r="G418" t="s">
        <v>18</v>
      </c>
      <c r="H418" t="str">
        <f t="shared" si="23"/>
        <v>Male</v>
      </c>
      <c r="I418" t="str">
        <f>"+880"&amp;RIGHT(SUBSTITUTE(SUBSTITUTE($J418," ",""),"-",""),10)</f>
        <v>+8809624845063</v>
      </c>
      <c r="J418" t="s">
        <v>2053</v>
      </c>
      <c r="K418" t="s">
        <v>13</v>
      </c>
      <c r="L418" t="str">
        <f>_xlfn.XLOOKUP($K$3,K:K,K:K,$K$2)</f>
        <v>Bangladesh</v>
      </c>
      <c r="M418" t="s">
        <v>178</v>
      </c>
      <c r="N418" t="e" vm="27">
        <f>_xlfn.XLOOKUP($M418,$O:$O,$P:$P,"")</f>
        <v>#VALUE!</v>
      </c>
    </row>
    <row r="419" spans="1:14" x14ac:dyDescent="0.25">
      <c r="A419">
        <v>491</v>
      </c>
      <c r="B419" t="str">
        <f t="shared" si="21"/>
        <v>Rance</v>
      </c>
      <c r="C419" t="s">
        <v>2054</v>
      </c>
      <c r="D419" t="s">
        <v>2055</v>
      </c>
      <c r="E419" t="str">
        <f t="shared" si="22"/>
        <v>rrainforddm@theglobeandmail.com</v>
      </c>
      <c r="F419" t="s">
        <v>2056</v>
      </c>
      <c r="G419" t="s">
        <v>18</v>
      </c>
      <c r="H419" t="str">
        <f t="shared" si="23"/>
        <v>Male</v>
      </c>
      <c r="I419" t="str">
        <f>"+880"&amp;RIGHT(SUBSTITUTE(SUBSTITUTE($J419," ",""),"-",""),10)</f>
        <v>+8808996551361</v>
      </c>
      <c r="J419" t="s">
        <v>2057</v>
      </c>
      <c r="K419" t="s">
        <v>13</v>
      </c>
      <c r="L419" t="str">
        <f>_xlfn.XLOOKUP($K$3,K:K,K:K,$K$2)</f>
        <v>Bangladesh</v>
      </c>
      <c r="M419" t="s">
        <v>149</v>
      </c>
      <c r="N419" t="e" vm="22">
        <f>_xlfn.XLOOKUP($M419,$O:$O,$P:$P,"")</f>
        <v>#VALUE!</v>
      </c>
    </row>
    <row r="420" spans="1:14" x14ac:dyDescent="0.25">
      <c r="A420">
        <v>492</v>
      </c>
      <c r="B420" t="str">
        <f t="shared" si="21"/>
        <v>Micky</v>
      </c>
      <c r="C420" t="s">
        <v>2058</v>
      </c>
      <c r="D420" t="s">
        <v>2059</v>
      </c>
      <c r="E420" t="str">
        <f t="shared" si="22"/>
        <v>mbillinghamdn@bbb.org</v>
      </c>
      <c r="F420" t="s">
        <v>2060</v>
      </c>
      <c r="G420" t="s">
        <v>11</v>
      </c>
      <c r="H420" t="str">
        <f t="shared" si="23"/>
        <v>Female</v>
      </c>
      <c r="I420" t="str">
        <f>"+880"&amp;RIGHT(SUBSTITUTE(SUBSTITUTE($J420," ",""),"-",""),10)</f>
        <v>+8805136639137</v>
      </c>
      <c r="J420" t="s">
        <v>2061</v>
      </c>
      <c r="K420" t="s">
        <v>13</v>
      </c>
      <c r="L420" t="str">
        <f>_xlfn.XLOOKUP($K$3,K:K,K:K,$K$2)</f>
        <v>Bangladesh</v>
      </c>
      <c r="M420" t="s">
        <v>230</v>
      </c>
      <c r="N420" t="e" vm="34">
        <f>_xlfn.XLOOKUP($M420,$O:$O,$P:$P,"")</f>
        <v>#VALUE!</v>
      </c>
    </row>
    <row r="421" spans="1:14" x14ac:dyDescent="0.25">
      <c r="A421">
        <v>494</v>
      </c>
      <c r="B421" t="str">
        <f t="shared" si="21"/>
        <v>Powell</v>
      </c>
      <c r="C421" t="s">
        <v>2066</v>
      </c>
      <c r="D421" t="s">
        <v>2067</v>
      </c>
      <c r="E421" t="str">
        <f t="shared" si="22"/>
        <v>plehondp@amazonaws.com</v>
      </c>
      <c r="F421" t="s">
        <v>2068</v>
      </c>
      <c r="G421" t="s">
        <v>18</v>
      </c>
      <c r="H421" t="str">
        <f t="shared" si="23"/>
        <v>Male</v>
      </c>
      <c r="I421" t="str">
        <f>"+880"&amp;RIGHT(SUBSTITUTE(SUBSTITUTE($J421," ",""),"-",""),10)</f>
        <v>+8803801013492</v>
      </c>
      <c r="J421" t="s">
        <v>2069</v>
      </c>
      <c r="K421" t="s">
        <v>13</v>
      </c>
      <c r="L421" t="str">
        <f>_xlfn.XLOOKUP($K$3,K:K,K:K,$K$2)</f>
        <v>Bangladesh</v>
      </c>
      <c r="M421" t="s">
        <v>308</v>
      </c>
      <c r="N421" t="e" vm="42">
        <f>_xlfn.XLOOKUP($M421,$O:$O,$P:$P,"")</f>
        <v>#VALUE!</v>
      </c>
    </row>
    <row r="422" spans="1:14" x14ac:dyDescent="0.25">
      <c r="A422">
        <v>495</v>
      </c>
      <c r="B422" t="str">
        <f t="shared" si="21"/>
        <v>Glennis</v>
      </c>
      <c r="C422" t="s">
        <v>2070</v>
      </c>
      <c r="D422" t="s">
        <v>2071</v>
      </c>
      <c r="E422" t="str">
        <f t="shared" si="22"/>
        <v>ggreigdq@zdnet.com</v>
      </c>
      <c r="F422" t="s">
        <v>2072</v>
      </c>
      <c r="G422" t="s">
        <v>280</v>
      </c>
      <c r="H422" t="str">
        <f t="shared" si="23"/>
        <v>Other</v>
      </c>
      <c r="I422" t="str">
        <f>"+880"&amp;RIGHT(SUBSTITUTE(SUBSTITUTE($J422," ",""),"-",""),10)</f>
        <v>+8807199545448</v>
      </c>
      <c r="J422" t="s">
        <v>2073</v>
      </c>
      <c r="K422" t="s">
        <v>13</v>
      </c>
      <c r="L422" t="str">
        <f>_xlfn.XLOOKUP($K$3,K:K,K:K,$K$2)</f>
        <v>Bangladesh</v>
      </c>
      <c r="M422" t="s">
        <v>322</v>
      </c>
      <c r="N422" t="e" vm="44">
        <f>_xlfn.XLOOKUP($M422,$O:$O,$P:$P,"")</f>
        <v>#VALUE!</v>
      </c>
    </row>
    <row r="423" spans="1:14" x14ac:dyDescent="0.25">
      <c r="A423">
        <v>496</v>
      </c>
      <c r="B423" t="str">
        <f t="shared" si="21"/>
        <v>Care</v>
      </c>
      <c r="C423" t="s">
        <v>2074</v>
      </c>
      <c r="D423" t="s">
        <v>2075</v>
      </c>
      <c r="E423" t="str">
        <f t="shared" si="22"/>
        <v>cdurraddr@imageshack.us</v>
      </c>
      <c r="F423" t="s">
        <v>2076</v>
      </c>
      <c r="G423" t="s">
        <v>18</v>
      </c>
      <c r="H423" t="str">
        <f t="shared" si="23"/>
        <v>Male</v>
      </c>
      <c r="I423" t="str">
        <f>"+880"&amp;RIGHT(SUBSTITUTE(SUBSTITUTE($J423," ",""),"-",""),10)</f>
        <v>+8805374253604</v>
      </c>
      <c r="J423" t="s">
        <v>2077</v>
      </c>
      <c r="K423" t="s">
        <v>13</v>
      </c>
      <c r="L423" t="str">
        <f>_xlfn.XLOOKUP($K$3,K:K,K:K,$K$2)</f>
        <v>Bangladesh</v>
      </c>
      <c r="M423" t="s">
        <v>20</v>
      </c>
      <c r="N423" t="e" vm="2">
        <f>_xlfn.XLOOKUP($M423,$O:$O,$P:$P,"")</f>
        <v>#VALUE!</v>
      </c>
    </row>
    <row r="424" spans="1:14" x14ac:dyDescent="0.25">
      <c r="A424">
        <v>497</v>
      </c>
      <c r="B424" t="str">
        <f t="shared" si="21"/>
        <v>Madelyn</v>
      </c>
      <c r="C424" t="s">
        <v>2078</v>
      </c>
      <c r="D424" t="s">
        <v>2079</v>
      </c>
      <c r="E424" t="str">
        <f t="shared" si="22"/>
        <v>mvandalends@fema.gov</v>
      </c>
      <c r="F424" t="s">
        <v>2080</v>
      </c>
      <c r="G424" t="s">
        <v>11</v>
      </c>
      <c r="H424" t="str">
        <f t="shared" si="23"/>
        <v>Female</v>
      </c>
      <c r="I424" t="str">
        <f>"+880"&amp;RIGHT(SUBSTITUTE(SUBSTITUTE($J424," ",""),"-",""),10)</f>
        <v>+8809367695066</v>
      </c>
      <c r="J424" t="s">
        <v>2081</v>
      </c>
      <c r="K424" t="s">
        <v>13</v>
      </c>
      <c r="L424" t="str">
        <f>_xlfn.XLOOKUP($K$3,K:K,K:K,$K$2)</f>
        <v>Bangladesh</v>
      </c>
      <c r="M424" t="s">
        <v>1187</v>
      </c>
      <c r="N424" t="e" vm="82">
        <f>_xlfn.XLOOKUP($M424,$O:$O,$P:$P,"")</f>
        <v>#VALUE!</v>
      </c>
    </row>
    <row r="425" spans="1:14" x14ac:dyDescent="0.25">
      <c r="A425">
        <v>501</v>
      </c>
      <c r="B425" t="str">
        <f t="shared" si="21"/>
        <v>Katha</v>
      </c>
      <c r="C425" t="s">
        <v>1626</v>
      </c>
      <c r="D425" t="s">
        <v>2094</v>
      </c>
      <c r="E425" t="str">
        <f t="shared" si="22"/>
        <v>kbresmandw@creativecommons.org</v>
      </c>
      <c r="F425" t="s">
        <v>2095</v>
      </c>
      <c r="G425" t="s">
        <v>11</v>
      </c>
      <c r="H425" t="str">
        <f t="shared" si="23"/>
        <v>Female</v>
      </c>
      <c r="I425" t="str">
        <f>"+880"&amp;RIGHT(SUBSTITUTE(SUBSTITUTE($J425," ",""),"-",""),10)</f>
        <v>+8803669103661</v>
      </c>
      <c r="J425" t="s">
        <v>2096</v>
      </c>
      <c r="K425" t="s">
        <v>13</v>
      </c>
      <c r="L425" t="str">
        <f>_xlfn.XLOOKUP($K$3,K:K,K:K,$K$2)</f>
        <v>Bangladesh</v>
      </c>
      <c r="M425" t="s">
        <v>14</v>
      </c>
      <c r="N425" t="e" vm="1">
        <f>_xlfn.XLOOKUP($M425,$O:$O,$P:$P,"")</f>
        <v>#VALUE!</v>
      </c>
    </row>
    <row r="426" spans="1:14" x14ac:dyDescent="0.25">
      <c r="A426">
        <v>502</v>
      </c>
      <c r="B426" t="str">
        <f t="shared" si="21"/>
        <v>Ulick</v>
      </c>
      <c r="C426" t="s">
        <v>2097</v>
      </c>
      <c r="D426" t="s">
        <v>2098</v>
      </c>
      <c r="E426" t="str">
        <f t="shared" si="22"/>
        <v>ujerromdx@globo.com</v>
      </c>
      <c r="F426" t="s">
        <v>2099</v>
      </c>
      <c r="G426" t="s">
        <v>18</v>
      </c>
      <c r="H426" t="str">
        <f t="shared" si="23"/>
        <v>Male</v>
      </c>
      <c r="I426" t="str">
        <f>"+880"&amp;RIGHT(SUBSTITUTE(SUBSTITUTE($J426," ",""),"-",""),10)</f>
        <v>+8808905490758</v>
      </c>
      <c r="J426" t="s">
        <v>2100</v>
      </c>
      <c r="K426" t="s">
        <v>13</v>
      </c>
      <c r="L426" t="str">
        <f>_xlfn.XLOOKUP($K$3,K:K,K:K,$K$2)</f>
        <v>Bangladesh</v>
      </c>
      <c r="M426" t="s">
        <v>135</v>
      </c>
      <c r="N426" t="e" vm="20">
        <f>_xlfn.XLOOKUP($M426,$O:$O,$P:$P,"")</f>
        <v>#VALUE!</v>
      </c>
    </row>
    <row r="427" spans="1:14" x14ac:dyDescent="0.25">
      <c r="A427">
        <v>503</v>
      </c>
      <c r="B427" t="str">
        <f t="shared" si="21"/>
        <v>Zachery</v>
      </c>
      <c r="C427" t="s">
        <v>2101</v>
      </c>
      <c r="D427" t="s">
        <v>2102</v>
      </c>
      <c r="E427" t="str">
        <f t="shared" si="22"/>
        <v>zrugglesdy@imdb.com</v>
      </c>
      <c r="F427" t="s">
        <v>2103</v>
      </c>
      <c r="G427" t="s">
        <v>18</v>
      </c>
      <c r="H427" t="str">
        <f t="shared" si="23"/>
        <v>Male</v>
      </c>
      <c r="I427" t="str">
        <f>"+880"&amp;RIGHT(SUBSTITUTE(SUBSTITUTE($J427," ",""),"-",""),10)</f>
        <v>+8802815651421</v>
      </c>
      <c r="J427" t="s">
        <v>2104</v>
      </c>
      <c r="K427" t="s">
        <v>13</v>
      </c>
      <c r="L427" t="str">
        <f>_xlfn.XLOOKUP($K$3,K:K,K:K,$K$2)</f>
        <v>Bangladesh</v>
      </c>
      <c r="M427" t="s">
        <v>71</v>
      </c>
      <c r="N427" t="e" vm="9">
        <f>_xlfn.XLOOKUP($M427,$O:$O,$P:$P,"")</f>
        <v>#VALUE!</v>
      </c>
    </row>
    <row r="428" spans="1:14" x14ac:dyDescent="0.25">
      <c r="A428">
        <v>504</v>
      </c>
      <c r="B428" t="str">
        <f t="shared" si="21"/>
        <v>Frasco</v>
      </c>
      <c r="C428" t="s">
        <v>2105</v>
      </c>
      <c r="D428" t="s">
        <v>2106</v>
      </c>
      <c r="E428" t="str">
        <f t="shared" si="22"/>
        <v>fmoehlerdz@mlb.com</v>
      </c>
      <c r="F428" t="s">
        <v>2107</v>
      </c>
      <c r="G428" t="s">
        <v>18</v>
      </c>
      <c r="H428" t="str">
        <f t="shared" si="23"/>
        <v>Male</v>
      </c>
      <c r="I428" t="str">
        <f>"+880"&amp;RIGHT(SUBSTITUTE(SUBSTITUTE($J428," ",""),"-",""),10)</f>
        <v>+8804003386764</v>
      </c>
      <c r="J428" t="s">
        <v>2108</v>
      </c>
      <c r="K428" t="s">
        <v>13</v>
      </c>
      <c r="L428" t="str">
        <f>_xlfn.XLOOKUP($K$3,K:K,K:K,$K$2)</f>
        <v>Bangladesh</v>
      </c>
      <c r="M428" t="s">
        <v>125</v>
      </c>
      <c r="N428" t="e" vm="18">
        <f>_xlfn.XLOOKUP($M428,$O:$O,$P:$P,"")</f>
        <v>#VALUE!</v>
      </c>
    </row>
    <row r="429" spans="1:14" x14ac:dyDescent="0.25">
      <c r="A429">
        <v>505</v>
      </c>
      <c r="B429" t="str">
        <f t="shared" si="21"/>
        <v>Sondra</v>
      </c>
      <c r="C429" t="s">
        <v>2109</v>
      </c>
      <c r="D429" t="s">
        <v>2110</v>
      </c>
      <c r="E429" t="str">
        <f t="shared" si="22"/>
        <v>scauliere0@dailymotion.com</v>
      </c>
      <c r="F429" t="s">
        <v>2111</v>
      </c>
      <c r="G429" t="s">
        <v>11</v>
      </c>
      <c r="H429" t="str">
        <f t="shared" si="23"/>
        <v>Female</v>
      </c>
      <c r="I429" t="str">
        <f>"+880"&amp;RIGHT(SUBSTITUTE(SUBSTITUTE($J429," ",""),"-",""),10)</f>
        <v>+8802253491462</v>
      </c>
      <c r="J429" t="s">
        <v>2112</v>
      </c>
      <c r="K429" t="s">
        <v>13</v>
      </c>
      <c r="L429" t="str">
        <f>_xlfn.XLOOKUP($K$3,K:K,K:K,$K$2)</f>
        <v>Bangladesh</v>
      </c>
      <c r="M429" t="s">
        <v>779</v>
      </c>
      <c r="N429" t="e" vm="72">
        <f>_xlfn.XLOOKUP($M429,$O:$O,$P:$P,"")</f>
        <v>#VALUE!</v>
      </c>
    </row>
    <row r="430" spans="1:14" x14ac:dyDescent="0.25">
      <c r="A430">
        <v>506</v>
      </c>
      <c r="B430" t="str">
        <f t="shared" si="21"/>
        <v>Read</v>
      </c>
      <c r="C430" t="s">
        <v>2113</v>
      </c>
      <c r="D430" t="s">
        <v>2114</v>
      </c>
      <c r="E430" t="str">
        <f t="shared" si="22"/>
        <v>rgatrille1@boston.com</v>
      </c>
      <c r="F430" t="s">
        <v>2115</v>
      </c>
      <c r="G430" t="s">
        <v>18</v>
      </c>
      <c r="H430" t="str">
        <f t="shared" si="23"/>
        <v>Male</v>
      </c>
      <c r="I430" t="str">
        <f>"+880"&amp;RIGHT(SUBSTITUTE(SUBSTITUTE($J430," ",""),"-",""),10)</f>
        <v>+8803887592063</v>
      </c>
      <c r="J430" t="s">
        <v>2116</v>
      </c>
      <c r="K430" t="s">
        <v>13</v>
      </c>
      <c r="L430" t="str">
        <f>_xlfn.XLOOKUP($K$3,K:K,K:K,$K$2)</f>
        <v>Bangladesh</v>
      </c>
      <c r="M430" t="s">
        <v>687</v>
      </c>
      <c r="N430" t="e" vm="69">
        <f>_xlfn.XLOOKUP($M430,$O:$O,$P:$P,"")</f>
        <v>#VALUE!</v>
      </c>
    </row>
    <row r="431" spans="1:14" x14ac:dyDescent="0.25">
      <c r="A431">
        <v>507</v>
      </c>
      <c r="B431" t="str">
        <f t="shared" si="21"/>
        <v>Evangelina</v>
      </c>
      <c r="C431" t="s">
        <v>2117</v>
      </c>
      <c r="D431" t="s">
        <v>2118</v>
      </c>
      <c r="E431" t="str">
        <f t="shared" si="22"/>
        <v>ecamamille2@xrea.com</v>
      </c>
      <c r="F431" t="s">
        <v>2119</v>
      </c>
      <c r="G431" t="s">
        <v>274</v>
      </c>
      <c r="H431" t="str">
        <f t="shared" si="23"/>
        <v>Other</v>
      </c>
      <c r="I431" t="str">
        <f>"+880"&amp;RIGHT(SUBSTITUTE(SUBSTITUTE($J431," ",""),"-",""),10)</f>
        <v>+8806034527247</v>
      </c>
      <c r="J431" t="s">
        <v>2120</v>
      </c>
      <c r="K431" t="s">
        <v>13</v>
      </c>
      <c r="L431" t="str">
        <f>_xlfn.XLOOKUP($K$3,K:K,K:K,$K$2)</f>
        <v>Bangladesh</v>
      </c>
      <c r="M431" t="s">
        <v>673</v>
      </c>
      <c r="N431" t="e" vm="68">
        <f>_xlfn.XLOOKUP($M431,$O:$O,$P:$P,"")</f>
        <v>#VALUE!</v>
      </c>
    </row>
    <row r="432" spans="1:14" x14ac:dyDescent="0.25">
      <c r="A432">
        <v>508</v>
      </c>
      <c r="B432" t="str">
        <f t="shared" si="21"/>
        <v>Cherianne</v>
      </c>
      <c r="C432" t="s">
        <v>2121</v>
      </c>
      <c r="D432" t="s">
        <v>2122</v>
      </c>
      <c r="E432" t="str">
        <f t="shared" si="22"/>
        <v>cduriee3@privacy.gov.au</v>
      </c>
      <c r="F432" t="s">
        <v>2123</v>
      </c>
      <c r="G432" t="s">
        <v>274</v>
      </c>
      <c r="H432" t="str">
        <f t="shared" si="23"/>
        <v>Other</v>
      </c>
      <c r="I432" t="str">
        <f>"+880"&amp;RIGHT(SUBSTITUTE(SUBSTITUTE($J432," ",""),"-",""),10)</f>
        <v>+8804908537568</v>
      </c>
      <c r="J432" t="s">
        <v>2124</v>
      </c>
      <c r="K432" t="s">
        <v>13</v>
      </c>
      <c r="L432" t="str">
        <f>_xlfn.XLOOKUP($K$3,K:K,K:K,$K$2)</f>
        <v>Bangladesh</v>
      </c>
      <c r="M432" t="s">
        <v>135</v>
      </c>
      <c r="N432" t="e" vm="20">
        <f>_xlfn.XLOOKUP($M432,$O:$O,$P:$P,"")</f>
        <v>#VALUE!</v>
      </c>
    </row>
    <row r="433" spans="1:14" x14ac:dyDescent="0.25">
      <c r="A433">
        <v>509</v>
      </c>
      <c r="B433" t="str">
        <f t="shared" si="21"/>
        <v>Amalie</v>
      </c>
      <c r="C433" t="s">
        <v>2125</v>
      </c>
      <c r="D433" t="s">
        <v>2126</v>
      </c>
      <c r="E433" t="str">
        <f t="shared" si="22"/>
        <v>aaldrine4@dagondesign.com</v>
      </c>
      <c r="F433" t="s">
        <v>2127</v>
      </c>
      <c r="G433" t="s">
        <v>358</v>
      </c>
      <c r="H433" t="str">
        <f t="shared" si="23"/>
        <v>Other</v>
      </c>
      <c r="I433" t="str">
        <f>"+880"&amp;RIGHT(SUBSTITUTE(SUBSTITUTE($J433," ",""),"-",""),10)</f>
        <v>+8802896548972</v>
      </c>
      <c r="J433" t="s">
        <v>2128</v>
      </c>
      <c r="K433" t="s">
        <v>13</v>
      </c>
      <c r="L433" t="str">
        <f>_xlfn.XLOOKUP($K$3,K:K,K:K,$K$2)</f>
        <v>Bangladesh</v>
      </c>
      <c r="M433" t="s">
        <v>215</v>
      </c>
      <c r="N433" t="e" vm="32">
        <f>_xlfn.XLOOKUP($M433,$O:$O,$P:$P,"")</f>
        <v>#VALUE!</v>
      </c>
    </row>
    <row r="434" spans="1:14" x14ac:dyDescent="0.25">
      <c r="A434">
        <v>510</v>
      </c>
      <c r="B434" t="str">
        <f t="shared" si="21"/>
        <v>Ali</v>
      </c>
      <c r="C434" t="s">
        <v>2129</v>
      </c>
      <c r="D434" t="s">
        <v>2130</v>
      </c>
      <c r="E434" t="str">
        <f t="shared" si="22"/>
        <v>abiscombe5@github.com</v>
      </c>
      <c r="F434" t="s">
        <v>2131</v>
      </c>
      <c r="G434" t="s">
        <v>18</v>
      </c>
      <c r="H434" t="str">
        <f t="shared" si="23"/>
        <v>Male</v>
      </c>
      <c r="I434" t="str">
        <f>"+880"&amp;RIGHT(SUBSTITUTE(SUBSTITUTE($J434," ",""),"-",""),10)</f>
        <v>+8802247074512</v>
      </c>
      <c r="J434" t="s">
        <v>2132</v>
      </c>
      <c r="K434" t="s">
        <v>13</v>
      </c>
      <c r="L434" t="str">
        <f>_xlfn.XLOOKUP($K$3,K:K,K:K,$K$2)</f>
        <v>Bangladesh</v>
      </c>
      <c r="M434" t="s">
        <v>399</v>
      </c>
      <c r="N434" t="str">
        <f>_xlfn.XLOOKUP($M434,$O:$O,$P:$P,"")</f>
        <v>Jhingergacha</v>
      </c>
    </row>
    <row r="435" spans="1:14" x14ac:dyDescent="0.25">
      <c r="A435">
        <v>511</v>
      </c>
      <c r="B435" t="str">
        <f t="shared" si="21"/>
        <v>Anton</v>
      </c>
      <c r="C435" t="s">
        <v>2133</v>
      </c>
      <c r="D435" t="s">
        <v>2134</v>
      </c>
      <c r="E435" t="str">
        <f t="shared" si="22"/>
        <v>acamossoe6@about.me</v>
      </c>
      <c r="F435" t="s">
        <v>2135</v>
      </c>
      <c r="G435" t="s">
        <v>18</v>
      </c>
      <c r="H435" t="str">
        <f t="shared" si="23"/>
        <v>Male</v>
      </c>
      <c r="I435" t="str">
        <f>"+880"&amp;RIGHT(SUBSTITUTE(SUBSTITUTE($J435," ",""),"-",""),10)</f>
        <v>+8802495363874</v>
      </c>
      <c r="J435" t="s">
        <v>2136</v>
      </c>
      <c r="K435" t="s">
        <v>13</v>
      </c>
      <c r="L435" t="str">
        <f>_xlfn.XLOOKUP($K$3,K:K,K:K,$K$2)</f>
        <v>Bangladesh</v>
      </c>
      <c r="M435" t="s">
        <v>379</v>
      </c>
      <c r="N435" t="e" vm="49">
        <f>_xlfn.XLOOKUP($M435,$O:$O,$P:$P,"")</f>
        <v>#VALUE!</v>
      </c>
    </row>
    <row r="436" spans="1:14" x14ac:dyDescent="0.25">
      <c r="A436">
        <v>512</v>
      </c>
      <c r="B436" t="str">
        <f t="shared" si="21"/>
        <v>Reggi</v>
      </c>
      <c r="C436" t="s">
        <v>2137</v>
      </c>
      <c r="D436" t="s">
        <v>2138</v>
      </c>
      <c r="E436" t="str">
        <f t="shared" si="22"/>
        <v>rluggare7@newyorker.com</v>
      </c>
      <c r="F436" t="s">
        <v>2139</v>
      </c>
      <c r="G436" t="s">
        <v>11</v>
      </c>
      <c r="H436" t="str">
        <f t="shared" si="23"/>
        <v>Female</v>
      </c>
      <c r="I436" t="str">
        <f>"+880"&amp;RIGHT(SUBSTITUTE(SUBSTITUTE($J436," ",""),"-",""),10)</f>
        <v>+8806394243790</v>
      </c>
      <c r="J436" t="s">
        <v>2140</v>
      </c>
      <c r="K436" t="s">
        <v>13</v>
      </c>
      <c r="L436" t="str">
        <f>_xlfn.XLOOKUP($K$3,K:K,K:K,$K$2)</f>
        <v>Bangladesh</v>
      </c>
      <c r="M436" t="s">
        <v>374</v>
      </c>
      <c r="N436" t="e" vm="48">
        <f>_xlfn.XLOOKUP($M436,$O:$O,$P:$P,"")</f>
        <v>#VALUE!</v>
      </c>
    </row>
    <row r="437" spans="1:14" x14ac:dyDescent="0.25">
      <c r="A437">
        <v>515</v>
      </c>
      <c r="B437" t="str">
        <f t="shared" ref="B437:B492" si="24">PROPER(TRIM($C437))</f>
        <v>Tuck</v>
      </c>
      <c r="C437" t="s">
        <v>2148</v>
      </c>
      <c r="D437" t="s">
        <v>2149</v>
      </c>
      <c r="E437" t="str">
        <f t="shared" ref="E437:E492" si="25">LOWER(TRIM($F437))</f>
        <v>tmcgeffenea@admin.ch</v>
      </c>
      <c r="F437" t="s">
        <v>2150</v>
      </c>
      <c r="G437" t="s">
        <v>18</v>
      </c>
      <c r="H437" t="str">
        <f t="shared" ref="H437:H492" si="26">IF(OR($G437="M",LOWER($G437)="male"),"Male",
IF(OR($G437="F",LOWER($G437)="female"),"Female","Other"))</f>
        <v>Male</v>
      </c>
      <c r="I437" t="str">
        <f>"+880"&amp;RIGHT(SUBSTITUTE(SUBSTITUTE($J437," ",""),"-",""),10)</f>
        <v>+8802027839311</v>
      </c>
      <c r="J437" t="s">
        <v>2151</v>
      </c>
      <c r="K437" t="s">
        <v>13</v>
      </c>
      <c r="L437" t="str">
        <f>_xlfn.XLOOKUP($K$3,K:K,K:K,$K$2)</f>
        <v>Bangladesh</v>
      </c>
      <c r="M437" t="s">
        <v>804</v>
      </c>
      <c r="N437" t="e" vm="73">
        <f>_xlfn.XLOOKUP($M437,$O:$O,$P:$P,"")</f>
        <v>#VALUE!</v>
      </c>
    </row>
    <row r="438" spans="1:14" x14ac:dyDescent="0.25">
      <c r="A438">
        <v>516</v>
      </c>
      <c r="B438" t="str">
        <f t="shared" si="24"/>
        <v>Pincas</v>
      </c>
      <c r="C438" t="s">
        <v>2152</v>
      </c>
      <c r="D438" t="s">
        <v>2153</v>
      </c>
      <c r="E438" t="str">
        <f t="shared" si="25"/>
        <v>pthaineeb@si.edu</v>
      </c>
      <c r="F438" t="s">
        <v>2154</v>
      </c>
      <c r="G438" t="s">
        <v>18</v>
      </c>
      <c r="H438" t="str">
        <f t="shared" si="26"/>
        <v>Male</v>
      </c>
      <c r="I438" t="str">
        <f>"+880"&amp;RIGHT(SUBSTITUTE(SUBSTITUTE($J438," ",""),"-",""),10)</f>
        <v>+8809713580372</v>
      </c>
      <c r="J438" t="s">
        <v>2155</v>
      </c>
      <c r="K438" t="s">
        <v>13</v>
      </c>
      <c r="L438" t="str">
        <f>_xlfn.XLOOKUP($K$3,K:K,K:K,$K$2)</f>
        <v>Bangladesh</v>
      </c>
      <c r="M438" t="s">
        <v>91</v>
      </c>
      <c r="N438" t="e" vm="13">
        <f>_xlfn.XLOOKUP($M438,$O:$O,$P:$P,"")</f>
        <v>#VALUE!</v>
      </c>
    </row>
    <row r="439" spans="1:14" x14ac:dyDescent="0.25">
      <c r="A439">
        <v>517</v>
      </c>
      <c r="B439" t="str">
        <f t="shared" si="24"/>
        <v>Nicoline</v>
      </c>
      <c r="C439" t="s">
        <v>2156</v>
      </c>
      <c r="D439" t="s">
        <v>2157</v>
      </c>
      <c r="E439" t="str">
        <f t="shared" si="25"/>
        <v>nshawec@blogspot.com</v>
      </c>
      <c r="F439" t="s">
        <v>2158</v>
      </c>
      <c r="G439" t="s">
        <v>11</v>
      </c>
      <c r="H439" t="str">
        <f t="shared" si="26"/>
        <v>Female</v>
      </c>
      <c r="I439" t="str">
        <f>"+880"&amp;RIGHT(SUBSTITUTE(SUBSTITUTE($J439," ",""),"-",""),10)</f>
        <v>+8806059215469</v>
      </c>
      <c r="J439" t="s">
        <v>2159</v>
      </c>
      <c r="K439" t="s">
        <v>13</v>
      </c>
      <c r="L439" t="str">
        <f>_xlfn.XLOOKUP($K$3,K:K,K:K,$K$2)</f>
        <v>Bangladesh</v>
      </c>
      <c r="M439" t="s">
        <v>71</v>
      </c>
      <c r="N439" t="e" vm="9">
        <f>_xlfn.XLOOKUP($M439,$O:$O,$P:$P,"")</f>
        <v>#VALUE!</v>
      </c>
    </row>
    <row r="440" spans="1:14" x14ac:dyDescent="0.25">
      <c r="A440">
        <v>518</v>
      </c>
      <c r="B440" t="str">
        <f t="shared" si="24"/>
        <v>Con</v>
      </c>
      <c r="C440" t="s">
        <v>2160</v>
      </c>
      <c r="D440" t="s">
        <v>2161</v>
      </c>
      <c r="E440" t="str">
        <f t="shared" si="25"/>
        <v>ccurnnoked@vistaprint.com</v>
      </c>
      <c r="F440" t="s">
        <v>2162</v>
      </c>
      <c r="G440" t="s">
        <v>18</v>
      </c>
      <c r="H440" t="str">
        <f t="shared" si="26"/>
        <v>Male</v>
      </c>
      <c r="I440" t="str">
        <f>"+880"&amp;RIGHT(SUBSTITUTE(SUBSTITUTE($J440," ",""),"-",""),10)</f>
        <v>+8802977521836</v>
      </c>
      <c r="J440" t="s">
        <v>2163</v>
      </c>
      <c r="K440" t="s">
        <v>13</v>
      </c>
      <c r="L440" t="str">
        <f>_xlfn.XLOOKUP($K$3,K:K,K:K,$K$2)</f>
        <v>Bangladesh</v>
      </c>
      <c r="M440" t="s">
        <v>814</v>
      </c>
      <c r="N440" t="e" vm="75">
        <f>_xlfn.XLOOKUP($M440,$O:$O,$P:$P,"")</f>
        <v>#VALUE!</v>
      </c>
    </row>
    <row r="441" spans="1:14" x14ac:dyDescent="0.25">
      <c r="A441">
        <v>519</v>
      </c>
      <c r="B441" t="str">
        <f t="shared" si="24"/>
        <v>Shawnee</v>
      </c>
      <c r="C441" t="s">
        <v>2164</v>
      </c>
      <c r="D441" t="s">
        <v>2165</v>
      </c>
      <c r="E441" t="str">
        <f t="shared" si="25"/>
        <v>smccarrollee@dedecms.com</v>
      </c>
      <c r="F441" t="s">
        <v>2166</v>
      </c>
      <c r="G441" t="s">
        <v>11</v>
      </c>
      <c r="H441" t="str">
        <f t="shared" si="26"/>
        <v>Female</v>
      </c>
      <c r="I441" t="str">
        <f>"+880"&amp;RIGHT(SUBSTITUTE(SUBSTITUTE($J441," ",""),"-",""),10)</f>
        <v>+8808986658269</v>
      </c>
      <c r="J441" t="s">
        <v>2167</v>
      </c>
      <c r="K441" t="s">
        <v>13</v>
      </c>
      <c r="L441" t="str">
        <f>_xlfn.XLOOKUP($K$3,K:K,K:K,$K$2)</f>
        <v>Bangladesh</v>
      </c>
      <c r="M441" t="s">
        <v>224</v>
      </c>
      <c r="N441" t="e" vm="33">
        <f>_xlfn.XLOOKUP($M441,$O:$O,$P:$P,"")</f>
        <v>#VALUE!</v>
      </c>
    </row>
    <row r="442" spans="1:14" x14ac:dyDescent="0.25">
      <c r="A442">
        <v>520</v>
      </c>
      <c r="B442" t="str">
        <f t="shared" si="24"/>
        <v>Becky</v>
      </c>
      <c r="C442" t="s">
        <v>2168</v>
      </c>
      <c r="D442" t="s">
        <v>2169</v>
      </c>
      <c r="E442" t="str">
        <f t="shared" si="25"/>
        <v>bdeverauxef@army.mil</v>
      </c>
      <c r="F442" t="s">
        <v>2170</v>
      </c>
      <c r="G442" t="s">
        <v>11</v>
      </c>
      <c r="H442" t="str">
        <f t="shared" si="26"/>
        <v>Female</v>
      </c>
      <c r="I442" t="str">
        <f>"+880"&amp;RIGHT(SUBSTITUTE(SUBSTITUTE($J442," ",""),"-",""),10)</f>
        <v>+8804753050576</v>
      </c>
      <c r="J442" t="s">
        <v>2171</v>
      </c>
      <c r="K442" t="s">
        <v>13</v>
      </c>
      <c r="L442" t="str">
        <f>_xlfn.XLOOKUP($K$3,K:K,K:K,$K$2)</f>
        <v>Bangladesh</v>
      </c>
      <c r="M442" t="s">
        <v>140</v>
      </c>
      <c r="N442" t="e" vm="21">
        <f>_xlfn.XLOOKUP($M442,$O:$O,$P:$P,"")</f>
        <v>#VALUE!</v>
      </c>
    </row>
    <row r="443" spans="1:14" x14ac:dyDescent="0.25">
      <c r="A443">
        <v>521</v>
      </c>
      <c r="B443" t="str">
        <f t="shared" si="24"/>
        <v>Riva</v>
      </c>
      <c r="C443" t="s">
        <v>2172</v>
      </c>
      <c r="D443" t="s">
        <v>2173</v>
      </c>
      <c r="E443" t="str">
        <f t="shared" si="25"/>
        <v>ryurasoveg@google.nl</v>
      </c>
      <c r="F443" t="s">
        <v>2174</v>
      </c>
      <c r="G443" t="s">
        <v>11</v>
      </c>
      <c r="H443" t="str">
        <f t="shared" si="26"/>
        <v>Female</v>
      </c>
      <c r="I443" t="str">
        <f>"+880"&amp;RIGHT(SUBSTITUTE(SUBSTITUTE($J443," ",""),"-",""),10)</f>
        <v>+8809225163667</v>
      </c>
      <c r="J443" t="s">
        <v>2175</v>
      </c>
      <c r="K443" t="s">
        <v>13</v>
      </c>
      <c r="L443" t="str">
        <f>_xlfn.XLOOKUP($K$3,K:K,K:K,$K$2)</f>
        <v>Bangladesh</v>
      </c>
      <c r="M443" t="s">
        <v>365</v>
      </c>
      <c r="N443" t="e" vm="47">
        <f>_xlfn.XLOOKUP($M443,$O:$O,$P:$P,"")</f>
        <v>#VALUE!</v>
      </c>
    </row>
    <row r="444" spans="1:14" x14ac:dyDescent="0.25">
      <c r="A444">
        <v>522</v>
      </c>
      <c r="B444" t="str">
        <f t="shared" si="24"/>
        <v>Hoebart</v>
      </c>
      <c r="C444" t="s">
        <v>2176</v>
      </c>
      <c r="D444" t="s">
        <v>1091</v>
      </c>
      <c r="E444" t="str">
        <f t="shared" si="25"/>
        <v>hmccraineeh@scientificamerican.com</v>
      </c>
      <c r="F444" t="s">
        <v>2177</v>
      </c>
      <c r="G444" t="s">
        <v>18</v>
      </c>
      <c r="H444" t="str">
        <f t="shared" si="26"/>
        <v>Male</v>
      </c>
      <c r="I444" t="str">
        <f>"+880"&amp;RIGHT(SUBSTITUTE(SUBSTITUTE($J444," ",""),"-",""),10)</f>
        <v>+8809901900979</v>
      </c>
      <c r="J444" t="s">
        <v>2178</v>
      </c>
      <c r="K444" t="s">
        <v>13</v>
      </c>
      <c r="L444" t="str">
        <f>_xlfn.XLOOKUP($K$3,K:K,K:K,$K$2)</f>
        <v>Bangladesh</v>
      </c>
      <c r="M444" t="s">
        <v>597</v>
      </c>
      <c r="N444" t="e" vm="59">
        <f>_xlfn.XLOOKUP($M444,$O:$O,$P:$P,"")</f>
        <v>#VALUE!</v>
      </c>
    </row>
    <row r="445" spans="1:14" x14ac:dyDescent="0.25">
      <c r="A445">
        <v>524</v>
      </c>
      <c r="B445" t="str">
        <f t="shared" si="24"/>
        <v>Neila</v>
      </c>
      <c r="C445" t="s">
        <v>2183</v>
      </c>
      <c r="D445" t="s">
        <v>2184</v>
      </c>
      <c r="E445" t="str">
        <f t="shared" si="25"/>
        <v>ndupoyej@dedecms.com</v>
      </c>
      <c r="F445" t="s">
        <v>2185</v>
      </c>
      <c r="G445" t="s">
        <v>11</v>
      </c>
      <c r="H445" t="str">
        <f t="shared" si="26"/>
        <v>Female</v>
      </c>
      <c r="I445" t="str">
        <f>"+880"&amp;RIGHT(SUBSTITUTE(SUBSTITUTE($J445," ",""),"-",""),10)</f>
        <v>+8807247043974</v>
      </c>
      <c r="J445" t="s">
        <v>2186</v>
      </c>
      <c r="K445" t="s">
        <v>13</v>
      </c>
      <c r="L445" t="str">
        <f>_xlfn.XLOOKUP($K$3,K:K,K:K,$K$2)</f>
        <v>Bangladesh</v>
      </c>
      <c r="M445" t="s">
        <v>655</v>
      </c>
      <c r="N445" t="e" vm="66">
        <f>_xlfn.XLOOKUP($M445,$O:$O,$P:$P,"")</f>
        <v>#VALUE!</v>
      </c>
    </row>
    <row r="446" spans="1:14" x14ac:dyDescent="0.25">
      <c r="A446">
        <v>526</v>
      </c>
      <c r="B446" t="str">
        <f t="shared" si="24"/>
        <v>Aubert</v>
      </c>
      <c r="C446" t="s">
        <v>2191</v>
      </c>
      <c r="D446" t="s">
        <v>2192</v>
      </c>
      <c r="E446" t="str">
        <f t="shared" si="25"/>
        <v>ascadingel@i2i.jp</v>
      </c>
      <c r="F446" t="s">
        <v>2193</v>
      </c>
      <c r="G446" t="s">
        <v>18</v>
      </c>
      <c r="H446" t="str">
        <f t="shared" si="26"/>
        <v>Male</v>
      </c>
      <c r="I446" t="str">
        <f>"+880"&amp;RIGHT(SUBSTITUTE(SUBSTITUTE($J446," ",""),"-",""),10)</f>
        <v>+8805824599690</v>
      </c>
      <c r="J446" t="s">
        <v>2194</v>
      </c>
      <c r="K446" t="s">
        <v>13</v>
      </c>
      <c r="L446" t="str">
        <f>_xlfn.XLOOKUP($K$3,K:K,K:K,$K$2)</f>
        <v>Bangladesh</v>
      </c>
      <c r="M446" t="s">
        <v>425</v>
      </c>
      <c r="N446" t="e" vm="51">
        <f>_xlfn.XLOOKUP($M446,$O:$O,$P:$P,"")</f>
        <v>#VALUE!</v>
      </c>
    </row>
    <row r="447" spans="1:14" x14ac:dyDescent="0.25">
      <c r="A447">
        <v>527</v>
      </c>
      <c r="B447" t="str">
        <f t="shared" si="24"/>
        <v>Lane</v>
      </c>
      <c r="C447" t="s">
        <v>2195</v>
      </c>
      <c r="D447" t="s">
        <v>2196</v>
      </c>
      <c r="E447" t="str">
        <f t="shared" si="25"/>
        <v>ldybbeem@cam.ac.uk</v>
      </c>
      <c r="F447" t="s">
        <v>2197</v>
      </c>
      <c r="G447" t="s">
        <v>18</v>
      </c>
      <c r="H447" t="str">
        <f t="shared" si="26"/>
        <v>Male</v>
      </c>
      <c r="I447" t="str">
        <f>"+880"&amp;RIGHT(SUBSTITUTE(SUBSTITUTE($J447," ",""),"-",""),10)</f>
        <v>+8807041713438</v>
      </c>
      <c r="J447" t="s">
        <v>2198</v>
      </c>
      <c r="K447" t="s">
        <v>13</v>
      </c>
      <c r="L447" t="str">
        <f>_xlfn.XLOOKUP($K$3,K:K,K:K,$K$2)</f>
        <v>Bangladesh</v>
      </c>
      <c r="M447" t="s">
        <v>76</v>
      </c>
      <c r="N447" t="e" vm="10">
        <f>_xlfn.XLOOKUP($M447,$O:$O,$P:$P,"")</f>
        <v>#VALUE!</v>
      </c>
    </row>
    <row r="448" spans="1:14" x14ac:dyDescent="0.25">
      <c r="A448">
        <v>528</v>
      </c>
      <c r="B448" t="str">
        <f t="shared" si="24"/>
        <v>Dov</v>
      </c>
      <c r="C448" t="s">
        <v>2199</v>
      </c>
      <c r="D448" t="s">
        <v>2200</v>
      </c>
      <c r="E448" t="str">
        <f t="shared" si="25"/>
        <v>dgarlanden@ovh.net</v>
      </c>
      <c r="F448" t="s">
        <v>2201</v>
      </c>
      <c r="G448" t="s">
        <v>18</v>
      </c>
      <c r="H448" t="str">
        <f t="shared" si="26"/>
        <v>Male</v>
      </c>
      <c r="I448" t="str">
        <f>"+880"&amp;RIGHT(SUBSTITUTE(SUBSTITUTE($J448," ",""),"-",""),10)</f>
        <v>+8805734055948</v>
      </c>
      <c r="J448" t="s">
        <v>2202</v>
      </c>
      <c r="K448" t="s">
        <v>13</v>
      </c>
      <c r="L448" t="str">
        <f>_xlfn.XLOOKUP($K$3,K:K,K:K,$K$2)</f>
        <v>Bangladesh</v>
      </c>
      <c r="M448" t="s">
        <v>322</v>
      </c>
      <c r="N448" t="e" vm="44">
        <f>_xlfn.XLOOKUP($M448,$O:$O,$P:$P,"")</f>
        <v>#VALUE!</v>
      </c>
    </row>
    <row r="449" spans="1:14" x14ac:dyDescent="0.25">
      <c r="A449">
        <v>529</v>
      </c>
      <c r="B449" t="str">
        <f t="shared" si="24"/>
        <v>Lilia</v>
      </c>
      <c r="C449" t="s">
        <v>2203</v>
      </c>
      <c r="D449" t="s">
        <v>2204</v>
      </c>
      <c r="E449" t="str">
        <f t="shared" si="25"/>
        <v>lcayetteeo@mit.edu</v>
      </c>
      <c r="F449" t="s">
        <v>2205</v>
      </c>
      <c r="G449" t="s">
        <v>11</v>
      </c>
      <c r="H449" t="str">
        <f t="shared" si="26"/>
        <v>Female</v>
      </c>
      <c r="I449" t="str">
        <f>"+880"&amp;RIGHT(SUBSTITUTE(SUBSTITUTE($J449," ",""),"-",""),10)</f>
        <v>+8802324283281</v>
      </c>
      <c r="J449" t="s">
        <v>2206</v>
      </c>
      <c r="K449" t="s">
        <v>13</v>
      </c>
      <c r="L449" t="str">
        <f>_xlfn.XLOOKUP($K$3,K:K,K:K,$K$2)</f>
        <v>Bangladesh</v>
      </c>
      <c r="M449" t="s">
        <v>809</v>
      </c>
      <c r="N449" t="e" vm="74">
        <f>_xlfn.XLOOKUP($M449,$O:$O,$P:$P,"")</f>
        <v>#VALUE!</v>
      </c>
    </row>
    <row r="450" spans="1:14" x14ac:dyDescent="0.25">
      <c r="A450">
        <v>530</v>
      </c>
      <c r="B450" t="str">
        <f t="shared" si="24"/>
        <v>Clywd</v>
      </c>
      <c r="C450" t="s">
        <v>2207</v>
      </c>
      <c r="D450" t="s">
        <v>2208</v>
      </c>
      <c r="E450" t="str">
        <f t="shared" si="25"/>
        <v>clindegardep@topsy.com</v>
      </c>
      <c r="F450" t="s">
        <v>2209</v>
      </c>
      <c r="G450" t="s">
        <v>18</v>
      </c>
      <c r="H450" t="str">
        <f t="shared" si="26"/>
        <v>Male</v>
      </c>
      <c r="I450" t="str">
        <f>"+880"&amp;RIGHT(SUBSTITUTE(SUBSTITUTE($J450," ",""),"-",""),10)</f>
        <v>+8802892208538</v>
      </c>
      <c r="J450" t="s">
        <v>2210</v>
      </c>
      <c r="K450" t="s">
        <v>13</v>
      </c>
      <c r="L450" t="str">
        <f>_xlfn.XLOOKUP($K$3,K:K,K:K,$K$2)</f>
        <v>Bangladesh</v>
      </c>
      <c r="M450" t="s">
        <v>215</v>
      </c>
      <c r="N450" t="e" vm="32">
        <f>_xlfn.XLOOKUP($M450,$O:$O,$P:$P,"")</f>
        <v>#VALUE!</v>
      </c>
    </row>
    <row r="451" spans="1:14" x14ac:dyDescent="0.25">
      <c r="A451">
        <v>531</v>
      </c>
      <c r="B451" t="str">
        <f t="shared" si="24"/>
        <v>Burt</v>
      </c>
      <c r="C451" t="s">
        <v>2211</v>
      </c>
      <c r="D451" t="s">
        <v>2212</v>
      </c>
      <c r="E451" t="str">
        <f t="shared" si="25"/>
        <v>bbeardoneq@homestead.com</v>
      </c>
      <c r="F451" t="s">
        <v>2213</v>
      </c>
      <c r="G451" t="s">
        <v>18</v>
      </c>
      <c r="H451" t="str">
        <f t="shared" si="26"/>
        <v>Male</v>
      </c>
      <c r="I451" t="str">
        <f>"+880"&amp;RIGHT(SUBSTITUTE(SUBSTITUTE($J451," ",""),"-",""),10)</f>
        <v>+8802963104618</v>
      </c>
      <c r="J451" t="s">
        <v>2214</v>
      </c>
      <c r="K451" t="s">
        <v>13</v>
      </c>
      <c r="L451" t="str">
        <f>_xlfn.XLOOKUP($K$3,K:K,K:K,$K$2)</f>
        <v>Bangladesh</v>
      </c>
      <c r="M451" t="s">
        <v>655</v>
      </c>
      <c r="N451" t="e" vm="66">
        <f>_xlfn.XLOOKUP($M451,$O:$O,$P:$P,"")</f>
        <v>#VALUE!</v>
      </c>
    </row>
    <row r="452" spans="1:14" x14ac:dyDescent="0.25">
      <c r="A452">
        <v>532</v>
      </c>
      <c r="B452" t="str">
        <f t="shared" si="24"/>
        <v>Andras</v>
      </c>
      <c r="C452" t="s">
        <v>2215</v>
      </c>
      <c r="D452" t="s">
        <v>2216</v>
      </c>
      <c r="E452" t="str">
        <f t="shared" si="25"/>
        <v>ameehaner@reference.com</v>
      </c>
      <c r="F452" t="s">
        <v>2217</v>
      </c>
      <c r="G452" t="s">
        <v>18</v>
      </c>
      <c r="H452" t="str">
        <f t="shared" si="26"/>
        <v>Male</v>
      </c>
      <c r="I452" t="str">
        <f>"+880"&amp;RIGHT(SUBSTITUTE(SUBSTITUTE($J452," ",""),"-",""),10)</f>
        <v>+8805849307504</v>
      </c>
      <c r="J452" t="s">
        <v>2218</v>
      </c>
      <c r="K452" t="s">
        <v>13</v>
      </c>
      <c r="L452" t="str">
        <f>_xlfn.XLOOKUP($K$3,K:K,K:K,$K$2)</f>
        <v>Bangladesh</v>
      </c>
      <c r="M452" t="s">
        <v>655</v>
      </c>
      <c r="N452" t="e" vm="66">
        <f>_xlfn.XLOOKUP($M452,$O:$O,$P:$P,"")</f>
        <v>#VALUE!</v>
      </c>
    </row>
    <row r="453" spans="1:14" x14ac:dyDescent="0.25">
      <c r="A453">
        <v>533</v>
      </c>
      <c r="B453" t="str">
        <f t="shared" si="24"/>
        <v>Robb</v>
      </c>
      <c r="C453" t="s">
        <v>2219</v>
      </c>
      <c r="D453" t="s">
        <v>2220</v>
      </c>
      <c r="E453" t="str">
        <f t="shared" si="25"/>
        <v>rravenscraftes@ft.com</v>
      </c>
      <c r="F453" t="s">
        <v>2221</v>
      </c>
      <c r="G453" t="s">
        <v>18</v>
      </c>
      <c r="H453" t="str">
        <f t="shared" si="26"/>
        <v>Male</v>
      </c>
      <c r="I453" t="str">
        <f>"+880"&amp;RIGHT(SUBSTITUTE(SUBSTITUTE($J453," ",""),"-",""),10)</f>
        <v>+8807408282356</v>
      </c>
      <c r="J453" t="s">
        <v>2222</v>
      </c>
      <c r="K453" t="s">
        <v>13</v>
      </c>
      <c r="L453" t="str">
        <f>_xlfn.XLOOKUP($K$3,K:K,K:K,$K$2)</f>
        <v>Bangladesh</v>
      </c>
      <c r="M453" t="s">
        <v>243</v>
      </c>
      <c r="N453" t="e" vm="35">
        <f>_xlfn.XLOOKUP($M453,$O:$O,$P:$P,"")</f>
        <v>#VALUE!</v>
      </c>
    </row>
    <row r="454" spans="1:14" x14ac:dyDescent="0.25">
      <c r="A454">
        <v>534</v>
      </c>
      <c r="B454" t="str">
        <f t="shared" si="24"/>
        <v>Lynett</v>
      </c>
      <c r="C454" t="s">
        <v>2223</v>
      </c>
      <c r="D454" t="s">
        <v>2224</v>
      </c>
      <c r="E454" t="str">
        <f t="shared" si="25"/>
        <v>larblasteret@fda.gov</v>
      </c>
      <c r="F454" t="s">
        <v>2225</v>
      </c>
      <c r="G454" t="s">
        <v>11</v>
      </c>
      <c r="H454" t="str">
        <f t="shared" si="26"/>
        <v>Female</v>
      </c>
      <c r="I454" t="str">
        <f>"+880"&amp;RIGHT(SUBSTITUTE(SUBSTITUTE($J454," ",""),"-",""),10)</f>
        <v>+8801232617777</v>
      </c>
      <c r="J454" t="s">
        <v>2226</v>
      </c>
      <c r="K454" t="s">
        <v>13</v>
      </c>
      <c r="L454" t="str">
        <f>_xlfn.XLOOKUP($K$3,K:K,K:K,$K$2)</f>
        <v>Bangladesh</v>
      </c>
      <c r="M454" t="s">
        <v>183</v>
      </c>
      <c r="N454" t="e" vm="28">
        <f>_xlfn.XLOOKUP($M454,$O:$O,$P:$P,"")</f>
        <v>#VALUE!</v>
      </c>
    </row>
    <row r="455" spans="1:14" x14ac:dyDescent="0.25">
      <c r="A455">
        <v>535</v>
      </c>
      <c r="B455" t="str">
        <f t="shared" si="24"/>
        <v>Urson</v>
      </c>
      <c r="C455" t="s">
        <v>1739</v>
      </c>
      <c r="D455" t="s">
        <v>2227</v>
      </c>
      <c r="E455" t="str">
        <f t="shared" si="25"/>
        <v>useylereu@virginia.edu</v>
      </c>
      <c r="F455" t="s">
        <v>2228</v>
      </c>
      <c r="G455" t="s">
        <v>18</v>
      </c>
      <c r="H455" t="str">
        <f t="shared" si="26"/>
        <v>Male</v>
      </c>
      <c r="I455" t="str">
        <f>"+880"&amp;RIGHT(SUBSTITUTE(SUBSTITUTE($J455," ",""),"-",""),10)</f>
        <v>+8803956542832</v>
      </c>
      <c r="J455" t="s">
        <v>2229</v>
      </c>
      <c r="K455" t="s">
        <v>13</v>
      </c>
      <c r="L455" t="str">
        <f>_xlfn.XLOOKUP($K$3,K:K,K:K,$K$2)</f>
        <v>Bangladesh</v>
      </c>
      <c r="M455" t="s">
        <v>404</v>
      </c>
      <c r="N455" t="e" vm="50">
        <f>_xlfn.XLOOKUP($M455,$O:$O,$P:$P,"")</f>
        <v>#VALUE!</v>
      </c>
    </row>
    <row r="456" spans="1:14" x14ac:dyDescent="0.25">
      <c r="A456">
        <v>536</v>
      </c>
      <c r="B456" t="str">
        <f t="shared" si="24"/>
        <v>Aprilette</v>
      </c>
      <c r="C456" t="s">
        <v>2230</v>
      </c>
      <c r="D456" t="s">
        <v>2231</v>
      </c>
      <c r="E456" t="str">
        <f t="shared" si="25"/>
        <v>awiszniewskiev@tiny.cc</v>
      </c>
      <c r="F456" t="s">
        <v>2232</v>
      </c>
      <c r="G456" t="s">
        <v>11</v>
      </c>
      <c r="H456" t="str">
        <f t="shared" si="26"/>
        <v>Female</v>
      </c>
      <c r="I456" t="str">
        <f>"+880"&amp;RIGHT(SUBSTITUTE(SUBSTITUTE($J456," ",""),"-",""),10)</f>
        <v>+8803382922892</v>
      </c>
      <c r="J456" t="s">
        <v>2233</v>
      </c>
      <c r="K456" t="s">
        <v>13</v>
      </c>
      <c r="L456" t="str">
        <f>_xlfn.XLOOKUP($K$3,K:K,K:K,$K$2)</f>
        <v>Bangladesh</v>
      </c>
      <c r="M456" t="s">
        <v>261</v>
      </c>
      <c r="N456" t="e" vm="37">
        <f>_xlfn.XLOOKUP($M456,$O:$O,$P:$P,"")</f>
        <v>#VALUE!</v>
      </c>
    </row>
    <row r="457" spans="1:14" x14ac:dyDescent="0.25">
      <c r="A457">
        <v>538</v>
      </c>
      <c r="B457" t="str">
        <f t="shared" si="24"/>
        <v>Ingmar</v>
      </c>
      <c r="C457" t="s">
        <v>2238</v>
      </c>
      <c r="D457" t="s">
        <v>2239</v>
      </c>
      <c r="E457" t="str">
        <f t="shared" si="25"/>
        <v>imonniex@aboutads.info</v>
      </c>
      <c r="F457" t="s">
        <v>2240</v>
      </c>
      <c r="G457" t="s">
        <v>18</v>
      </c>
      <c r="H457" t="str">
        <f t="shared" si="26"/>
        <v>Male</v>
      </c>
      <c r="I457" t="str">
        <f>"+880"&amp;RIGHT(SUBSTITUTE(SUBSTITUTE($J457," ",""),"-",""),10)</f>
        <v>+8802297889556</v>
      </c>
      <c r="J457" t="s">
        <v>2241</v>
      </c>
      <c r="K457" t="s">
        <v>13</v>
      </c>
      <c r="L457" t="str">
        <f>_xlfn.XLOOKUP($K$3,K:K,K:K,$K$2)</f>
        <v>Bangladesh</v>
      </c>
      <c r="M457" t="s">
        <v>31</v>
      </c>
      <c r="N457" t="e" vm="4">
        <f>_xlfn.XLOOKUP($M457,$O:$O,$P:$P,"")</f>
        <v>#VALUE!</v>
      </c>
    </row>
    <row r="458" spans="1:14" x14ac:dyDescent="0.25">
      <c r="A458">
        <v>539</v>
      </c>
      <c r="B458" t="str">
        <f t="shared" si="24"/>
        <v>Aylmer</v>
      </c>
      <c r="C458" t="s">
        <v>2242</v>
      </c>
      <c r="D458" t="s">
        <v>2243</v>
      </c>
      <c r="E458" t="str">
        <f t="shared" si="25"/>
        <v>akissackey@ameblo.jp</v>
      </c>
      <c r="F458" t="s">
        <v>2244</v>
      </c>
      <c r="G458" t="s">
        <v>18</v>
      </c>
      <c r="H458" t="str">
        <f t="shared" si="26"/>
        <v>Male</v>
      </c>
      <c r="I458" t="str">
        <f>"+880"&amp;RIGHT(SUBSTITUTE(SUBSTITUTE($J458," ",""),"-",""),10)</f>
        <v>+8806461949338</v>
      </c>
      <c r="J458" t="s">
        <v>2245</v>
      </c>
      <c r="K458" t="s">
        <v>13</v>
      </c>
      <c r="L458" t="str">
        <f>_xlfn.XLOOKUP($K$3,K:K,K:K,$K$2)</f>
        <v>Bangladesh</v>
      </c>
      <c r="M458" t="s">
        <v>804</v>
      </c>
      <c r="N458" t="e" vm="73">
        <f>_xlfn.XLOOKUP($M458,$O:$O,$P:$P,"")</f>
        <v>#VALUE!</v>
      </c>
    </row>
    <row r="459" spans="1:14" x14ac:dyDescent="0.25">
      <c r="A459">
        <v>540</v>
      </c>
      <c r="B459" t="str">
        <f t="shared" si="24"/>
        <v>Fifine</v>
      </c>
      <c r="C459" t="s">
        <v>1441</v>
      </c>
      <c r="D459" t="s">
        <v>2246</v>
      </c>
      <c r="E459" t="str">
        <f t="shared" si="25"/>
        <v>fkeaneez@free.fr</v>
      </c>
      <c r="F459" t="s">
        <v>2247</v>
      </c>
      <c r="G459" t="s">
        <v>11</v>
      </c>
      <c r="H459" t="str">
        <f t="shared" si="26"/>
        <v>Female</v>
      </c>
      <c r="I459" t="str">
        <f>"+880"&amp;RIGHT(SUBSTITUTE(SUBSTITUTE($J459," ",""),"-",""),10)</f>
        <v>+8805358263051</v>
      </c>
      <c r="J459" t="s">
        <v>2248</v>
      </c>
      <c r="K459" t="s">
        <v>13</v>
      </c>
      <c r="L459" t="str">
        <f>_xlfn.XLOOKUP($K$3,K:K,K:K,$K$2)</f>
        <v>Bangladesh</v>
      </c>
      <c r="M459" t="s">
        <v>20</v>
      </c>
      <c r="N459" t="e" vm="2">
        <f>_xlfn.XLOOKUP($M459,$O:$O,$P:$P,"")</f>
        <v>#VALUE!</v>
      </c>
    </row>
    <row r="460" spans="1:14" x14ac:dyDescent="0.25">
      <c r="A460">
        <v>541</v>
      </c>
      <c r="B460" t="str">
        <f t="shared" si="24"/>
        <v>Jillene</v>
      </c>
      <c r="C460" t="s">
        <v>2249</v>
      </c>
      <c r="D460" t="s">
        <v>2250</v>
      </c>
      <c r="E460" t="str">
        <f t="shared" si="25"/>
        <v>jrogetf0@ftc.gov</v>
      </c>
      <c r="F460" t="s">
        <v>2251</v>
      </c>
      <c r="G460" t="s">
        <v>11</v>
      </c>
      <c r="H460" t="str">
        <f t="shared" si="26"/>
        <v>Female</v>
      </c>
      <c r="I460" t="str">
        <f>"+880"&amp;RIGHT(SUBSTITUTE(SUBSTITUTE($J460," ",""),"-",""),10)</f>
        <v>+8804037329437</v>
      </c>
      <c r="J460" t="s">
        <v>2252</v>
      </c>
      <c r="K460" t="s">
        <v>13</v>
      </c>
      <c r="L460" t="str">
        <f>_xlfn.XLOOKUP($K$3,K:K,K:K,$K$2)</f>
        <v>Bangladesh</v>
      </c>
      <c r="M460" t="s">
        <v>660</v>
      </c>
      <c r="N460" t="e" vm="67">
        <f>_xlfn.XLOOKUP($M460,$O:$O,$P:$P,"")</f>
        <v>#VALUE!</v>
      </c>
    </row>
    <row r="461" spans="1:14" x14ac:dyDescent="0.25">
      <c r="A461">
        <v>542</v>
      </c>
      <c r="B461" t="str">
        <f t="shared" si="24"/>
        <v>Suzy</v>
      </c>
      <c r="C461" t="s">
        <v>2253</v>
      </c>
      <c r="D461" t="s">
        <v>2254</v>
      </c>
      <c r="E461" t="str">
        <f t="shared" si="25"/>
        <v>sphinf1@sakura.ne.jp</v>
      </c>
      <c r="F461" t="s">
        <v>2255</v>
      </c>
      <c r="G461" t="s">
        <v>11</v>
      </c>
      <c r="H461" t="str">
        <f t="shared" si="26"/>
        <v>Female</v>
      </c>
      <c r="I461" t="str">
        <f>"+880"&amp;RIGHT(SUBSTITUTE(SUBSTITUTE($J461," ",""),"-",""),10)</f>
        <v>+8803893982778</v>
      </c>
      <c r="J461" t="s">
        <v>2256</v>
      </c>
      <c r="K461" t="s">
        <v>13</v>
      </c>
      <c r="L461" t="str">
        <f>_xlfn.XLOOKUP($K$3,K:K,K:K,$K$2)</f>
        <v>Bangladesh</v>
      </c>
      <c r="M461" t="s">
        <v>404</v>
      </c>
      <c r="N461" t="e" vm="50">
        <f>_xlfn.XLOOKUP($M461,$O:$O,$P:$P,"")</f>
        <v>#VALUE!</v>
      </c>
    </row>
    <row r="462" spans="1:14" x14ac:dyDescent="0.25">
      <c r="A462">
        <v>544</v>
      </c>
      <c r="B462" t="str">
        <f t="shared" si="24"/>
        <v>Norrie</v>
      </c>
      <c r="C462" t="s">
        <v>2260</v>
      </c>
      <c r="D462" t="s">
        <v>2261</v>
      </c>
      <c r="E462" t="str">
        <f t="shared" si="25"/>
        <v>nmacnishf3@adobe.com</v>
      </c>
      <c r="F462" t="s">
        <v>2262</v>
      </c>
      <c r="G462" t="s">
        <v>18</v>
      </c>
      <c r="H462" t="str">
        <f t="shared" si="26"/>
        <v>Male</v>
      </c>
      <c r="I462" t="str">
        <f>"+880"&amp;RIGHT(SUBSTITUTE(SUBSTITUTE($J462," ",""),"-",""),10)</f>
        <v>+8803843529581</v>
      </c>
      <c r="J462" t="s">
        <v>2263</v>
      </c>
      <c r="K462" t="s">
        <v>13</v>
      </c>
      <c r="L462" t="str">
        <f>_xlfn.XLOOKUP($K$3,K:K,K:K,$K$2)</f>
        <v>Bangladesh</v>
      </c>
      <c r="M462" t="s">
        <v>183</v>
      </c>
      <c r="N462" t="e" vm="28">
        <f>_xlfn.XLOOKUP($M462,$O:$O,$P:$P,"")</f>
        <v>#VALUE!</v>
      </c>
    </row>
    <row r="463" spans="1:14" x14ac:dyDescent="0.25">
      <c r="A463">
        <v>545</v>
      </c>
      <c r="B463" t="str">
        <f t="shared" si="24"/>
        <v>Batsheva</v>
      </c>
      <c r="C463" t="s">
        <v>2264</v>
      </c>
      <c r="D463" t="s">
        <v>2265</v>
      </c>
      <c r="E463" t="str">
        <f t="shared" si="25"/>
        <v>bbrimmf4@bandcamp.com</v>
      </c>
      <c r="F463" t="s">
        <v>2266</v>
      </c>
      <c r="G463" t="s">
        <v>11</v>
      </c>
      <c r="H463" t="str">
        <f t="shared" si="26"/>
        <v>Female</v>
      </c>
      <c r="I463" t="str">
        <f>"+880"&amp;RIGHT(SUBSTITUTE(SUBSTITUTE($J463," ",""),"-",""),10)</f>
        <v>+8807942580957</v>
      </c>
      <c r="J463" t="s">
        <v>2267</v>
      </c>
      <c r="K463" t="s">
        <v>13</v>
      </c>
      <c r="L463" t="str">
        <f>_xlfn.XLOOKUP($K$3,K:K,K:K,$K$2)</f>
        <v>Bangladesh</v>
      </c>
      <c r="M463" t="s">
        <v>282</v>
      </c>
      <c r="N463" t="e" vm="40">
        <f>_xlfn.XLOOKUP($M463,$O:$O,$P:$P,"")</f>
        <v>#VALUE!</v>
      </c>
    </row>
    <row r="464" spans="1:14" x14ac:dyDescent="0.25">
      <c r="A464">
        <v>546</v>
      </c>
      <c r="B464" t="str">
        <f t="shared" si="24"/>
        <v>Gabriellia</v>
      </c>
      <c r="C464" t="s">
        <v>42</v>
      </c>
      <c r="D464" t="s">
        <v>2268</v>
      </c>
      <c r="E464" t="str">
        <f t="shared" si="25"/>
        <v>ghaningtonf5@spiegel.de</v>
      </c>
      <c r="F464" t="s">
        <v>2269</v>
      </c>
      <c r="G464" t="s">
        <v>11</v>
      </c>
      <c r="H464" t="str">
        <f t="shared" si="26"/>
        <v>Female</v>
      </c>
      <c r="I464" t="str">
        <f>"+880"&amp;RIGHT(SUBSTITUTE(SUBSTITUTE($J464," ",""),"-",""),10)</f>
        <v>+8803224335082</v>
      </c>
      <c r="J464" t="s">
        <v>2270</v>
      </c>
      <c r="K464" t="s">
        <v>13</v>
      </c>
      <c r="L464" t="str">
        <f>_xlfn.XLOOKUP($K$3,K:K,K:K,$K$2)</f>
        <v>Bangladesh</v>
      </c>
      <c r="M464" t="s">
        <v>115</v>
      </c>
      <c r="N464" t="e" vm="17">
        <f>_xlfn.XLOOKUP($M464,$O:$O,$P:$P,"")</f>
        <v>#VALUE!</v>
      </c>
    </row>
    <row r="465" spans="1:14" x14ac:dyDescent="0.25">
      <c r="A465">
        <v>547</v>
      </c>
      <c r="B465" t="str">
        <f t="shared" si="24"/>
        <v>Salvidor</v>
      </c>
      <c r="C465" t="s">
        <v>1400</v>
      </c>
      <c r="D465" t="s">
        <v>2271</v>
      </c>
      <c r="E465" t="str">
        <f t="shared" si="25"/>
        <v>sphillippf6@homestead.com</v>
      </c>
      <c r="F465" t="s">
        <v>2272</v>
      </c>
      <c r="G465" t="s">
        <v>18</v>
      </c>
      <c r="H465" t="str">
        <f t="shared" si="26"/>
        <v>Male</v>
      </c>
      <c r="I465" t="str">
        <f>"+880"&amp;RIGHT(SUBSTITUTE(SUBSTITUTE($J465," ",""),"-",""),10)</f>
        <v>+8802399485508</v>
      </c>
      <c r="J465" t="s">
        <v>2273</v>
      </c>
      <c r="K465" t="s">
        <v>13</v>
      </c>
      <c r="L465" t="str">
        <f>_xlfn.XLOOKUP($K$3,K:K,K:K,$K$2)</f>
        <v>Bangladesh</v>
      </c>
      <c r="M465" t="s">
        <v>61</v>
      </c>
      <c r="N465" t="e" vm="7">
        <f>_xlfn.XLOOKUP($M465,$O:$O,$P:$P,"")</f>
        <v>#VALUE!</v>
      </c>
    </row>
    <row r="466" spans="1:14" x14ac:dyDescent="0.25">
      <c r="A466">
        <v>548</v>
      </c>
      <c r="B466" t="str">
        <f t="shared" si="24"/>
        <v>Beatrice</v>
      </c>
      <c r="C466" t="s">
        <v>2274</v>
      </c>
      <c r="D466" t="s">
        <v>2275</v>
      </c>
      <c r="E466" t="str">
        <f t="shared" si="25"/>
        <v>bbulcroftf7@howstuffworks.com</v>
      </c>
      <c r="F466" t="s">
        <v>2276</v>
      </c>
      <c r="G466" t="s">
        <v>11</v>
      </c>
      <c r="H466" t="str">
        <f t="shared" si="26"/>
        <v>Female</v>
      </c>
      <c r="I466" t="str">
        <f>"+880"&amp;RIGHT(SUBSTITUTE(SUBSTITUTE($J466," ",""),"-",""),10)</f>
        <v>+8804387524512</v>
      </c>
      <c r="J466" t="s">
        <v>2277</v>
      </c>
      <c r="K466" t="s">
        <v>13</v>
      </c>
      <c r="L466" t="str">
        <f>_xlfn.XLOOKUP($K$3,K:K,K:K,$K$2)</f>
        <v>Bangladesh</v>
      </c>
      <c r="M466" t="s">
        <v>96</v>
      </c>
      <c r="N466" t="e" vm="14">
        <f>_xlfn.XLOOKUP($M466,$O:$O,$P:$P,"")</f>
        <v>#VALUE!</v>
      </c>
    </row>
    <row r="467" spans="1:14" x14ac:dyDescent="0.25">
      <c r="A467">
        <v>549</v>
      </c>
      <c r="B467" t="str">
        <f t="shared" si="24"/>
        <v>Enrica</v>
      </c>
      <c r="C467" t="s">
        <v>2278</v>
      </c>
      <c r="D467" t="s">
        <v>2279</v>
      </c>
      <c r="E467" t="str">
        <f t="shared" si="25"/>
        <v>ecowplandf8@i2i.jp</v>
      </c>
      <c r="F467" t="s">
        <v>2280</v>
      </c>
      <c r="G467" t="s">
        <v>11</v>
      </c>
      <c r="H467" t="str">
        <f t="shared" si="26"/>
        <v>Female</v>
      </c>
      <c r="I467" t="str">
        <f>"+880"&amp;RIGHT(SUBSTITUTE(SUBSTITUTE($J467," ",""),"-",""),10)</f>
        <v>+8802592220158</v>
      </c>
      <c r="J467" t="s">
        <v>2281</v>
      </c>
      <c r="K467" t="s">
        <v>13</v>
      </c>
      <c r="L467" t="str">
        <f>_xlfn.XLOOKUP($K$3,K:K,K:K,$K$2)</f>
        <v>Bangladesh</v>
      </c>
      <c r="M467" t="s">
        <v>839</v>
      </c>
      <c r="N467" t="e" vm="76">
        <f>_xlfn.XLOOKUP($M467,$O:$O,$P:$P,"")</f>
        <v>#VALUE!</v>
      </c>
    </row>
    <row r="468" spans="1:14" x14ac:dyDescent="0.25">
      <c r="A468">
        <v>550</v>
      </c>
      <c r="B468" t="str">
        <f t="shared" si="24"/>
        <v>Jerad</v>
      </c>
      <c r="C468" t="s">
        <v>1131</v>
      </c>
      <c r="D468" t="s">
        <v>2282</v>
      </c>
      <c r="E468" t="str">
        <f t="shared" si="25"/>
        <v>jrushworthf9@sfgate.com</v>
      </c>
      <c r="F468" t="s">
        <v>2283</v>
      </c>
      <c r="G468" t="s">
        <v>18</v>
      </c>
      <c r="H468" t="str">
        <f t="shared" si="26"/>
        <v>Male</v>
      </c>
      <c r="I468" t="str">
        <f>"+880"&amp;RIGHT(SUBSTITUTE(SUBSTITUTE($J468," ",""),"-",""),10)</f>
        <v>+8806736136285</v>
      </c>
      <c r="J468" t="s">
        <v>2284</v>
      </c>
      <c r="K468" t="s">
        <v>13</v>
      </c>
      <c r="L468" t="str">
        <f>_xlfn.XLOOKUP($K$3,K:K,K:K,$K$2)</f>
        <v>Bangladesh</v>
      </c>
      <c r="M468" t="s">
        <v>504</v>
      </c>
      <c r="N468" t="e" vm="54">
        <f>_xlfn.XLOOKUP($M468,$O:$O,$P:$P,"")</f>
        <v>#VALUE!</v>
      </c>
    </row>
    <row r="469" spans="1:14" x14ac:dyDescent="0.25">
      <c r="A469">
        <v>551</v>
      </c>
      <c r="B469" t="str">
        <f t="shared" si="24"/>
        <v>Mitchell</v>
      </c>
      <c r="C469" t="s">
        <v>2285</v>
      </c>
      <c r="D469" t="s">
        <v>2286</v>
      </c>
      <c r="E469" t="str">
        <f t="shared" si="25"/>
        <v>mofihilyfa@google.com.br</v>
      </c>
      <c r="F469" t="s">
        <v>2287</v>
      </c>
      <c r="G469" t="s">
        <v>18</v>
      </c>
      <c r="H469" t="str">
        <f t="shared" si="26"/>
        <v>Male</v>
      </c>
      <c r="I469" t="str">
        <f>"+880"&amp;RIGHT(SUBSTITUTE(SUBSTITUTE($J469," ",""),"-",""),10)</f>
        <v>+8806704123173</v>
      </c>
      <c r="J469" t="s">
        <v>2288</v>
      </c>
      <c r="K469" t="s">
        <v>13</v>
      </c>
      <c r="L469" t="str">
        <f>_xlfn.XLOOKUP($K$3,K:K,K:K,$K$2)</f>
        <v>Bangladesh</v>
      </c>
      <c r="M469" t="s">
        <v>210</v>
      </c>
      <c r="N469" t="e" vm="31">
        <f>_xlfn.XLOOKUP($M469,$O:$O,$P:$P,"")</f>
        <v>#VALUE!</v>
      </c>
    </row>
    <row r="470" spans="1:14" x14ac:dyDescent="0.25">
      <c r="A470">
        <v>552</v>
      </c>
      <c r="B470" t="str">
        <f t="shared" si="24"/>
        <v>Artur</v>
      </c>
      <c r="C470" t="s">
        <v>2289</v>
      </c>
      <c r="D470" t="s">
        <v>2290</v>
      </c>
      <c r="E470" t="str">
        <f t="shared" si="25"/>
        <v>abrennonfb@ftc.gov</v>
      </c>
      <c r="F470" t="s">
        <v>2291</v>
      </c>
      <c r="G470" t="s">
        <v>18</v>
      </c>
      <c r="H470" t="str">
        <f t="shared" si="26"/>
        <v>Male</v>
      </c>
      <c r="I470" t="str">
        <f>"+880"&amp;RIGHT(SUBSTITUTE(SUBSTITUTE($J470," ",""),"-",""),10)</f>
        <v>+8806127857219</v>
      </c>
      <c r="J470" t="s">
        <v>2292</v>
      </c>
      <c r="K470" t="s">
        <v>13</v>
      </c>
      <c r="L470" t="str">
        <f>_xlfn.XLOOKUP($K$3,K:K,K:K,$K$2)</f>
        <v>Bangladesh</v>
      </c>
      <c r="M470" t="s">
        <v>379</v>
      </c>
      <c r="N470" t="e" vm="49">
        <f>_xlfn.XLOOKUP($M470,$O:$O,$P:$P,"")</f>
        <v>#VALUE!</v>
      </c>
    </row>
    <row r="471" spans="1:14" x14ac:dyDescent="0.25">
      <c r="A471">
        <v>553</v>
      </c>
      <c r="B471" t="str">
        <f t="shared" si="24"/>
        <v>Henka</v>
      </c>
      <c r="C471" t="s">
        <v>2293</v>
      </c>
      <c r="D471" t="s">
        <v>2294</v>
      </c>
      <c r="E471" t="str">
        <f t="shared" si="25"/>
        <v>hlaurensonfc@yahoo.com</v>
      </c>
      <c r="F471" t="s">
        <v>2295</v>
      </c>
      <c r="G471" t="s">
        <v>11</v>
      </c>
      <c r="H471" t="str">
        <f t="shared" si="26"/>
        <v>Female</v>
      </c>
      <c r="I471" t="str">
        <f>"+880"&amp;RIGHT(SUBSTITUTE(SUBSTITUTE($J471," ",""),"-",""),10)</f>
        <v>+8803151540606</v>
      </c>
      <c r="J471" t="s">
        <v>2296</v>
      </c>
      <c r="K471" t="s">
        <v>13</v>
      </c>
      <c r="L471" t="str">
        <f>_xlfn.XLOOKUP($K$3,K:K,K:K,$K$2)</f>
        <v>Bangladesh</v>
      </c>
      <c r="M471" t="s">
        <v>215</v>
      </c>
      <c r="N471" t="e" vm="32">
        <f>_xlfn.XLOOKUP($M471,$O:$O,$P:$P,"")</f>
        <v>#VALUE!</v>
      </c>
    </row>
    <row r="472" spans="1:14" x14ac:dyDescent="0.25">
      <c r="A472">
        <v>554</v>
      </c>
      <c r="B472" t="str">
        <f t="shared" si="24"/>
        <v>Leroy</v>
      </c>
      <c r="C472" t="s">
        <v>2297</v>
      </c>
      <c r="D472" t="s">
        <v>2298</v>
      </c>
      <c r="E472" t="str">
        <f t="shared" si="25"/>
        <v>lmothersdalefd@wix.com</v>
      </c>
      <c r="F472" t="s">
        <v>2299</v>
      </c>
      <c r="G472" t="s">
        <v>18</v>
      </c>
      <c r="H472" t="str">
        <f t="shared" si="26"/>
        <v>Male</v>
      </c>
      <c r="I472" t="str">
        <f>"+880"&amp;RIGHT(SUBSTITUTE(SUBSTITUTE($J472," ",""),"-",""),10)</f>
        <v>+8809186272428</v>
      </c>
      <c r="J472" t="s">
        <v>2300</v>
      </c>
      <c r="K472" t="s">
        <v>13</v>
      </c>
      <c r="L472" t="str">
        <f>_xlfn.XLOOKUP($K$3,K:K,K:K,$K$2)</f>
        <v>Bangladesh</v>
      </c>
      <c r="M472" t="s">
        <v>178</v>
      </c>
      <c r="N472" t="e" vm="27">
        <f>_xlfn.XLOOKUP($M472,$O:$O,$P:$P,"")</f>
        <v>#VALUE!</v>
      </c>
    </row>
    <row r="473" spans="1:14" x14ac:dyDescent="0.25">
      <c r="A473">
        <v>555</v>
      </c>
      <c r="B473" t="str">
        <f t="shared" si="24"/>
        <v>Konrad</v>
      </c>
      <c r="C473" t="s">
        <v>2301</v>
      </c>
      <c r="D473" t="s">
        <v>2302</v>
      </c>
      <c r="E473" t="str">
        <f t="shared" si="25"/>
        <v>kshovellerfe@163.com</v>
      </c>
      <c r="F473" t="s">
        <v>2303</v>
      </c>
      <c r="G473" t="s">
        <v>18</v>
      </c>
      <c r="H473" t="str">
        <f t="shared" si="26"/>
        <v>Male</v>
      </c>
      <c r="I473" t="str">
        <f>"+880"&amp;RIGHT(SUBSTITUTE(SUBSTITUTE($J473," ",""),"-",""),10)</f>
        <v>+8805645760719</v>
      </c>
      <c r="J473" t="s">
        <v>2304</v>
      </c>
      <c r="K473" t="s">
        <v>13</v>
      </c>
      <c r="L473" t="str">
        <f>_xlfn.XLOOKUP($K$3,K:K,K:K,$K$2)</f>
        <v>Bangladesh</v>
      </c>
      <c r="M473" t="s">
        <v>66</v>
      </c>
      <c r="N473" t="e" vm="8">
        <f>_xlfn.XLOOKUP($M473,$O:$O,$P:$P,"")</f>
        <v>#VALUE!</v>
      </c>
    </row>
    <row r="474" spans="1:14" x14ac:dyDescent="0.25">
      <c r="A474">
        <v>556</v>
      </c>
      <c r="B474" t="str">
        <f t="shared" si="24"/>
        <v>Eduino</v>
      </c>
      <c r="C474" t="s">
        <v>2305</v>
      </c>
      <c r="D474" t="s">
        <v>2306</v>
      </c>
      <c r="E474" t="str">
        <f t="shared" si="25"/>
        <v>emateusff@constantcontact.com</v>
      </c>
      <c r="F474" t="s">
        <v>2307</v>
      </c>
      <c r="G474" t="s">
        <v>18</v>
      </c>
      <c r="H474" t="str">
        <f t="shared" si="26"/>
        <v>Male</v>
      </c>
      <c r="I474" t="str">
        <f>"+880"&amp;RIGHT(SUBSTITUTE(SUBSTITUTE($J474," ",""),"-",""),10)</f>
        <v>+8803465751439</v>
      </c>
      <c r="J474" t="s">
        <v>2308</v>
      </c>
      <c r="K474" t="s">
        <v>13</v>
      </c>
      <c r="L474" t="str">
        <f>_xlfn.XLOOKUP($K$3,K:K,K:K,$K$2)</f>
        <v>Bangladesh</v>
      </c>
      <c r="M474" t="s">
        <v>266</v>
      </c>
      <c r="N474" t="e" vm="38">
        <f>_xlfn.XLOOKUP($M474,$O:$O,$P:$P,"")</f>
        <v>#VALUE!</v>
      </c>
    </row>
    <row r="475" spans="1:14" x14ac:dyDescent="0.25">
      <c r="A475">
        <v>557</v>
      </c>
      <c r="B475" t="str">
        <f t="shared" si="24"/>
        <v>Rustin</v>
      </c>
      <c r="C475" t="s">
        <v>2309</v>
      </c>
      <c r="D475" t="s">
        <v>2310</v>
      </c>
      <c r="E475" t="str">
        <f t="shared" si="25"/>
        <v>rclyburnfg@cnbc.com</v>
      </c>
      <c r="F475" t="s">
        <v>2311</v>
      </c>
      <c r="G475" t="s">
        <v>18</v>
      </c>
      <c r="H475" t="str">
        <f t="shared" si="26"/>
        <v>Male</v>
      </c>
      <c r="I475" t="str">
        <f>"+880"&amp;RIGHT(SUBSTITUTE(SUBSTITUTE($J475," ",""),"-",""),10)</f>
        <v>+8804375044832</v>
      </c>
      <c r="J475" t="s">
        <v>2312</v>
      </c>
      <c r="K475" t="s">
        <v>13</v>
      </c>
      <c r="L475" t="str">
        <f>_xlfn.XLOOKUP($K$3,K:K,K:K,$K$2)</f>
        <v>Bangladesh</v>
      </c>
      <c r="M475" t="s">
        <v>61</v>
      </c>
      <c r="N475" t="e" vm="7">
        <f>_xlfn.XLOOKUP($M475,$O:$O,$P:$P,"")</f>
        <v>#VALUE!</v>
      </c>
    </row>
    <row r="476" spans="1:14" x14ac:dyDescent="0.25">
      <c r="A476">
        <v>558</v>
      </c>
      <c r="B476" t="str">
        <f t="shared" si="24"/>
        <v>Benedicto</v>
      </c>
      <c r="C476" t="s">
        <v>2313</v>
      </c>
      <c r="D476" t="s">
        <v>2314</v>
      </c>
      <c r="E476" t="str">
        <f t="shared" si="25"/>
        <v>bshirrellfh@hibu.com</v>
      </c>
      <c r="F476" t="s">
        <v>2315</v>
      </c>
      <c r="G476" t="s">
        <v>18</v>
      </c>
      <c r="H476" t="str">
        <f t="shared" si="26"/>
        <v>Male</v>
      </c>
      <c r="I476" t="str">
        <f>"+880"&amp;RIGHT(SUBSTITUTE(SUBSTITUTE($J476," ",""),"-",""),10)</f>
        <v>+8802021563804</v>
      </c>
      <c r="J476" t="s">
        <v>2316</v>
      </c>
      <c r="K476" t="s">
        <v>13</v>
      </c>
      <c r="L476" t="str">
        <f>_xlfn.XLOOKUP($K$3,K:K,K:K,$K$2)</f>
        <v>Bangladesh</v>
      </c>
      <c r="M476" t="s">
        <v>261</v>
      </c>
      <c r="N476" t="e" vm="37">
        <f>_xlfn.XLOOKUP($M476,$O:$O,$P:$P,"")</f>
        <v>#VALUE!</v>
      </c>
    </row>
    <row r="477" spans="1:14" x14ac:dyDescent="0.25">
      <c r="A477">
        <v>559</v>
      </c>
      <c r="B477" t="str">
        <f t="shared" si="24"/>
        <v>Sarah</v>
      </c>
      <c r="C477" t="s">
        <v>2317</v>
      </c>
      <c r="D477" t="s">
        <v>2318</v>
      </c>
      <c r="E477" t="str">
        <f t="shared" si="25"/>
        <v>sragdalefi@networkadvertising.org</v>
      </c>
      <c r="F477" t="s">
        <v>2319</v>
      </c>
      <c r="G477" t="s">
        <v>280</v>
      </c>
      <c r="H477" t="str">
        <f t="shared" si="26"/>
        <v>Other</v>
      </c>
      <c r="I477" t="str">
        <f>"+880"&amp;RIGHT(SUBSTITUTE(SUBSTITUTE($J477," ",""),"-",""),10)</f>
        <v>+8808873603301</v>
      </c>
      <c r="J477" t="s">
        <v>2320</v>
      </c>
      <c r="K477" t="s">
        <v>13</v>
      </c>
      <c r="L477" t="str">
        <f>_xlfn.XLOOKUP($K$3,K:K,K:K,$K$2)</f>
        <v>Bangladesh</v>
      </c>
      <c r="M477" t="s">
        <v>168</v>
      </c>
      <c r="N477" t="e" vm="25">
        <f>_xlfn.XLOOKUP($M477,$O:$O,$P:$P,"")</f>
        <v>#VALUE!</v>
      </c>
    </row>
    <row r="478" spans="1:14" x14ac:dyDescent="0.25">
      <c r="A478">
        <v>560</v>
      </c>
      <c r="B478" t="str">
        <f t="shared" si="24"/>
        <v>Thurstan</v>
      </c>
      <c r="C478" t="s">
        <v>2321</v>
      </c>
      <c r="D478" t="s">
        <v>2322</v>
      </c>
      <c r="E478" t="str">
        <f t="shared" si="25"/>
        <v>tdawfj@example.com</v>
      </c>
      <c r="F478" t="s">
        <v>2323</v>
      </c>
      <c r="G478" t="s">
        <v>18</v>
      </c>
      <c r="H478" t="str">
        <f t="shared" si="26"/>
        <v>Male</v>
      </c>
      <c r="I478" t="str">
        <f>"+880"&amp;RIGHT(SUBSTITUTE(SUBSTITUTE($J478," ",""),"-",""),10)</f>
        <v>+8807147871913</v>
      </c>
      <c r="J478" t="s">
        <v>2324</v>
      </c>
      <c r="K478" t="s">
        <v>13</v>
      </c>
      <c r="L478" t="str">
        <f>_xlfn.XLOOKUP($K$3,K:K,K:K,$K$2)</f>
        <v>Bangladesh</v>
      </c>
      <c r="M478" t="s">
        <v>163</v>
      </c>
      <c r="N478" t="e" vm="24">
        <f>_xlfn.XLOOKUP($M478,$O:$O,$P:$P,"")</f>
        <v>#VALUE!</v>
      </c>
    </row>
    <row r="479" spans="1:14" x14ac:dyDescent="0.25">
      <c r="A479">
        <v>561</v>
      </c>
      <c r="B479" t="str">
        <f t="shared" si="24"/>
        <v>Leonore</v>
      </c>
      <c r="C479" t="s">
        <v>2325</v>
      </c>
      <c r="D479" t="s">
        <v>2326</v>
      </c>
      <c r="E479" t="str">
        <f t="shared" si="25"/>
        <v>llodgefk@facebook.com</v>
      </c>
      <c r="F479" t="s">
        <v>2327</v>
      </c>
      <c r="G479" t="s">
        <v>11</v>
      </c>
      <c r="H479" t="str">
        <f t="shared" si="26"/>
        <v>Female</v>
      </c>
      <c r="I479" t="str">
        <f>"+880"&amp;RIGHT(SUBSTITUTE(SUBSTITUTE($J479," ",""),"-",""),10)</f>
        <v>+8806104502281</v>
      </c>
      <c r="J479" t="s">
        <v>2328</v>
      </c>
      <c r="K479" t="s">
        <v>13</v>
      </c>
      <c r="L479" t="str">
        <f>_xlfn.XLOOKUP($K$3,K:K,K:K,$K$2)</f>
        <v>Bangladesh</v>
      </c>
      <c r="M479" t="s">
        <v>673</v>
      </c>
      <c r="N479" t="e" vm="68">
        <f>_xlfn.XLOOKUP($M479,$O:$O,$P:$P,"")</f>
        <v>#VALUE!</v>
      </c>
    </row>
    <row r="480" spans="1:14" x14ac:dyDescent="0.25">
      <c r="A480">
        <v>562</v>
      </c>
      <c r="B480" t="str">
        <f t="shared" si="24"/>
        <v>Birdie</v>
      </c>
      <c r="C480" t="s">
        <v>2329</v>
      </c>
      <c r="D480" t="s">
        <v>2330</v>
      </c>
      <c r="E480" t="str">
        <f t="shared" si="25"/>
        <v>bfowdenfl@mac.com</v>
      </c>
      <c r="F480" t="s">
        <v>2331</v>
      </c>
      <c r="G480" t="s">
        <v>11</v>
      </c>
      <c r="H480" t="str">
        <f t="shared" si="26"/>
        <v>Female</v>
      </c>
      <c r="I480" t="str">
        <f>"+880"&amp;RIGHT(SUBSTITUTE(SUBSTITUTE($J480," ",""),"-",""),10)</f>
        <v>+8804612591815</v>
      </c>
      <c r="J480" t="s">
        <v>2332</v>
      </c>
      <c r="K480" t="s">
        <v>13</v>
      </c>
      <c r="L480" t="str">
        <f>_xlfn.XLOOKUP($K$3,K:K,K:K,$K$2)</f>
        <v>Bangladesh</v>
      </c>
      <c r="M480" t="s">
        <v>125</v>
      </c>
      <c r="N480" t="e" vm="18">
        <f>_xlfn.XLOOKUP($M480,$O:$O,$P:$P,"")</f>
        <v>#VALUE!</v>
      </c>
    </row>
    <row r="481" spans="1:14" x14ac:dyDescent="0.25">
      <c r="A481">
        <v>563</v>
      </c>
      <c r="B481" t="str">
        <f t="shared" si="24"/>
        <v>Marcela</v>
      </c>
      <c r="C481" t="s">
        <v>2333</v>
      </c>
      <c r="D481" t="s">
        <v>2334</v>
      </c>
      <c r="E481" t="str">
        <f t="shared" si="25"/>
        <v>mcheersfm@whitehouse.gov</v>
      </c>
      <c r="F481" t="s">
        <v>2335</v>
      </c>
      <c r="G481" t="s">
        <v>11</v>
      </c>
      <c r="H481" t="str">
        <f t="shared" si="26"/>
        <v>Female</v>
      </c>
      <c r="I481" t="str">
        <f>"+880"&amp;RIGHT(SUBSTITUTE(SUBSTITUTE($J481," ",""),"-",""),10)</f>
        <v>+8803876401452</v>
      </c>
      <c r="J481" t="s">
        <v>2336</v>
      </c>
      <c r="K481" t="s">
        <v>13</v>
      </c>
      <c r="L481" t="str">
        <f>_xlfn.XLOOKUP($K$3,K:K,K:K,$K$2)</f>
        <v>Bangladesh</v>
      </c>
      <c r="M481" t="s">
        <v>1017</v>
      </c>
      <c r="N481" t="e" vm="80">
        <f>_xlfn.XLOOKUP($M481,$O:$O,$P:$P,"")</f>
        <v>#VALUE!</v>
      </c>
    </row>
    <row r="482" spans="1:14" x14ac:dyDescent="0.25">
      <c r="A482">
        <v>564</v>
      </c>
      <c r="B482" t="str">
        <f t="shared" si="24"/>
        <v>Donal</v>
      </c>
      <c r="C482" t="s">
        <v>2337</v>
      </c>
      <c r="D482" t="s">
        <v>2338</v>
      </c>
      <c r="E482" t="str">
        <f t="shared" si="25"/>
        <v>drosenbushfn@princeton.edu</v>
      </c>
      <c r="F482" t="s">
        <v>2339</v>
      </c>
      <c r="G482" t="s">
        <v>18</v>
      </c>
      <c r="H482" t="str">
        <f t="shared" si="26"/>
        <v>Male</v>
      </c>
      <c r="I482" t="str">
        <f>"+880"&amp;RIGHT(SUBSTITUTE(SUBSTITUTE($J482," ",""),"-",""),10)</f>
        <v>+8804122252136</v>
      </c>
      <c r="J482" t="s">
        <v>2340</v>
      </c>
      <c r="K482" t="s">
        <v>13</v>
      </c>
      <c r="L482" t="str">
        <f>_xlfn.XLOOKUP($K$3,K:K,K:K,$K$2)</f>
        <v>Bangladesh</v>
      </c>
      <c r="M482" t="s">
        <v>183</v>
      </c>
      <c r="N482" t="e" vm="28">
        <f>_xlfn.XLOOKUP($M482,$O:$O,$P:$P,"")</f>
        <v>#VALUE!</v>
      </c>
    </row>
    <row r="483" spans="1:14" x14ac:dyDescent="0.25">
      <c r="A483">
        <v>565</v>
      </c>
      <c r="B483" t="str">
        <f t="shared" si="24"/>
        <v>Wilfrid</v>
      </c>
      <c r="C483" t="s">
        <v>2341</v>
      </c>
      <c r="D483" t="s">
        <v>2342</v>
      </c>
      <c r="E483" t="str">
        <f t="shared" si="25"/>
        <v>wmilehamfo@sourceforge.net</v>
      </c>
      <c r="F483" t="s">
        <v>2343</v>
      </c>
      <c r="G483" t="s">
        <v>18</v>
      </c>
      <c r="H483" t="str">
        <f t="shared" si="26"/>
        <v>Male</v>
      </c>
      <c r="I483" t="str">
        <f>"+880"&amp;RIGHT(SUBSTITUTE(SUBSTITUTE($J483," ",""),"-",""),10)</f>
        <v>+8801825883371</v>
      </c>
      <c r="J483" t="s">
        <v>2344</v>
      </c>
      <c r="K483" t="s">
        <v>13</v>
      </c>
      <c r="L483" t="str">
        <f>_xlfn.XLOOKUP($K$3,K:K,K:K,$K$2)</f>
        <v>Bangladesh</v>
      </c>
      <c r="M483" t="s">
        <v>804</v>
      </c>
      <c r="N483" t="e" vm="73">
        <f>_xlfn.XLOOKUP($M483,$O:$O,$P:$P,"")</f>
        <v>#VALUE!</v>
      </c>
    </row>
    <row r="484" spans="1:14" x14ac:dyDescent="0.25">
      <c r="A484">
        <v>566</v>
      </c>
      <c r="B484" t="str">
        <f t="shared" si="24"/>
        <v>Dall</v>
      </c>
      <c r="C484" t="s">
        <v>2345</v>
      </c>
      <c r="D484" t="s">
        <v>2346</v>
      </c>
      <c r="E484" t="str">
        <f t="shared" si="25"/>
        <v>dholburyfp@vk.com</v>
      </c>
      <c r="F484" t="s">
        <v>2347</v>
      </c>
      <c r="G484" t="s">
        <v>18</v>
      </c>
      <c r="H484" t="str">
        <f t="shared" si="26"/>
        <v>Male</v>
      </c>
      <c r="I484" t="str">
        <f>"+880"&amp;RIGHT(SUBSTITUTE(SUBSTITUTE($J484," ",""),"-",""),10)</f>
        <v>+8801524248437</v>
      </c>
      <c r="J484" t="s">
        <v>2348</v>
      </c>
      <c r="K484" t="s">
        <v>13</v>
      </c>
      <c r="L484" t="str">
        <f>_xlfn.XLOOKUP($K$3,K:K,K:K,$K$2)</f>
        <v>Bangladesh</v>
      </c>
      <c r="M484" t="s">
        <v>399</v>
      </c>
      <c r="N484" t="str">
        <f>_xlfn.XLOOKUP($M484,$O:$O,$P:$P,"")</f>
        <v>Jhingergacha</v>
      </c>
    </row>
    <row r="485" spans="1:14" x14ac:dyDescent="0.25">
      <c r="A485">
        <v>568</v>
      </c>
      <c r="B485" t="str">
        <f t="shared" si="24"/>
        <v>Elmore</v>
      </c>
      <c r="C485" t="s">
        <v>2353</v>
      </c>
      <c r="D485" t="s">
        <v>2354</v>
      </c>
      <c r="E485" t="str">
        <f t="shared" si="25"/>
        <v>ebatchleyfr@mlb.com</v>
      </c>
      <c r="F485" t="s">
        <v>2355</v>
      </c>
      <c r="G485" t="s">
        <v>18</v>
      </c>
      <c r="H485" t="str">
        <f t="shared" si="26"/>
        <v>Male</v>
      </c>
      <c r="I485" t="str">
        <f>"+880"&amp;RIGHT(SUBSTITUTE(SUBSTITUTE($J485," ",""),"-",""),10)</f>
        <v>+8805225627792</v>
      </c>
      <c r="J485" t="s">
        <v>2356</v>
      </c>
      <c r="K485" t="s">
        <v>13</v>
      </c>
      <c r="L485" t="str">
        <f>_xlfn.XLOOKUP($K$3,K:K,K:K,$K$2)</f>
        <v>Bangladesh</v>
      </c>
      <c r="M485" t="s">
        <v>188</v>
      </c>
      <c r="N485" t="e" vm="29">
        <f>_xlfn.XLOOKUP($M485,$O:$O,$P:$P,"")</f>
        <v>#VALUE!</v>
      </c>
    </row>
    <row r="486" spans="1:14" x14ac:dyDescent="0.25">
      <c r="A486">
        <v>569</v>
      </c>
      <c r="B486" t="str">
        <f t="shared" si="24"/>
        <v>Berkley</v>
      </c>
      <c r="C486" t="s">
        <v>2357</v>
      </c>
      <c r="D486" t="s">
        <v>2358</v>
      </c>
      <c r="E486" t="str">
        <f t="shared" si="25"/>
        <v>bprinettfs@illinois.edu</v>
      </c>
      <c r="F486" t="s">
        <v>2359</v>
      </c>
      <c r="G486" t="s">
        <v>18</v>
      </c>
      <c r="H486" t="str">
        <f t="shared" si="26"/>
        <v>Male</v>
      </c>
      <c r="I486" t="str">
        <f>"+880"&amp;RIGHT(SUBSTITUTE(SUBSTITUTE($J486," ",""),"-",""),10)</f>
        <v>+8801758074760</v>
      </c>
      <c r="J486" t="s">
        <v>2360</v>
      </c>
      <c r="K486" t="s">
        <v>13</v>
      </c>
      <c r="L486" t="str">
        <f>_xlfn.XLOOKUP($K$3,K:K,K:K,$K$2)</f>
        <v>Bangladesh</v>
      </c>
      <c r="M486" t="s">
        <v>101</v>
      </c>
      <c r="N486" t="e" vm="15">
        <f>_xlfn.XLOOKUP($M486,$O:$O,$P:$P,"")</f>
        <v>#VALUE!</v>
      </c>
    </row>
    <row r="487" spans="1:14" x14ac:dyDescent="0.25">
      <c r="A487">
        <v>570</v>
      </c>
      <c r="B487" t="str">
        <f t="shared" si="24"/>
        <v>Lucina</v>
      </c>
      <c r="C487" t="s">
        <v>2361</v>
      </c>
      <c r="D487" t="s">
        <v>2362</v>
      </c>
      <c r="E487" t="str">
        <f t="shared" si="25"/>
        <v>lfriettft@vkontakte.ru</v>
      </c>
      <c r="F487" t="s">
        <v>2363</v>
      </c>
      <c r="G487" t="s">
        <v>11</v>
      </c>
      <c r="H487" t="str">
        <f t="shared" si="26"/>
        <v>Female</v>
      </c>
      <c r="I487" t="str">
        <f>"+880"&amp;RIGHT(SUBSTITUTE(SUBSTITUTE($J487," ",""),"-",""),10)</f>
        <v>+8807162655977</v>
      </c>
      <c r="J487" t="s">
        <v>2364</v>
      </c>
      <c r="K487" t="s">
        <v>13</v>
      </c>
      <c r="L487" t="str">
        <f>_xlfn.XLOOKUP($K$3,K:K,K:K,$K$2)</f>
        <v>Bangladesh</v>
      </c>
      <c r="M487" t="s">
        <v>504</v>
      </c>
      <c r="N487" t="e" vm="54">
        <f>_xlfn.XLOOKUP($M487,$O:$O,$P:$P,"")</f>
        <v>#VALUE!</v>
      </c>
    </row>
    <row r="488" spans="1:14" x14ac:dyDescent="0.25">
      <c r="A488">
        <v>571</v>
      </c>
      <c r="B488" t="str">
        <f t="shared" si="24"/>
        <v>Ronny</v>
      </c>
      <c r="C488" t="s">
        <v>2365</v>
      </c>
      <c r="D488" t="s">
        <v>2366</v>
      </c>
      <c r="E488" t="str">
        <f t="shared" si="25"/>
        <v>rstraughanfu@hud.gov</v>
      </c>
      <c r="F488" t="s">
        <v>2367</v>
      </c>
      <c r="G488" t="s">
        <v>18</v>
      </c>
      <c r="H488" t="str">
        <f t="shared" si="26"/>
        <v>Male</v>
      </c>
      <c r="I488" t="str">
        <f>"+880"&amp;RIGHT(SUBSTITUTE(SUBSTITUTE($J488," ",""),"-",""),10)</f>
        <v>+8805218242518</v>
      </c>
      <c r="J488" t="s">
        <v>2368</v>
      </c>
      <c r="K488" t="s">
        <v>13</v>
      </c>
      <c r="L488" t="str">
        <f>_xlfn.XLOOKUP($K$3,K:K,K:K,$K$2)</f>
        <v>Bangladesh</v>
      </c>
      <c r="M488" t="s">
        <v>96</v>
      </c>
      <c r="N488" t="e" vm="14">
        <f>_xlfn.XLOOKUP($M488,$O:$O,$P:$P,"")</f>
        <v>#VALUE!</v>
      </c>
    </row>
    <row r="489" spans="1:14" x14ac:dyDescent="0.25">
      <c r="A489">
        <v>572</v>
      </c>
      <c r="B489" t="str">
        <f t="shared" si="24"/>
        <v>Tracy</v>
      </c>
      <c r="C489" t="s">
        <v>1946</v>
      </c>
      <c r="D489" t="s">
        <v>2369</v>
      </c>
      <c r="E489" t="str">
        <f t="shared" si="25"/>
        <v>tticklefv@nydailynews.com</v>
      </c>
      <c r="F489" t="s">
        <v>2370</v>
      </c>
      <c r="G489" t="s">
        <v>11</v>
      </c>
      <c r="H489" t="str">
        <f t="shared" si="26"/>
        <v>Female</v>
      </c>
      <c r="I489" t="str">
        <f>"+880"&amp;RIGHT(SUBSTITUTE(SUBSTITUTE($J489," ",""),"-",""),10)</f>
        <v>+8808121210421</v>
      </c>
      <c r="J489" t="s">
        <v>2371</v>
      </c>
      <c r="K489" t="s">
        <v>13</v>
      </c>
      <c r="L489" t="str">
        <f>_xlfn.XLOOKUP($K$3,K:K,K:K,$K$2)</f>
        <v>Bangladesh</v>
      </c>
      <c r="M489" t="s">
        <v>110</v>
      </c>
      <c r="N489" t="e" vm="16">
        <f>_xlfn.XLOOKUP($M489,$O:$O,$P:$P,"")</f>
        <v>#VALUE!</v>
      </c>
    </row>
    <row r="490" spans="1:14" x14ac:dyDescent="0.25">
      <c r="A490">
        <v>574</v>
      </c>
      <c r="B490" t="str">
        <f t="shared" si="24"/>
        <v>Hernando</v>
      </c>
      <c r="C490" t="s">
        <v>1606</v>
      </c>
      <c r="D490" t="s">
        <v>2376</v>
      </c>
      <c r="E490" t="str">
        <f t="shared" si="25"/>
        <v>hblackwoodfx@rambler.ru</v>
      </c>
      <c r="F490" t="s">
        <v>2377</v>
      </c>
      <c r="G490" t="s">
        <v>18</v>
      </c>
      <c r="H490" t="str">
        <f t="shared" si="26"/>
        <v>Male</v>
      </c>
      <c r="I490" t="str">
        <f>"+880"&amp;RIGHT(SUBSTITUTE(SUBSTITUTE($J490," ",""),"-",""),10)</f>
        <v>+8808376908433</v>
      </c>
      <c r="J490" t="s">
        <v>2378</v>
      </c>
      <c r="K490" t="s">
        <v>13</v>
      </c>
      <c r="L490" t="str">
        <f>_xlfn.XLOOKUP($K$3,K:K,K:K,$K$2)</f>
        <v>Bangladesh</v>
      </c>
      <c r="M490" t="s">
        <v>779</v>
      </c>
      <c r="N490" t="e" vm="72">
        <f>_xlfn.XLOOKUP($M490,$O:$O,$P:$P,"")</f>
        <v>#VALUE!</v>
      </c>
    </row>
    <row r="491" spans="1:14" x14ac:dyDescent="0.25">
      <c r="A491">
        <v>575</v>
      </c>
      <c r="B491" t="str">
        <f t="shared" si="24"/>
        <v>Hamnet</v>
      </c>
      <c r="C491" t="s">
        <v>2379</v>
      </c>
      <c r="D491" t="s">
        <v>2380</v>
      </c>
      <c r="E491" t="str">
        <f t="shared" si="25"/>
        <v>hfoundsfy@usnews.com</v>
      </c>
      <c r="F491" t="s">
        <v>2381</v>
      </c>
      <c r="G491" t="s">
        <v>18</v>
      </c>
      <c r="H491" t="str">
        <f t="shared" si="26"/>
        <v>Male</v>
      </c>
      <c r="I491" t="str">
        <f>"+880"&amp;RIGHT(SUBSTITUTE(SUBSTITUTE($J491," ",""),"-",""),10)</f>
        <v>+8803435158322</v>
      </c>
      <c r="J491" t="s">
        <v>2382</v>
      </c>
      <c r="K491" t="s">
        <v>13</v>
      </c>
      <c r="L491" t="str">
        <f>_xlfn.XLOOKUP($K$3,K:K,K:K,$K$2)</f>
        <v>Bangladesh</v>
      </c>
      <c r="M491" t="s">
        <v>36</v>
      </c>
      <c r="N491" t="str">
        <f>_xlfn.XLOOKUP($M491,$O:$O,$P:$P,"")</f>
        <v>Lakshmapur</v>
      </c>
    </row>
    <row r="492" spans="1:14" x14ac:dyDescent="0.25">
      <c r="A492">
        <v>577</v>
      </c>
      <c r="B492" t="str">
        <f t="shared" si="24"/>
        <v>Marley</v>
      </c>
      <c r="C492" t="s">
        <v>2386</v>
      </c>
      <c r="D492" t="s">
        <v>2387</v>
      </c>
      <c r="E492" t="str">
        <f t="shared" si="25"/>
        <v>msalvadorg0@google.cn</v>
      </c>
      <c r="F492" t="s">
        <v>2388</v>
      </c>
      <c r="G492" t="s">
        <v>11</v>
      </c>
      <c r="H492" t="str">
        <f t="shared" si="26"/>
        <v>Female</v>
      </c>
      <c r="I492" t="str">
        <f>"+880"&amp;RIGHT(SUBSTITUTE(SUBSTITUTE($J492," ",""),"-",""),10)</f>
        <v>+8809292515471</v>
      </c>
      <c r="J492" t="s">
        <v>2389</v>
      </c>
      <c r="K492" t="s">
        <v>13</v>
      </c>
      <c r="L492" t="str">
        <f>_xlfn.XLOOKUP($K$3,K:K,K:K,$K$2)</f>
        <v>Bangladesh</v>
      </c>
      <c r="M492" t="s">
        <v>91</v>
      </c>
      <c r="N492" t="e" vm="13">
        <f>_xlfn.XLOOKUP($M492,$O:$O,$P:$P,"")</f>
        <v>#VALUE!</v>
      </c>
    </row>
    <row r="493" spans="1:14" x14ac:dyDescent="0.25">
      <c r="A493">
        <v>578</v>
      </c>
      <c r="B493" t="str">
        <f t="shared" ref="B493:B541" si="27">PROPER(TRIM($C493))</f>
        <v>Aylmer</v>
      </c>
      <c r="C493" t="s">
        <v>2242</v>
      </c>
      <c r="D493" t="s">
        <v>2390</v>
      </c>
      <c r="E493" t="str">
        <f t="shared" ref="E493:E541" si="28">LOWER(TRIM($F493))</f>
        <v>alascellg1@pbs.org</v>
      </c>
      <c r="F493" t="s">
        <v>2391</v>
      </c>
      <c r="G493" t="s">
        <v>18</v>
      </c>
      <c r="H493" t="str">
        <f t="shared" ref="H493:H541" si="29">IF(OR($G493="M",LOWER($G493)="male"),"Male",
IF(OR($G493="F",LOWER($G493)="female"),"Female","Other"))</f>
        <v>Male</v>
      </c>
      <c r="I493" t="str">
        <f>"+880"&amp;RIGHT(SUBSTITUTE(SUBSTITUTE($J493," ",""),"-",""),10)</f>
        <v>+8804565436290</v>
      </c>
      <c r="J493" t="s">
        <v>2392</v>
      </c>
      <c r="K493" t="s">
        <v>13</v>
      </c>
      <c r="L493" t="str">
        <f>_xlfn.XLOOKUP($K$3,K:K,K:K,$K$2)</f>
        <v>Bangladesh</v>
      </c>
      <c r="M493" t="s">
        <v>308</v>
      </c>
      <c r="N493" t="e" vm="42">
        <f>_xlfn.XLOOKUP($M493,$O:$O,$P:$P,"")</f>
        <v>#VALUE!</v>
      </c>
    </row>
    <row r="494" spans="1:14" x14ac:dyDescent="0.25">
      <c r="A494">
        <v>579</v>
      </c>
      <c r="B494" t="str">
        <f t="shared" si="27"/>
        <v>Martie</v>
      </c>
      <c r="C494" t="s">
        <v>2393</v>
      </c>
      <c r="D494" t="s">
        <v>2394</v>
      </c>
      <c r="E494" t="str">
        <f t="shared" si="28"/>
        <v>meneasg2@mac.com</v>
      </c>
      <c r="F494" t="s">
        <v>2395</v>
      </c>
      <c r="G494" t="s">
        <v>18</v>
      </c>
      <c r="H494" t="str">
        <f t="shared" si="29"/>
        <v>Male</v>
      </c>
      <c r="I494" t="str">
        <f>"+880"&amp;RIGHT(SUBSTITUTE(SUBSTITUTE($J494," ",""),"-",""),10)</f>
        <v>+8807168847087</v>
      </c>
      <c r="J494" t="s">
        <v>2396</v>
      </c>
      <c r="K494" t="s">
        <v>13</v>
      </c>
      <c r="L494" t="str">
        <f>_xlfn.XLOOKUP($K$3,K:K,K:K,$K$2)</f>
        <v>Bangladesh</v>
      </c>
      <c r="M494" t="s">
        <v>76</v>
      </c>
      <c r="N494" t="e" vm="10">
        <f>_xlfn.XLOOKUP($M494,$O:$O,$P:$P,"")</f>
        <v>#VALUE!</v>
      </c>
    </row>
    <row r="495" spans="1:14" x14ac:dyDescent="0.25">
      <c r="A495">
        <v>580</v>
      </c>
      <c r="B495" t="str">
        <f t="shared" si="27"/>
        <v>Hinda</v>
      </c>
      <c r="C495" t="s">
        <v>2397</v>
      </c>
      <c r="D495" t="s">
        <v>2398</v>
      </c>
      <c r="E495" t="str">
        <f t="shared" si="28"/>
        <v>hpeartreeg3@theguardian.com</v>
      </c>
      <c r="F495" t="s">
        <v>2399</v>
      </c>
      <c r="G495" t="s">
        <v>11</v>
      </c>
      <c r="H495" t="str">
        <f t="shared" si="29"/>
        <v>Female</v>
      </c>
      <c r="I495" t="str">
        <f>"+880"&amp;RIGHT(SUBSTITUTE(SUBSTITUTE($J495," ",""),"-",""),10)</f>
        <v>+8805471572455</v>
      </c>
      <c r="J495" t="s">
        <v>2400</v>
      </c>
      <c r="K495" t="s">
        <v>13</v>
      </c>
      <c r="L495" t="str">
        <f>_xlfn.XLOOKUP($K$3,K:K,K:K,$K$2)</f>
        <v>Bangladesh</v>
      </c>
      <c r="M495" t="s">
        <v>438</v>
      </c>
      <c r="N495" t="e" vm="52">
        <f>_xlfn.XLOOKUP($M495,$O:$O,$P:$P,"")</f>
        <v>#VALUE!</v>
      </c>
    </row>
    <row r="496" spans="1:14" x14ac:dyDescent="0.25">
      <c r="A496">
        <v>581</v>
      </c>
      <c r="B496" t="str">
        <f t="shared" si="27"/>
        <v>Gisella</v>
      </c>
      <c r="C496" t="s">
        <v>2401</v>
      </c>
      <c r="D496" t="s">
        <v>2402</v>
      </c>
      <c r="E496" t="str">
        <f t="shared" si="28"/>
        <v>gcleeverg4@google.fr</v>
      </c>
      <c r="F496" t="s">
        <v>2403</v>
      </c>
      <c r="G496" t="s">
        <v>11</v>
      </c>
      <c r="H496" t="str">
        <f t="shared" si="29"/>
        <v>Female</v>
      </c>
      <c r="I496" t="str">
        <f>"+880"&amp;RIGHT(SUBSTITUTE(SUBSTITUTE($J496," ",""),"-",""),10)</f>
        <v>+8806902117939</v>
      </c>
      <c r="J496" t="s">
        <v>2404</v>
      </c>
      <c r="K496" t="s">
        <v>13</v>
      </c>
      <c r="L496" t="str">
        <f>_xlfn.XLOOKUP($K$3,K:K,K:K,$K$2)</f>
        <v>Bangladesh</v>
      </c>
      <c r="M496" t="s">
        <v>252</v>
      </c>
      <c r="N496" t="e" vm="36">
        <f>_xlfn.XLOOKUP($M496,$O:$O,$P:$P,"")</f>
        <v>#VALUE!</v>
      </c>
    </row>
    <row r="497" spans="1:14" x14ac:dyDescent="0.25">
      <c r="A497">
        <v>582</v>
      </c>
      <c r="B497" t="str">
        <f t="shared" si="27"/>
        <v>Tremayne</v>
      </c>
      <c r="C497" t="s">
        <v>2405</v>
      </c>
      <c r="D497" t="s">
        <v>2406</v>
      </c>
      <c r="E497" t="str">
        <f t="shared" si="28"/>
        <v>thariotg5@upenn.edu</v>
      </c>
      <c r="F497" t="s">
        <v>2407</v>
      </c>
      <c r="G497" t="s">
        <v>18</v>
      </c>
      <c r="H497" t="str">
        <f t="shared" si="29"/>
        <v>Male</v>
      </c>
      <c r="I497" t="str">
        <f>"+880"&amp;RIGHT(SUBSTITUTE(SUBSTITUTE($J497," ",""),"-",""),10)</f>
        <v>+8801327125931</v>
      </c>
      <c r="J497" t="s">
        <v>2408</v>
      </c>
      <c r="K497" t="s">
        <v>13</v>
      </c>
      <c r="L497" t="str">
        <f>_xlfn.XLOOKUP($K$3,K:K,K:K,$K$2)</f>
        <v>Bangladesh</v>
      </c>
      <c r="M497" t="s">
        <v>705</v>
      </c>
      <c r="N497" t="e" vm="71">
        <f>_xlfn.XLOOKUP($M497,$O:$O,$P:$P,"")</f>
        <v>#VALUE!</v>
      </c>
    </row>
    <row r="498" spans="1:14" x14ac:dyDescent="0.25">
      <c r="A498">
        <v>583</v>
      </c>
      <c r="B498" t="str">
        <f t="shared" si="27"/>
        <v>Douglass</v>
      </c>
      <c r="C498" t="s">
        <v>2409</v>
      </c>
      <c r="D498" t="s">
        <v>2410</v>
      </c>
      <c r="E498" t="str">
        <f t="shared" si="28"/>
        <v>dleportg6@bluehost.com</v>
      </c>
      <c r="F498" t="s">
        <v>2411</v>
      </c>
      <c r="G498" t="s">
        <v>18</v>
      </c>
      <c r="H498" t="str">
        <f t="shared" si="29"/>
        <v>Male</v>
      </c>
      <c r="I498" t="str">
        <f>"+880"&amp;RIGHT(SUBSTITUTE(SUBSTITUTE($J498," ",""),"-",""),10)</f>
        <v>+8807402856260</v>
      </c>
      <c r="J498" t="s">
        <v>2412</v>
      </c>
      <c r="K498" t="s">
        <v>13</v>
      </c>
      <c r="L498" t="str">
        <f>_xlfn.XLOOKUP($K$3,K:K,K:K,$K$2)</f>
        <v>Bangladesh</v>
      </c>
      <c r="M498" t="s">
        <v>804</v>
      </c>
      <c r="N498" t="e" vm="73">
        <f>_xlfn.XLOOKUP($M498,$O:$O,$P:$P,"")</f>
        <v>#VALUE!</v>
      </c>
    </row>
    <row r="499" spans="1:14" x14ac:dyDescent="0.25">
      <c r="A499">
        <v>585</v>
      </c>
      <c r="B499" t="str">
        <f t="shared" si="27"/>
        <v>Madeline</v>
      </c>
      <c r="C499" t="s">
        <v>2417</v>
      </c>
      <c r="D499" t="s">
        <v>2418</v>
      </c>
      <c r="E499" t="str">
        <f t="shared" si="28"/>
        <v>mchishullg8@hexun.com</v>
      </c>
      <c r="F499" t="s">
        <v>2419</v>
      </c>
      <c r="G499" t="s">
        <v>228</v>
      </c>
      <c r="H499" t="str">
        <f t="shared" si="29"/>
        <v>Other</v>
      </c>
      <c r="I499" t="str">
        <f>"+880"&amp;RIGHT(SUBSTITUTE(SUBSTITUTE($J499," ",""),"-",""),10)</f>
        <v>+8809834505676</v>
      </c>
      <c r="J499" t="s">
        <v>2420</v>
      </c>
      <c r="K499" t="s">
        <v>13</v>
      </c>
      <c r="L499" t="str">
        <f>_xlfn.XLOOKUP($K$3,K:K,K:K,$K$2)</f>
        <v>Bangladesh</v>
      </c>
      <c r="M499" t="s">
        <v>31</v>
      </c>
      <c r="N499" t="e" vm="4">
        <f>_xlfn.XLOOKUP($M499,$O:$O,$P:$P,"")</f>
        <v>#VALUE!</v>
      </c>
    </row>
    <row r="500" spans="1:14" x14ac:dyDescent="0.25">
      <c r="A500">
        <v>586</v>
      </c>
      <c r="B500" t="str">
        <f t="shared" si="27"/>
        <v>Guthrie</v>
      </c>
      <c r="C500" t="s">
        <v>2421</v>
      </c>
      <c r="D500" t="s">
        <v>2422</v>
      </c>
      <c r="E500" t="str">
        <f t="shared" si="28"/>
        <v>gmccayg9@ustream.tv</v>
      </c>
      <c r="F500" t="s">
        <v>2423</v>
      </c>
      <c r="G500" t="s">
        <v>18</v>
      </c>
      <c r="H500" t="str">
        <f t="shared" si="29"/>
        <v>Male</v>
      </c>
      <c r="I500" t="str">
        <f>"+880"&amp;RIGHT(SUBSTITUTE(SUBSTITUTE($J500," ",""),"-",""),10)</f>
        <v>+8809341670561</v>
      </c>
      <c r="J500" t="s">
        <v>2424</v>
      </c>
      <c r="K500" t="s">
        <v>13</v>
      </c>
      <c r="L500" t="str">
        <f>_xlfn.XLOOKUP($K$3,K:K,K:K,$K$2)</f>
        <v>Bangladesh</v>
      </c>
      <c r="M500" t="s">
        <v>374</v>
      </c>
      <c r="N500" t="e" vm="48">
        <f>_xlfn.XLOOKUP($M500,$O:$O,$P:$P,"")</f>
        <v>#VALUE!</v>
      </c>
    </row>
    <row r="501" spans="1:14" x14ac:dyDescent="0.25">
      <c r="A501">
        <v>587</v>
      </c>
      <c r="B501" t="str">
        <f t="shared" si="27"/>
        <v>Evaleen</v>
      </c>
      <c r="C501" t="s">
        <v>2425</v>
      </c>
      <c r="D501" t="s">
        <v>2426</v>
      </c>
      <c r="E501" t="str">
        <f t="shared" si="28"/>
        <v>efengega@list-manage.com</v>
      </c>
      <c r="F501" t="s">
        <v>2427</v>
      </c>
      <c r="G501" t="s">
        <v>11</v>
      </c>
      <c r="H501" t="str">
        <f t="shared" si="29"/>
        <v>Female</v>
      </c>
      <c r="I501" t="str">
        <f>"+880"&amp;RIGHT(SUBSTITUTE(SUBSTITUTE($J501," ",""),"-",""),10)</f>
        <v>+8808467327066</v>
      </c>
      <c r="J501" t="s">
        <v>2428</v>
      </c>
      <c r="K501" t="s">
        <v>13</v>
      </c>
      <c r="L501" t="str">
        <f>_xlfn.XLOOKUP($K$3,K:K,K:K,$K$2)</f>
        <v>Bangladesh</v>
      </c>
      <c r="M501" t="s">
        <v>700</v>
      </c>
      <c r="N501" t="e" vm="70">
        <f>_xlfn.XLOOKUP($M501,$O:$O,$P:$P,"")</f>
        <v>#VALUE!</v>
      </c>
    </row>
    <row r="502" spans="1:14" x14ac:dyDescent="0.25">
      <c r="A502">
        <v>588</v>
      </c>
      <c r="B502" t="str">
        <f t="shared" si="27"/>
        <v>Arv</v>
      </c>
      <c r="C502" t="s">
        <v>2429</v>
      </c>
      <c r="D502" t="s">
        <v>2430</v>
      </c>
      <c r="E502" t="str">
        <f t="shared" si="28"/>
        <v>adeversongb@adobe.com</v>
      </c>
      <c r="F502" t="s">
        <v>2431</v>
      </c>
      <c r="G502" t="s">
        <v>18</v>
      </c>
      <c r="H502" t="str">
        <f t="shared" si="29"/>
        <v>Male</v>
      </c>
      <c r="I502" t="str">
        <f>"+880"&amp;RIGHT(SUBSTITUTE(SUBSTITUTE($J502," ",""),"-",""),10)</f>
        <v>+8802458739595</v>
      </c>
      <c r="J502" t="s">
        <v>2432</v>
      </c>
      <c r="K502" t="s">
        <v>13</v>
      </c>
      <c r="L502" t="str">
        <f>_xlfn.XLOOKUP($K$3,K:K,K:K,$K$2)</f>
        <v>Bangladesh</v>
      </c>
      <c r="M502" t="s">
        <v>178</v>
      </c>
      <c r="N502" t="e" vm="27">
        <f>_xlfn.XLOOKUP($M502,$O:$O,$P:$P,"")</f>
        <v>#VALUE!</v>
      </c>
    </row>
    <row r="503" spans="1:14" x14ac:dyDescent="0.25">
      <c r="A503">
        <v>589</v>
      </c>
      <c r="B503" t="str">
        <f t="shared" si="27"/>
        <v>Lotte</v>
      </c>
      <c r="C503" t="s">
        <v>2433</v>
      </c>
      <c r="D503" t="s">
        <v>2434</v>
      </c>
      <c r="E503" t="str">
        <f t="shared" si="28"/>
        <v>lfrigc@ebay.co.uk</v>
      </c>
      <c r="F503" t="s">
        <v>2435</v>
      </c>
      <c r="G503" t="s">
        <v>11</v>
      </c>
      <c r="H503" t="str">
        <f t="shared" si="29"/>
        <v>Female</v>
      </c>
      <c r="I503" t="str">
        <f>"+880"&amp;RIGHT(SUBSTITUTE(SUBSTITUTE($J503," ",""),"-",""),10)</f>
        <v>+8808181314411</v>
      </c>
      <c r="J503" t="s">
        <v>2436</v>
      </c>
      <c r="K503" t="s">
        <v>13</v>
      </c>
      <c r="L503" t="str">
        <f>_xlfn.XLOOKUP($K$3,K:K,K:K,$K$2)</f>
        <v>Bangladesh</v>
      </c>
      <c r="M503" t="s">
        <v>71</v>
      </c>
      <c r="N503" t="e" vm="9">
        <f>_xlfn.XLOOKUP($M503,$O:$O,$P:$P,"")</f>
        <v>#VALUE!</v>
      </c>
    </row>
    <row r="504" spans="1:14" x14ac:dyDescent="0.25">
      <c r="A504">
        <v>592</v>
      </c>
      <c r="B504" t="str">
        <f t="shared" si="27"/>
        <v>Marylin</v>
      </c>
      <c r="C504" t="s">
        <v>2445</v>
      </c>
      <c r="D504" t="s">
        <v>2446</v>
      </c>
      <c r="E504" t="str">
        <f t="shared" si="28"/>
        <v>mlawlergf@plala.or.jp</v>
      </c>
      <c r="F504" t="s">
        <v>2447</v>
      </c>
      <c r="G504" t="s">
        <v>11</v>
      </c>
      <c r="H504" t="str">
        <f t="shared" si="29"/>
        <v>Female</v>
      </c>
      <c r="I504" t="str">
        <f>"+880"&amp;RIGHT(SUBSTITUTE(SUBSTITUTE($J504," ",""),"-",""),10)</f>
        <v>+8805963223820</v>
      </c>
      <c r="J504" t="s">
        <v>2448</v>
      </c>
      <c r="K504" t="s">
        <v>13</v>
      </c>
      <c r="L504" t="str">
        <f>_xlfn.XLOOKUP($K$3,K:K,K:K,$K$2)</f>
        <v>Bangladesh</v>
      </c>
      <c r="M504" t="s">
        <v>120</v>
      </c>
      <c r="N504" t="str">
        <f>_xlfn.XLOOKUP($M504,$O:$O,$P:$P,"")</f>
        <v>Bhatpara Abhaynagar</v>
      </c>
    </row>
    <row r="505" spans="1:14" x14ac:dyDescent="0.25">
      <c r="A505">
        <v>593</v>
      </c>
      <c r="B505" t="str">
        <f t="shared" si="27"/>
        <v>Eddy</v>
      </c>
      <c r="C505" t="s">
        <v>2449</v>
      </c>
      <c r="D505" t="s">
        <v>2450</v>
      </c>
      <c r="E505" t="str">
        <f t="shared" si="28"/>
        <v>emattessengg@pagesperso-orange.fr</v>
      </c>
      <c r="F505" t="s">
        <v>2451</v>
      </c>
      <c r="G505" t="s">
        <v>11</v>
      </c>
      <c r="H505" t="str">
        <f t="shared" si="29"/>
        <v>Female</v>
      </c>
      <c r="I505" t="str">
        <f>"+880"&amp;RIGHT(SUBSTITUTE(SUBSTITUTE($J505," ",""),"-",""),10)</f>
        <v>+8807068127707</v>
      </c>
      <c r="J505" t="s">
        <v>2452</v>
      </c>
      <c r="K505" t="s">
        <v>13</v>
      </c>
      <c r="L505" t="str">
        <f>_xlfn.XLOOKUP($K$3,K:K,K:K,$K$2)</f>
        <v>Bangladesh</v>
      </c>
      <c r="M505" t="s">
        <v>71</v>
      </c>
      <c r="N505" t="e" vm="9">
        <f>_xlfn.XLOOKUP($M505,$O:$O,$P:$P,"")</f>
        <v>#VALUE!</v>
      </c>
    </row>
    <row r="506" spans="1:14" x14ac:dyDescent="0.25">
      <c r="A506">
        <v>595</v>
      </c>
      <c r="B506" t="str">
        <f t="shared" si="27"/>
        <v>Harwell</v>
      </c>
      <c r="C506" t="s">
        <v>2457</v>
      </c>
      <c r="D506" t="s">
        <v>2458</v>
      </c>
      <c r="E506" t="str">
        <f t="shared" si="28"/>
        <v>hbolingbrokegi@bandcamp.com</v>
      </c>
      <c r="F506" t="s">
        <v>2459</v>
      </c>
      <c r="G506" t="s">
        <v>769</v>
      </c>
      <c r="H506" t="str">
        <f t="shared" si="29"/>
        <v>Other</v>
      </c>
      <c r="I506" t="str">
        <f>"+880"&amp;RIGHT(SUBSTITUTE(SUBSTITUTE($J506," ",""),"-",""),10)</f>
        <v>+8809173314937</v>
      </c>
      <c r="J506" t="s">
        <v>2460</v>
      </c>
      <c r="K506" t="s">
        <v>13</v>
      </c>
      <c r="L506" t="str">
        <f>_xlfn.XLOOKUP($K$3,K:K,K:K,$K$2)</f>
        <v>Bangladesh</v>
      </c>
      <c r="M506" t="s">
        <v>110</v>
      </c>
      <c r="N506" t="e" vm="16">
        <f>_xlfn.XLOOKUP($M506,$O:$O,$P:$P,"")</f>
        <v>#VALUE!</v>
      </c>
    </row>
    <row r="507" spans="1:14" x14ac:dyDescent="0.25">
      <c r="A507">
        <v>596</v>
      </c>
      <c r="B507" t="str">
        <f t="shared" si="27"/>
        <v>Viviene</v>
      </c>
      <c r="C507" t="s">
        <v>2461</v>
      </c>
      <c r="D507" t="s">
        <v>2462</v>
      </c>
      <c r="E507" t="str">
        <f t="shared" si="28"/>
        <v>vridsdolegj@vinaora.com</v>
      </c>
      <c r="F507" t="s">
        <v>2463</v>
      </c>
      <c r="G507" t="s">
        <v>358</v>
      </c>
      <c r="H507" t="str">
        <f t="shared" si="29"/>
        <v>Other</v>
      </c>
      <c r="I507" t="str">
        <f>"+880"&amp;RIGHT(SUBSTITUTE(SUBSTITUTE($J507," ",""),"-",""),10)</f>
        <v>+8801261484654</v>
      </c>
      <c r="J507" t="s">
        <v>2464</v>
      </c>
      <c r="K507" t="s">
        <v>13</v>
      </c>
      <c r="L507" t="str">
        <f>_xlfn.XLOOKUP($K$3,K:K,K:K,$K$2)</f>
        <v>Bangladesh</v>
      </c>
      <c r="M507" t="s">
        <v>287</v>
      </c>
      <c r="N507" t="e" vm="41">
        <f>_xlfn.XLOOKUP($M507,$O:$O,$P:$P,"")</f>
        <v>#VALUE!</v>
      </c>
    </row>
    <row r="508" spans="1:14" x14ac:dyDescent="0.25">
      <c r="A508">
        <v>597</v>
      </c>
      <c r="B508" t="str">
        <f t="shared" si="27"/>
        <v>Micah</v>
      </c>
      <c r="C508" t="s">
        <v>2465</v>
      </c>
      <c r="D508" t="s">
        <v>2466</v>
      </c>
      <c r="E508" t="str">
        <f t="shared" si="28"/>
        <v>mdraygk@chron.com</v>
      </c>
      <c r="F508" t="s">
        <v>2467</v>
      </c>
      <c r="G508" t="s">
        <v>18</v>
      </c>
      <c r="H508" t="str">
        <f t="shared" si="29"/>
        <v>Male</v>
      </c>
      <c r="I508" t="str">
        <f>"+880"&amp;RIGHT(SUBSTITUTE(SUBSTITUTE($J508," ",""),"-",""),10)</f>
        <v>+8801979488688</v>
      </c>
      <c r="J508" t="s">
        <v>2468</v>
      </c>
      <c r="K508" t="s">
        <v>13</v>
      </c>
      <c r="L508" t="str">
        <f>_xlfn.XLOOKUP($K$3,K:K,K:K,$K$2)</f>
        <v>Bangladesh</v>
      </c>
      <c r="M508" t="s">
        <v>365</v>
      </c>
      <c r="N508" t="e" vm="47">
        <f>_xlfn.XLOOKUP($M508,$O:$O,$P:$P,"")</f>
        <v>#VALUE!</v>
      </c>
    </row>
    <row r="509" spans="1:14" x14ac:dyDescent="0.25">
      <c r="A509">
        <v>598</v>
      </c>
      <c r="B509" t="str">
        <f t="shared" si="27"/>
        <v>Audry</v>
      </c>
      <c r="C509" t="s">
        <v>2469</v>
      </c>
      <c r="D509" t="s">
        <v>2470</v>
      </c>
      <c r="E509" t="str">
        <f t="shared" si="28"/>
        <v>akennairdgl@nifty.com</v>
      </c>
      <c r="F509" t="s">
        <v>2471</v>
      </c>
      <c r="G509" t="s">
        <v>11</v>
      </c>
      <c r="H509" t="str">
        <f t="shared" si="29"/>
        <v>Female</v>
      </c>
      <c r="I509" t="str">
        <f>"+880"&amp;RIGHT(SUBSTITUTE(SUBSTITUTE($J509," ",""),"-",""),10)</f>
        <v>+8806919551471</v>
      </c>
      <c r="J509" t="s">
        <v>2472</v>
      </c>
      <c r="K509" t="s">
        <v>13</v>
      </c>
      <c r="L509" t="str">
        <f>_xlfn.XLOOKUP($K$3,K:K,K:K,$K$2)</f>
        <v>Bangladesh</v>
      </c>
      <c r="M509" t="s">
        <v>81</v>
      </c>
      <c r="N509" t="e" vm="11">
        <f>_xlfn.XLOOKUP($M509,$O:$O,$P:$P,"")</f>
        <v>#VALUE!</v>
      </c>
    </row>
    <row r="510" spans="1:14" x14ac:dyDescent="0.25">
      <c r="A510">
        <v>599</v>
      </c>
      <c r="B510" t="str">
        <f t="shared" si="27"/>
        <v>Sophey</v>
      </c>
      <c r="C510" t="s">
        <v>2473</v>
      </c>
      <c r="D510" t="s">
        <v>2474</v>
      </c>
      <c r="E510" t="str">
        <f t="shared" si="28"/>
        <v>sertelgm@a8.net</v>
      </c>
      <c r="F510" t="s">
        <v>2475</v>
      </c>
      <c r="G510" t="s">
        <v>11</v>
      </c>
      <c r="H510" t="str">
        <f t="shared" si="29"/>
        <v>Female</v>
      </c>
      <c r="I510" t="str">
        <f>"+880"&amp;RIGHT(SUBSTITUTE(SUBSTITUTE($J510," ",""),"-",""),10)</f>
        <v>+8809431900215</v>
      </c>
      <c r="J510" t="s">
        <v>2476</v>
      </c>
      <c r="K510" t="s">
        <v>13</v>
      </c>
      <c r="L510" t="str">
        <f>_xlfn.XLOOKUP($K$3,K:K,K:K,$K$2)</f>
        <v>Bangladesh</v>
      </c>
      <c r="M510" t="s">
        <v>101</v>
      </c>
      <c r="N510" t="e" vm="15">
        <f>_xlfn.XLOOKUP($M510,$O:$O,$P:$P,"")</f>
        <v>#VALUE!</v>
      </c>
    </row>
    <row r="511" spans="1:14" x14ac:dyDescent="0.25">
      <c r="A511">
        <v>601</v>
      </c>
      <c r="B511" t="str">
        <f t="shared" si="27"/>
        <v>Dayle</v>
      </c>
      <c r="C511" t="s">
        <v>2481</v>
      </c>
      <c r="D511" t="s">
        <v>2482</v>
      </c>
      <c r="E511" t="str">
        <f t="shared" si="28"/>
        <v>dmcdonaghgo@jimdo.com</v>
      </c>
      <c r="F511" t="s">
        <v>2483</v>
      </c>
      <c r="G511" t="s">
        <v>11</v>
      </c>
      <c r="H511" t="str">
        <f t="shared" si="29"/>
        <v>Female</v>
      </c>
      <c r="I511" t="str">
        <f>"+880"&amp;RIGHT(SUBSTITUTE(SUBSTITUTE($J511," ",""),"-",""),10)</f>
        <v>+8805393321428</v>
      </c>
      <c r="J511" t="s">
        <v>2484</v>
      </c>
      <c r="K511" t="s">
        <v>13</v>
      </c>
      <c r="L511" t="str">
        <f>_xlfn.XLOOKUP($K$3,K:K,K:K,$K$2)</f>
        <v>Bangladesh</v>
      </c>
      <c r="M511" t="s">
        <v>243</v>
      </c>
      <c r="N511" t="e" vm="35">
        <f>_xlfn.XLOOKUP($M511,$O:$O,$P:$P,"")</f>
        <v>#VALUE!</v>
      </c>
    </row>
    <row r="512" spans="1:14" x14ac:dyDescent="0.25">
      <c r="A512">
        <v>602</v>
      </c>
      <c r="B512" t="str">
        <f t="shared" si="27"/>
        <v>Natalee</v>
      </c>
      <c r="C512" t="s">
        <v>2485</v>
      </c>
      <c r="D512" t="s">
        <v>2486</v>
      </c>
      <c r="E512" t="str">
        <f t="shared" si="28"/>
        <v>nzorzigp@360.cn</v>
      </c>
      <c r="F512" t="s">
        <v>2487</v>
      </c>
      <c r="G512" t="s">
        <v>11</v>
      </c>
      <c r="H512" t="str">
        <f t="shared" si="29"/>
        <v>Female</v>
      </c>
      <c r="I512" t="str">
        <f>"+880"&amp;RIGHT(SUBSTITUTE(SUBSTITUTE($J512," ",""),"-",""),10)</f>
        <v>+8809756790122</v>
      </c>
      <c r="J512" t="s">
        <v>2488</v>
      </c>
      <c r="K512" t="s">
        <v>13</v>
      </c>
      <c r="L512" t="str">
        <f>_xlfn.XLOOKUP($K$3,K:K,K:K,$K$2)</f>
        <v>Bangladesh</v>
      </c>
      <c r="M512" t="s">
        <v>76</v>
      </c>
      <c r="N512" t="e" vm="10">
        <f>_xlfn.XLOOKUP($M512,$O:$O,$P:$P,"")</f>
        <v>#VALUE!</v>
      </c>
    </row>
    <row r="513" spans="1:14" x14ac:dyDescent="0.25">
      <c r="A513">
        <v>604</v>
      </c>
      <c r="B513" t="str">
        <f t="shared" si="27"/>
        <v>Penny</v>
      </c>
      <c r="C513" t="s">
        <v>2493</v>
      </c>
      <c r="D513" t="s">
        <v>2494</v>
      </c>
      <c r="E513" t="str">
        <f t="shared" si="28"/>
        <v>ppinargr@nifty.com</v>
      </c>
      <c r="F513" t="s">
        <v>2495</v>
      </c>
      <c r="G513" t="s">
        <v>18</v>
      </c>
      <c r="H513" t="str">
        <f t="shared" si="29"/>
        <v>Male</v>
      </c>
      <c r="I513" t="str">
        <f>"+880"&amp;RIGHT(SUBSTITUTE(SUBSTITUTE($J513," ",""),"-",""),10)</f>
        <v>+8809001206178</v>
      </c>
      <c r="J513" t="s">
        <v>2496</v>
      </c>
      <c r="K513" t="s">
        <v>13</v>
      </c>
      <c r="L513" t="str">
        <f>_xlfn.XLOOKUP($K$3,K:K,K:K,$K$2)</f>
        <v>Bangladesh</v>
      </c>
      <c r="M513" t="s">
        <v>350</v>
      </c>
      <c r="N513" t="str">
        <f>_xlfn.XLOOKUP($M513,$O:$O,$P:$P,"")</f>
        <v>Pir Naogaon</v>
      </c>
    </row>
    <row r="514" spans="1:14" x14ac:dyDescent="0.25">
      <c r="A514">
        <v>605</v>
      </c>
      <c r="B514" t="str">
        <f t="shared" si="27"/>
        <v>Dougy</v>
      </c>
      <c r="C514" t="s">
        <v>2497</v>
      </c>
      <c r="D514" t="s">
        <v>2498</v>
      </c>
      <c r="E514" t="str">
        <f t="shared" si="28"/>
        <v>dglengs@nba.com</v>
      </c>
      <c r="F514" t="s">
        <v>2499</v>
      </c>
      <c r="G514" t="s">
        <v>18</v>
      </c>
      <c r="H514" t="str">
        <f t="shared" si="29"/>
        <v>Male</v>
      </c>
      <c r="I514" t="str">
        <f>"+880"&amp;RIGHT(SUBSTITUTE(SUBSTITUTE($J514," ",""),"-",""),10)</f>
        <v>+8802028118347</v>
      </c>
      <c r="J514" t="s">
        <v>2500</v>
      </c>
      <c r="K514" t="s">
        <v>13</v>
      </c>
      <c r="L514" t="str">
        <f>_xlfn.XLOOKUP($K$3,K:K,K:K,$K$2)</f>
        <v>Bangladesh</v>
      </c>
      <c r="M514" t="s">
        <v>81</v>
      </c>
      <c r="N514" t="e" vm="11">
        <f>_xlfn.XLOOKUP($M514,$O:$O,$P:$P,"")</f>
        <v>#VALUE!</v>
      </c>
    </row>
    <row r="515" spans="1:14" x14ac:dyDescent="0.25">
      <c r="A515">
        <v>606</v>
      </c>
      <c r="B515" t="str">
        <f t="shared" si="27"/>
        <v>Christin</v>
      </c>
      <c r="C515" t="s">
        <v>2501</v>
      </c>
      <c r="D515" t="s">
        <v>2502</v>
      </c>
      <c r="E515" t="str">
        <f t="shared" si="28"/>
        <v>cstandbrookegt@mayoclinic.com</v>
      </c>
      <c r="F515" t="s">
        <v>2503</v>
      </c>
      <c r="G515" t="s">
        <v>11</v>
      </c>
      <c r="H515" t="str">
        <f t="shared" si="29"/>
        <v>Female</v>
      </c>
      <c r="I515" t="str">
        <f>"+880"&amp;RIGHT(SUBSTITUTE(SUBSTITUTE($J515," ",""),"-",""),10)</f>
        <v>+8804453370803</v>
      </c>
      <c r="J515" t="s">
        <v>2504</v>
      </c>
      <c r="K515" t="s">
        <v>13</v>
      </c>
      <c r="L515" t="str">
        <f>_xlfn.XLOOKUP($K$3,K:K,K:K,$K$2)</f>
        <v>Bangladesh</v>
      </c>
      <c r="M515" t="s">
        <v>549</v>
      </c>
      <c r="N515" t="e" vm="78">
        <f>_xlfn.XLOOKUP($M515,$O:$O,$P:$P,"")</f>
        <v>#VALUE!</v>
      </c>
    </row>
    <row r="516" spans="1:14" x14ac:dyDescent="0.25">
      <c r="A516">
        <v>608</v>
      </c>
      <c r="B516" t="str">
        <f t="shared" si="27"/>
        <v>Phyllida</v>
      </c>
      <c r="C516" t="s">
        <v>2509</v>
      </c>
      <c r="D516" t="s">
        <v>2510</v>
      </c>
      <c r="E516" t="str">
        <f t="shared" si="28"/>
        <v>pallsoppgv@de.vu</v>
      </c>
      <c r="F516" t="s">
        <v>2511</v>
      </c>
      <c r="G516" t="s">
        <v>11</v>
      </c>
      <c r="H516" t="str">
        <f t="shared" si="29"/>
        <v>Female</v>
      </c>
      <c r="I516" t="str">
        <f>"+880"&amp;RIGHT(SUBSTITUTE(SUBSTITUTE($J516," ",""),"-",""),10)</f>
        <v>+8807674175406</v>
      </c>
      <c r="J516" t="s">
        <v>2512</v>
      </c>
      <c r="K516" t="s">
        <v>13</v>
      </c>
      <c r="L516" t="str">
        <f>_xlfn.XLOOKUP($K$3,K:K,K:K,$K$2)</f>
        <v>Bangladesh</v>
      </c>
      <c r="M516" t="s">
        <v>687</v>
      </c>
      <c r="N516" t="e" vm="69">
        <f>_xlfn.XLOOKUP($M516,$O:$O,$P:$P,"")</f>
        <v>#VALUE!</v>
      </c>
    </row>
    <row r="517" spans="1:14" x14ac:dyDescent="0.25">
      <c r="A517">
        <v>611</v>
      </c>
      <c r="B517" t="str">
        <f t="shared" si="27"/>
        <v>Vanya</v>
      </c>
      <c r="C517" t="s">
        <v>2521</v>
      </c>
      <c r="D517" t="s">
        <v>2522</v>
      </c>
      <c r="E517" t="str">
        <f t="shared" si="28"/>
        <v>vpidgingy@ning.com</v>
      </c>
      <c r="F517" t="s">
        <v>2523</v>
      </c>
      <c r="G517" t="s">
        <v>18</v>
      </c>
      <c r="H517" t="str">
        <f t="shared" si="29"/>
        <v>Male</v>
      </c>
      <c r="I517" t="str">
        <f>"+880"&amp;RIGHT(SUBSTITUTE(SUBSTITUTE($J517," ",""),"-",""),10)</f>
        <v>+8808561872619</v>
      </c>
      <c r="J517" t="s">
        <v>2524</v>
      </c>
      <c r="K517" t="s">
        <v>13</v>
      </c>
      <c r="L517" t="str">
        <f>_xlfn.XLOOKUP($K$3,K:K,K:K,$K$2)</f>
        <v>Bangladesh</v>
      </c>
      <c r="M517" t="s">
        <v>46</v>
      </c>
      <c r="N517" t="e" vm="5">
        <f>_xlfn.XLOOKUP($M517,$O:$O,$P:$P,"")</f>
        <v>#VALUE!</v>
      </c>
    </row>
    <row r="518" spans="1:14" x14ac:dyDescent="0.25">
      <c r="A518">
        <v>612</v>
      </c>
      <c r="B518" t="str">
        <f t="shared" si="27"/>
        <v>Alessandro</v>
      </c>
      <c r="C518" t="s">
        <v>2525</v>
      </c>
      <c r="D518" t="s">
        <v>2526</v>
      </c>
      <c r="E518" t="str">
        <f t="shared" si="28"/>
        <v>acadygz@discovery.com</v>
      </c>
      <c r="F518" t="s">
        <v>2527</v>
      </c>
      <c r="G518" t="s">
        <v>18</v>
      </c>
      <c r="H518" t="str">
        <f t="shared" si="29"/>
        <v>Male</v>
      </c>
      <c r="I518" t="str">
        <f>"+880"&amp;RIGHT(SUBSTITUTE(SUBSTITUTE($J518," ",""),"-",""),10)</f>
        <v>+8806453954234</v>
      </c>
      <c r="J518" t="s">
        <v>2528</v>
      </c>
      <c r="K518" t="s">
        <v>13</v>
      </c>
      <c r="L518" t="str">
        <f>_xlfn.XLOOKUP($K$3,K:K,K:K,$K$2)</f>
        <v>Bangladesh</v>
      </c>
      <c r="M518" t="s">
        <v>322</v>
      </c>
      <c r="N518" t="e" vm="44">
        <f>_xlfn.XLOOKUP($M518,$O:$O,$P:$P,"")</f>
        <v>#VALUE!</v>
      </c>
    </row>
    <row r="519" spans="1:14" x14ac:dyDescent="0.25">
      <c r="A519">
        <v>614</v>
      </c>
      <c r="B519" t="str">
        <f t="shared" si="27"/>
        <v>Christine</v>
      </c>
      <c r="C519" t="s">
        <v>2533</v>
      </c>
      <c r="D519" t="s">
        <v>2534</v>
      </c>
      <c r="E519" t="str">
        <f t="shared" si="28"/>
        <v>ccorleyh1@berkeley.edu</v>
      </c>
      <c r="F519" t="s">
        <v>2535</v>
      </c>
      <c r="G519" t="s">
        <v>11</v>
      </c>
      <c r="H519" t="str">
        <f t="shared" si="29"/>
        <v>Female</v>
      </c>
      <c r="I519" t="str">
        <f>"+880"&amp;RIGHT(SUBSTITUTE(SUBSTITUTE($J519," ",""),"-",""),10)</f>
        <v>+8807656602218</v>
      </c>
      <c r="J519" t="s">
        <v>2536</v>
      </c>
      <c r="K519" t="s">
        <v>13</v>
      </c>
      <c r="L519" t="str">
        <f>_xlfn.XLOOKUP($K$3,K:K,K:K,$K$2)</f>
        <v>Bangladesh</v>
      </c>
      <c r="M519" t="s">
        <v>814</v>
      </c>
      <c r="N519" t="e" vm="75">
        <f>_xlfn.XLOOKUP($M519,$O:$O,$P:$P,"")</f>
        <v>#VALUE!</v>
      </c>
    </row>
    <row r="520" spans="1:14" x14ac:dyDescent="0.25">
      <c r="A520">
        <v>615</v>
      </c>
      <c r="B520" t="str">
        <f t="shared" si="27"/>
        <v>Marty</v>
      </c>
      <c r="C520" t="s">
        <v>2537</v>
      </c>
      <c r="D520" t="s">
        <v>2538</v>
      </c>
      <c r="E520" t="str">
        <f t="shared" si="28"/>
        <v>mplewmanh2@intel.com</v>
      </c>
      <c r="F520" t="s">
        <v>2539</v>
      </c>
      <c r="G520" t="s">
        <v>11</v>
      </c>
      <c r="H520" t="str">
        <f t="shared" si="29"/>
        <v>Female</v>
      </c>
      <c r="I520" t="str">
        <f>"+880"&amp;RIGHT(SUBSTITUTE(SUBSTITUTE($J520," ",""),"-",""),10)</f>
        <v>+8804492698759</v>
      </c>
      <c r="J520" t="s">
        <v>2540</v>
      </c>
      <c r="K520" t="s">
        <v>13</v>
      </c>
      <c r="L520" t="str">
        <f>_xlfn.XLOOKUP($K$3,K:K,K:K,$K$2)</f>
        <v>Bangladesh</v>
      </c>
      <c r="M520" t="s">
        <v>619</v>
      </c>
      <c r="N520" t="e" vm="61">
        <f>_xlfn.XLOOKUP($M520,$O:$O,$P:$P,"")</f>
        <v>#VALUE!</v>
      </c>
    </row>
    <row r="521" spans="1:14" x14ac:dyDescent="0.25">
      <c r="A521">
        <v>616</v>
      </c>
      <c r="B521" t="str">
        <f t="shared" si="27"/>
        <v>Carolina</v>
      </c>
      <c r="C521" t="s">
        <v>2541</v>
      </c>
      <c r="D521" t="s">
        <v>2542</v>
      </c>
      <c r="E521" t="str">
        <f t="shared" si="28"/>
        <v>ctisorh3@businessinsider.com</v>
      </c>
      <c r="F521" t="s">
        <v>2543</v>
      </c>
      <c r="G521" t="s">
        <v>11</v>
      </c>
      <c r="H521" t="str">
        <f t="shared" si="29"/>
        <v>Female</v>
      </c>
      <c r="I521" t="str">
        <f>"+880"&amp;RIGHT(SUBSTITUTE(SUBSTITUTE($J521," ",""),"-",""),10)</f>
        <v>+8808117662849</v>
      </c>
      <c r="J521" t="s">
        <v>2544</v>
      </c>
      <c r="K521" t="s">
        <v>13</v>
      </c>
      <c r="L521" t="str">
        <f>_xlfn.XLOOKUP($K$3,K:K,K:K,$K$2)</f>
        <v>Bangladesh</v>
      </c>
      <c r="M521" t="s">
        <v>125</v>
      </c>
      <c r="N521" t="e" vm="18">
        <f>_xlfn.XLOOKUP($M521,$O:$O,$P:$P,"")</f>
        <v>#VALUE!</v>
      </c>
    </row>
    <row r="522" spans="1:14" x14ac:dyDescent="0.25">
      <c r="A522">
        <v>617</v>
      </c>
      <c r="B522" t="str">
        <f t="shared" si="27"/>
        <v>Petey</v>
      </c>
      <c r="C522" t="s">
        <v>2545</v>
      </c>
      <c r="D522" t="s">
        <v>2546</v>
      </c>
      <c r="E522" t="str">
        <f t="shared" si="28"/>
        <v>proddah4@usatoday.com</v>
      </c>
      <c r="F522" t="s">
        <v>2547</v>
      </c>
      <c r="G522" t="s">
        <v>18</v>
      </c>
      <c r="H522" t="str">
        <f t="shared" si="29"/>
        <v>Male</v>
      </c>
      <c r="I522" t="str">
        <f>"+880"&amp;RIGHT(SUBSTITUTE(SUBSTITUTE($J522," ",""),"-",""),10)</f>
        <v>+8807754862277</v>
      </c>
      <c r="J522" t="s">
        <v>2548</v>
      </c>
      <c r="K522" t="s">
        <v>13</v>
      </c>
      <c r="L522" t="str">
        <f>_xlfn.XLOOKUP($K$3,K:K,K:K,$K$2)</f>
        <v>Bangladesh</v>
      </c>
      <c r="M522" t="s">
        <v>71</v>
      </c>
      <c r="N522" t="e" vm="9">
        <f>_xlfn.XLOOKUP($M522,$O:$O,$P:$P,"")</f>
        <v>#VALUE!</v>
      </c>
    </row>
    <row r="523" spans="1:14" x14ac:dyDescent="0.25">
      <c r="A523">
        <v>618</v>
      </c>
      <c r="B523" t="str">
        <f t="shared" si="27"/>
        <v>Sallyanne</v>
      </c>
      <c r="C523" t="s">
        <v>2549</v>
      </c>
      <c r="D523" t="s">
        <v>2550</v>
      </c>
      <c r="E523" t="str">
        <f t="shared" si="28"/>
        <v>smowneh5@newyorker.com</v>
      </c>
      <c r="F523" t="s">
        <v>2551</v>
      </c>
      <c r="G523" t="s">
        <v>11</v>
      </c>
      <c r="H523" t="str">
        <f t="shared" si="29"/>
        <v>Female</v>
      </c>
      <c r="I523" t="str">
        <f>"+880"&amp;RIGHT(SUBSTITUTE(SUBSTITUTE($J523," ",""),"-",""),10)</f>
        <v>+8808655999516</v>
      </c>
      <c r="J523" t="s">
        <v>2552</v>
      </c>
      <c r="K523" t="s">
        <v>13</v>
      </c>
      <c r="L523" t="str">
        <f>_xlfn.XLOOKUP($K$3,K:K,K:K,$K$2)</f>
        <v>Bangladesh</v>
      </c>
      <c r="M523" t="s">
        <v>125</v>
      </c>
      <c r="N523" t="e" vm="18">
        <f>_xlfn.XLOOKUP($M523,$O:$O,$P:$P,"")</f>
        <v>#VALUE!</v>
      </c>
    </row>
    <row r="524" spans="1:14" x14ac:dyDescent="0.25">
      <c r="A524">
        <v>619</v>
      </c>
      <c r="B524" t="str">
        <f t="shared" si="27"/>
        <v>Clerkclaude</v>
      </c>
      <c r="C524" t="s">
        <v>2553</v>
      </c>
      <c r="D524" t="s">
        <v>2554</v>
      </c>
      <c r="E524" t="str">
        <f t="shared" si="28"/>
        <v>cmaniloh6@tiny.cc</v>
      </c>
      <c r="F524" t="s">
        <v>2555</v>
      </c>
      <c r="G524" t="s">
        <v>18</v>
      </c>
      <c r="H524" t="str">
        <f t="shared" si="29"/>
        <v>Male</v>
      </c>
      <c r="I524" t="str">
        <f>"+880"&amp;RIGHT(SUBSTITUTE(SUBSTITUTE($J524," ",""),"-",""),10)</f>
        <v>+8806359748922</v>
      </c>
      <c r="J524" t="s">
        <v>2556</v>
      </c>
      <c r="K524" t="s">
        <v>13</v>
      </c>
      <c r="L524" t="str">
        <f>_xlfn.XLOOKUP($K$3,K:K,K:K,$K$2)</f>
        <v>Bangladesh</v>
      </c>
      <c r="M524" t="s">
        <v>588</v>
      </c>
      <c r="N524" t="e" vm="57">
        <f>_xlfn.XLOOKUP($M524,$O:$O,$P:$P,"")</f>
        <v>#VALUE!</v>
      </c>
    </row>
    <row r="525" spans="1:14" x14ac:dyDescent="0.25">
      <c r="A525">
        <v>620</v>
      </c>
      <c r="B525" t="str">
        <f t="shared" si="27"/>
        <v>Dorella</v>
      </c>
      <c r="C525" t="s">
        <v>2557</v>
      </c>
      <c r="D525" t="s">
        <v>2558</v>
      </c>
      <c r="E525" t="str">
        <f t="shared" si="28"/>
        <v>dbeachamh7@auda.org.au</v>
      </c>
      <c r="F525" t="s">
        <v>2559</v>
      </c>
      <c r="G525" t="s">
        <v>11</v>
      </c>
      <c r="H525" t="str">
        <f t="shared" si="29"/>
        <v>Female</v>
      </c>
      <c r="I525" t="str">
        <f>"+880"&amp;RIGHT(SUBSTITUTE(SUBSTITUTE($J525," ",""),"-",""),10)</f>
        <v>+8809941383006</v>
      </c>
      <c r="J525" t="s">
        <v>2560</v>
      </c>
      <c r="K525" t="s">
        <v>13</v>
      </c>
      <c r="L525" t="str">
        <f>_xlfn.XLOOKUP($K$3,K:K,K:K,$K$2)</f>
        <v>Bangladesh</v>
      </c>
      <c r="M525" t="s">
        <v>779</v>
      </c>
      <c r="N525" t="e" vm="72">
        <f>_xlfn.XLOOKUP($M525,$O:$O,$P:$P,"")</f>
        <v>#VALUE!</v>
      </c>
    </row>
    <row r="526" spans="1:14" x14ac:dyDescent="0.25">
      <c r="A526">
        <v>622</v>
      </c>
      <c r="B526" t="str">
        <f t="shared" si="27"/>
        <v>Andras</v>
      </c>
      <c r="C526" t="s">
        <v>2215</v>
      </c>
      <c r="D526" t="s">
        <v>2565</v>
      </c>
      <c r="E526" t="str">
        <f t="shared" si="28"/>
        <v>arikardh9@hostgator.com</v>
      </c>
      <c r="F526" t="s">
        <v>2566</v>
      </c>
      <c r="G526" t="s">
        <v>18</v>
      </c>
      <c r="H526" t="str">
        <f t="shared" si="29"/>
        <v>Male</v>
      </c>
      <c r="I526" t="str">
        <f>"+880"&amp;RIGHT(SUBSTITUTE(SUBSTITUTE($J526," ",""),"-",""),10)</f>
        <v>+8805592167738</v>
      </c>
      <c r="J526" t="s">
        <v>2567</v>
      </c>
      <c r="K526" t="s">
        <v>13</v>
      </c>
      <c r="L526" t="str">
        <f>_xlfn.XLOOKUP($K$3,K:K,K:K,$K$2)</f>
        <v>Bangladesh</v>
      </c>
      <c r="M526" t="s">
        <v>296</v>
      </c>
      <c r="N526" t="e" vm="81">
        <f>_xlfn.XLOOKUP($M526,$O:$O,$P:$P,"")</f>
        <v>#VALUE!</v>
      </c>
    </row>
    <row r="527" spans="1:14" x14ac:dyDescent="0.25">
      <c r="A527">
        <v>623</v>
      </c>
      <c r="B527" t="str">
        <f t="shared" si="27"/>
        <v>Sonnnie</v>
      </c>
      <c r="C527" t="s">
        <v>2568</v>
      </c>
      <c r="D527" t="s">
        <v>2569</v>
      </c>
      <c r="E527" t="str">
        <f t="shared" si="28"/>
        <v>skernermannha@vinaora.com</v>
      </c>
      <c r="F527" t="s">
        <v>2570</v>
      </c>
      <c r="G527" t="s">
        <v>11</v>
      </c>
      <c r="H527" t="str">
        <f t="shared" si="29"/>
        <v>Female</v>
      </c>
      <c r="I527" t="str">
        <f>"+880"&amp;RIGHT(SUBSTITUTE(SUBSTITUTE($J527," ",""),"-",""),10)</f>
        <v>+8803894047742</v>
      </c>
      <c r="J527" t="s">
        <v>2571</v>
      </c>
      <c r="K527" t="s">
        <v>13</v>
      </c>
      <c r="L527" t="str">
        <f>_xlfn.XLOOKUP($K$3,K:K,K:K,$K$2)</f>
        <v>Bangladesh</v>
      </c>
      <c r="M527" t="s">
        <v>81</v>
      </c>
      <c r="N527" t="e" vm="11">
        <f>_xlfn.XLOOKUP($M527,$O:$O,$P:$P,"")</f>
        <v>#VALUE!</v>
      </c>
    </row>
    <row r="528" spans="1:14" x14ac:dyDescent="0.25">
      <c r="A528">
        <v>624</v>
      </c>
      <c r="B528" t="str">
        <f t="shared" si="27"/>
        <v>Meridith</v>
      </c>
      <c r="C528" t="s">
        <v>2572</v>
      </c>
      <c r="D528" t="s">
        <v>2573</v>
      </c>
      <c r="E528" t="str">
        <f t="shared" si="28"/>
        <v>mtreugehb@parallels.com</v>
      </c>
      <c r="F528" t="s">
        <v>2574</v>
      </c>
      <c r="G528" t="s">
        <v>11</v>
      </c>
      <c r="H528" t="str">
        <f t="shared" si="29"/>
        <v>Female</v>
      </c>
      <c r="I528" t="str">
        <f>"+880"&amp;RIGHT(SUBSTITUTE(SUBSTITUTE($J528," ",""),"-",""),10)</f>
        <v>+8806559032224</v>
      </c>
      <c r="J528" t="s">
        <v>2575</v>
      </c>
      <c r="K528" t="s">
        <v>13</v>
      </c>
      <c r="L528" t="str">
        <f>_xlfn.XLOOKUP($K$3,K:K,K:K,$K$2)</f>
        <v>Bangladesh</v>
      </c>
      <c r="M528" t="s">
        <v>81</v>
      </c>
      <c r="N528" t="e" vm="11">
        <f>_xlfn.XLOOKUP($M528,$O:$O,$P:$P,"")</f>
        <v>#VALUE!</v>
      </c>
    </row>
    <row r="529" spans="1:14" x14ac:dyDescent="0.25">
      <c r="A529">
        <v>627</v>
      </c>
      <c r="B529" t="str">
        <f t="shared" si="27"/>
        <v>Ximenes</v>
      </c>
      <c r="C529" t="s">
        <v>2584</v>
      </c>
      <c r="D529" t="s">
        <v>2585</v>
      </c>
      <c r="E529" t="str">
        <f t="shared" si="28"/>
        <v>xmacewanhe@google.com.br</v>
      </c>
      <c r="F529" t="s">
        <v>2586</v>
      </c>
      <c r="G529" t="s">
        <v>18</v>
      </c>
      <c r="H529" t="str">
        <f t="shared" si="29"/>
        <v>Male</v>
      </c>
      <c r="I529" t="str">
        <f>"+880"&amp;RIGHT(SUBSTITUTE(SUBSTITUTE($J529," ",""),"-",""),10)</f>
        <v>+8809214937791</v>
      </c>
      <c r="J529" t="s">
        <v>2587</v>
      </c>
      <c r="K529" t="s">
        <v>13</v>
      </c>
      <c r="L529" t="str">
        <f>_xlfn.XLOOKUP($K$3,K:K,K:K,$K$2)</f>
        <v>Bangladesh</v>
      </c>
      <c r="M529" t="s">
        <v>655</v>
      </c>
      <c r="N529" t="e" vm="66">
        <f>_xlfn.XLOOKUP($M529,$O:$O,$P:$P,"")</f>
        <v>#VALUE!</v>
      </c>
    </row>
    <row r="530" spans="1:14" x14ac:dyDescent="0.25">
      <c r="A530">
        <v>628</v>
      </c>
      <c r="B530" t="str">
        <f t="shared" si="27"/>
        <v>Heddi</v>
      </c>
      <c r="C530" t="s">
        <v>2588</v>
      </c>
      <c r="D530" t="s">
        <v>2589</v>
      </c>
      <c r="E530" t="str">
        <f t="shared" si="28"/>
        <v>hsherbournehf@bloglines.com</v>
      </c>
      <c r="F530" t="s">
        <v>2590</v>
      </c>
      <c r="G530" t="s">
        <v>11</v>
      </c>
      <c r="H530" t="str">
        <f t="shared" si="29"/>
        <v>Female</v>
      </c>
      <c r="I530" t="str">
        <f>"+880"&amp;RIGHT(SUBSTITUTE(SUBSTITUTE($J530," ",""),"-",""),10)</f>
        <v>+8809852933184</v>
      </c>
      <c r="J530" t="s">
        <v>2591</v>
      </c>
      <c r="K530" t="s">
        <v>13</v>
      </c>
      <c r="L530" t="str">
        <f>_xlfn.XLOOKUP($K$3,K:K,K:K,$K$2)</f>
        <v>Bangladesh</v>
      </c>
      <c r="M530" t="s">
        <v>61</v>
      </c>
      <c r="N530" t="e" vm="7">
        <f>_xlfn.XLOOKUP($M530,$O:$O,$P:$P,"")</f>
        <v>#VALUE!</v>
      </c>
    </row>
    <row r="531" spans="1:14" x14ac:dyDescent="0.25">
      <c r="A531">
        <v>629</v>
      </c>
      <c r="B531" t="str">
        <f t="shared" si="27"/>
        <v>Viole</v>
      </c>
      <c r="C531" t="s">
        <v>2592</v>
      </c>
      <c r="D531" t="s">
        <v>2593</v>
      </c>
      <c r="E531" t="str">
        <f t="shared" si="28"/>
        <v>vstaininghg@kickstarter.com</v>
      </c>
      <c r="F531" t="s">
        <v>2594</v>
      </c>
      <c r="G531" t="s">
        <v>29</v>
      </c>
      <c r="H531" t="str">
        <f t="shared" si="29"/>
        <v>Other</v>
      </c>
      <c r="I531" t="str">
        <f>"+880"&amp;RIGHT(SUBSTITUTE(SUBSTITUTE($J531," ",""),"-",""),10)</f>
        <v>+8807606886826</v>
      </c>
      <c r="J531" t="s">
        <v>2595</v>
      </c>
      <c r="K531" t="s">
        <v>13</v>
      </c>
      <c r="L531" t="str">
        <f>_xlfn.XLOOKUP($K$3,K:K,K:K,$K$2)</f>
        <v>Bangladesh</v>
      </c>
      <c r="M531" t="s">
        <v>56</v>
      </c>
      <c r="N531" t="e" vm="6">
        <f>_xlfn.XLOOKUP($M531,$O:$O,$P:$P,"")</f>
        <v>#VALUE!</v>
      </c>
    </row>
    <row r="532" spans="1:14" x14ac:dyDescent="0.25">
      <c r="A532">
        <v>630</v>
      </c>
      <c r="B532" t="str">
        <f t="shared" si="27"/>
        <v>Mortimer</v>
      </c>
      <c r="C532" t="s">
        <v>2596</v>
      </c>
      <c r="D532" t="s">
        <v>2597</v>
      </c>
      <c r="E532" t="str">
        <f t="shared" si="28"/>
        <v>malcidohh@bbc.co.uk</v>
      </c>
      <c r="F532" t="s">
        <v>2598</v>
      </c>
      <c r="G532" t="s">
        <v>18</v>
      </c>
      <c r="H532" t="str">
        <f t="shared" si="29"/>
        <v>Male</v>
      </c>
      <c r="I532" t="str">
        <f>"+880"&amp;RIGHT(SUBSTITUTE(SUBSTITUTE($J532," ",""),"-",""),10)</f>
        <v>+8806988588165</v>
      </c>
      <c r="J532" t="s">
        <v>2599</v>
      </c>
      <c r="K532" t="s">
        <v>13</v>
      </c>
      <c r="L532" t="str">
        <f>_xlfn.XLOOKUP($K$3,K:K,K:K,$K$2)</f>
        <v>Bangladesh</v>
      </c>
      <c r="M532" t="s">
        <v>350</v>
      </c>
      <c r="N532" t="str">
        <f>_xlfn.XLOOKUP($M532,$O:$O,$P:$P,"")</f>
        <v>Pir Naogaon</v>
      </c>
    </row>
    <row r="533" spans="1:14" x14ac:dyDescent="0.25">
      <c r="A533">
        <v>631</v>
      </c>
      <c r="B533" t="str">
        <f t="shared" si="27"/>
        <v>Philippine</v>
      </c>
      <c r="C533" t="s">
        <v>2600</v>
      </c>
      <c r="D533" t="s">
        <v>2601</v>
      </c>
      <c r="E533" t="str">
        <f t="shared" si="28"/>
        <v>pdungayhi@cbslocal.com</v>
      </c>
      <c r="F533" t="s">
        <v>2602</v>
      </c>
      <c r="G533" t="s">
        <v>11</v>
      </c>
      <c r="H533" t="str">
        <f t="shared" si="29"/>
        <v>Female</v>
      </c>
      <c r="I533" t="str">
        <f>"+880"&amp;RIGHT(SUBSTITUTE(SUBSTITUTE($J533," ",""),"-",""),10)</f>
        <v>+8805417717837</v>
      </c>
      <c r="J533" t="s">
        <v>2603</v>
      </c>
      <c r="K533" t="s">
        <v>13</v>
      </c>
      <c r="L533" t="str">
        <f>_xlfn.XLOOKUP($K$3,K:K,K:K,$K$2)</f>
        <v>Bangladesh</v>
      </c>
      <c r="M533" t="s">
        <v>282</v>
      </c>
      <c r="N533" t="e" vm="40">
        <f>_xlfn.XLOOKUP($M533,$O:$O,$P:$P,"")</f>
        <v>#VALUE!</v>
      </c>
    </row>
    <row r="534" spans="1:14" x14ac:dyDescent="0.25">
      <c r="A534">
        <v>632</v>
      </c>
      <c r="B534" t="str">
        <f t="shared" si="27"/>
        <v>Melamie</v>
      </c>
      <c r="C534" t="s">
        <v>2604</v>
      </c>
      <c r="D534" t="s">
        <v>2605</v>
      </c>
      <c r="E534" t="str">
        <f t="shared" si="28"/>
        <v>mmcgannhj@harvard.edu</v>
      </c>
      <c r="F534" t="s">
        <v>2606</v>
      </c>
      <c r="G534" t="s">
        <v>280</v>
      </c>
      <c r="H534" t="str">
        <f t="shared" si="29"/>
        <v>Other</v>
      </c>
      <c r="I534" t="str">
        <f>"+880"&amp;RIGHT(SUBSTITUTE(SUBSTITUTE($J534," ",""),"-",""),10)</f>
        <v>+8808623548682</v>
      </c>
      <c r="J534" t="s">
        <v>2607</v>
      </c>
      <c r="K534" t="s">
        <v>13</v>
      </c>
      <c r="L534" t="str">
        <f>_xlfn.XLOOKUP($K$3,K:K,K:K,$K$2)</f>
        <v>Bangladesh</v>
      </c>
      <c r="M534" t="s">
        <v>660</v>
      </c>
      <c r="N534" t="e" vm="67">
        <f>_xlfn.XLOOKUP($M534,$O:$O,$P:$P,"")</f>
        <v>#VALUE!</v>
      </c>
    </row>
    <row r="535" spans="1:14" x14ac:dyDescent="0.25">
      <c r="A535">
        <v>633</v>
      </c>
      <c r="B535" t="str">
        <f t="shared" si="27"/>
        <v>Ronalda</v>
      </c>
      <c r="C535" t="s">
        <v>2608</v>
      </c>
      <c r="D535" t="s">
        <v>2609</v>
      </c>
      <c r="E535" t="str">
        <f t="shared" si="28"/>
        <v>rarghenthk@google.com.au</v>
      </c>
      <c r="F535" t="s">
        <v>2610</v>
      </c>
      <c r="G535" t="s">
        <v>11</v>
      </c>
      <c r="H535" t="str">
        <f t="shared" si="29"/>
        <v>Female</v>
      </c>
      <c r="I535" t="str">
        <f>"+880"&amp;RIGHT(SUBSTITUTE(SUBSTITUTE($J535," ",""),"-",""),10)</f>
        <v>+8802091129323</v>
      </c>
      <c r="J535" t="s">
        <v>2611</v>
      </c>
      <c r="K535" t="s">
        <v>13</v>
      </c>
      <c r="L535" t="str">
        <f>_xlfn.XLOOKUP($K$3,K:K,K:K,$K$2)</f>
        <v>Bangladesh</v>
      </c>
      <c r="M535" t="s">
        <v>46</v>
      </c>
      <c r="N535" t="e" vm="5">
        <f>_xlfn.XLOOKUP($M535,$O:$O,$P:$P,"")</f>
        <v>#VALUE!</v>
      </c>
    </row>
    <row r="536" spans="1:14" x14ac:dyDescent="0.25">
      <c r="A536">
        <v>635</v>
      </c>
      <c r="B536" t="str">
        <f t="shared" si="27"/>
        <v>Mitchael</v>
      </c>
      <c r="C536" t="s">
        <v>2615</v>
      </c>
      <c r="D536" t="s">
        <v>2616</v>
      </c>
      <c r="E536" t="str">
        <f t="shared" si="28"/>
        <v>mloughtonhm@ask.com</v>
      </c>
      <c r="F536" t="s">
        <v>2617</v>
      </c>
      <c r="G536" t="s">
        <v>18</v>
      </c>
      <c r="H536" t="str">
        <f t="shared" si="29"/>
        <v>Male</v>
      </c>
      <c r="I536" t="str">
        <f>"+880"&amp;RIGHT(SUBSTITUTE(SUBSTITUTE($J536," ",""),"-",""),10)</f>
        <v>+8806352615043</v>
      </c>
      <c r="J536" t="s">
        <v>2618</v>
      </c>
      <c r="K536" t="s">
        <v>13</v>
      </c>
      <c r="L536" t="str">
        <f>_xlfn.XLOOKUP($K$3,K:K,K:K,$K$2)</f>
        <v>Bangladesh</v>
      </c>
      <c r="M536" t="s">
        <v>839</v>
      </c>
      <c r="N536" t="e" vm="76">
        <f>_xlfn.XLOOKUP($M536,$O:$O,$P:$P,"")</f>
        <v>#VALUE!</v>
      </c>
    </row>
    <row r="537" spans="1:14" x14ac:dyDescent="0.25">
      <c r="A537">
        <v>636</v>
      </c>
      <c r="B537" t="str">
        <f t="shared" si="27"/>
        <v>Kala</v>
      </c>
      <c r="C537" t="s">
        <v>2619</v>
      </c>
      <c r="D537" t="s">
        <v>2620</v>
      </c>
      <c r="E537" t="str">
        <f t="shared" si="28"/>
        <v>kproschhn@mediafire.com</v>
      </c>
      <c r="F537" t="s">
        <v>2621</v>
      </c>
      <c r="G537" t="s">
        <v>11</v>
      </c>
      <c r="H537" t="str">
        <f t="shared" si="29"/>
        <v>Female</v>
      </c>
      <c r="I537" t="str">
        <f>"+880"&amp;RIGHT(SUBSTITUTE(SUBSTITUTE($J537," ",""),"-",""),10)</f>
        <v>+8808788268216</v>
      </c>
      <c r="J537" t="s">
        <v>2622</v>
      </c>
      <c r="K537" t="s">
        <v>13</v>
      </c>
      <c r="L537" t="str">
        <f>_xlfn.XLOOKUP($K$3,K:K,K:K,$K$2)</f>
        <v>Bangladesh</v>
      </c>
      <c r="M537" t="s">
        <v>125</v>
      </c>
      <c r="N537" t="e" vm="18">
        <f>_xlfn.XLOOKUP($M537,$O:$O,$P:$P,"")</f>
        <v>#VALUE!</v>
      </c>
    </row>
    <row r="538" spans="1:14" x14ac:dyDescent="0.25">
      <c r="A538">
        <v>637</v>
      </c>
      <c r="B538" t="str">
        <f t="shared" si="27"/>
        <v>Thea</v>
      </c>
      <c r="C538" t="s">
        <v>2623</v>
      </c>
      <c r="D538" t="s">
        <v>2624</v>
      </c>
      <c r="E538" t="str">
        <f t="shared" si="28"/>
        <v>tmethvenho@engadget.com</v>
      </c>
      <c r="F538" t="s">
        <v>2625</v>
      </c>
      <c r="G538" t="s">
        <v>11</v>
      </c>
      <c r="H538" t="str">
        <f t="shared" si="29"/>
        <v>Female</v>
      </c>
      <c r="I538" t="str">
        <f>"+880"&amp;RIGHT(SUBSTITUTE(SUBSTITUTE($J538," ",""),"-",""),10)</f>
        <v>+8803744709174</v>
      </c>
      <c r="J538" t="s">
        <v>2626</v>
      </c>
      <c r="K538" t="s">
        <v>13</v>
      </c>
      <c r="L538" t="str">
        <f>_xlfn.XLOOKUP($K$3,K:K,K:K,$K$2)</f>
        <v>Bangladesh</v>
      </c>
      <c r="M538" t="s">
        <v>61</v>
      </c>
      <c r="N538" t="e" vm="7">
        <f>_xlfn.XLOOKUP($M538,$O:$O,$P:$P,"")</f>
        <v>#VALUE!</v>
      </c>
    </row>
    <row r="539" spans="1:14" x14ac:dyDescent="0.25">
      <c r="A539">
        <v>639</v>
      </c>
      <c r="B539" t="str">
        <f t="shared" si="27"/>
        <v>Ruddy</v>
      </c>
      <c r="C539" t="s">
        <v>2631</v>
      </c>
      <c r="D539" t="s">
        <v>2632</v>
      </c>
      <c r="E539" t="str">
        <f t="shared" si="28"/>
        <v>rswaffordhq@globo.com</v>
      </c>
      <c r="F539" t="s">
        <v>2633</v>
      </c>
      <c r="G539" t="s">
        <v>18</v>
      </c>
      <c r="H539" t="str">
        <f t="shared" si="29"/>
        <v>Male</v>
      </c>
      <c r="I539" t="str">
        <f>"+880"&amp;RIGHT(SUBSTITUTE(SUBSTITUTE($J539," ",""),"-",""),10)</f>
        <v>+8805225674938</v>
      </c>
      <c r="J539" t="s">
        <v>2634</v>
      </c>
      <c r="K539" t="s">
        <v>13</v>
      </c>
      <c r="L539" t="str">
        <f>_xlfn.XLOOKUP($K$3,K:K,K:K,$K$2)</f>
        <v>Bangladesh</v>
      </c>
      <c r="M539" t="s">
        <v>374</v>
      </c>
      <c r="N539" t="e" vm="48">
        <f>_xlfn.XLOOKUP($M539,$O:$O,$P:$P,"")</f>
        <v>#VALUE!</v>
      </c>
    </row>
    <row r="540" spans="1:14" x14ac:dyDescent="0.25">
      <c r="A540">
        <v>640</v>
      </c>
      <c r="B540" t="str">
        <f t="shared" si="27"/>
        <v>Christiana</v>
      </c>
      <c r="C540" t="s">
        <v>2635</v>
      </c>
      <c r="D540" t="s">
        <v>2636</v>
      </c>
      <c r="E540" t="str">
        <f t="shared" si="28"/>
        <v>cjikyllshr@qq.com</v>
      </c>
      <c r="F540" t="s">
        <v>2637</v>
      </c>
      <c r="G540" t="s">
        <v>11</v>
      </c>
      <c r="H540" t="str">
        <f t="shared" si="29"/>
        <v>Female</v>
      </c>
      <c r="I540" t="str">
        <f>"+880"&amp;RIGHT(SUBSTITUTE(SUBSTITUTE($J540," ",""),"-",""),10)</f>
        <v>+8808641465081</v>
      </c>
      <c r="J540" t="s">
        <v>2638</v>
      </c>
      <c r="K540" t="s">
        <v>13</v>
      </c>
      <c r="L540" t="str">
        <f>_xlfn.XLOOKUP($K$3,K:K,K:K,$K$2)</f>
        <v>Bangladesh</v>
      </c>
      <c r="M540" t="s">
        <v>678</v>
      </c>
      <c r="N540" t="str">
        <f>_xlfn.XLOOKUP($M540,$O:$O,$P:$P,"")</f>
        <v>Pargaaj</v>
      </c>
    </row>
    <row r="541" spans="1:14" x14ac:dyDescent="0.25">
      <c r="A541">
        <v>641</v>
      </c>
      <c r="B541" t="str">
        <f t="shared" si="27"/>
        <v>Lizzy</v>
      </c>
      <c r="C541" t="s">
        <v>2639</v>
      </c>
      <c r="D541" t="s">
        <v>2640</v>
      </c>
      <c r="E541" t="str">
        <f t="shared" si="28"/>
        <v>lklimochkinhs@goodreads.com</v>
      </c>
      <c r="F541" t="s">
        <v>2641</v>
      </c>
      <c r="G541" t="s">
        <v>11</v>
      </c>
      <c r="H541" t="str">
        <f t="shared" si="29"/>
        <v>Female</v>
      </c>
      <c r="I541" t="str">
        <f>"+880"&amp;RIGHT(SUBSTITUTE(SUBSTITUTE($J541," ",""),"-",""),10)</f>
        <v>+8805436644227</v>
      </c>
      <c r="J541" t="s">
        <v>2642</v>
      </c>
      <c r="K541" t="s">
        <v>13</v>
      </c>
      <c r="L541" t="str">
        <f>_xlfn.XLOOKUP($K$3,K:K,K:K,$K$2)</f>
        <v>Bangladesh</v>
      </c>
      <c r="M541" t="s">
        <v>700</v>
      </c>
      <c r="N541" t="e" vm="70">
        <f>_xlfn.XLOOKUP($M541,$O:$O,$P:$P,"")</f>
        <v>#VALUE!</v>
      </c>
    </row>
    <row r="542" spans="1:14" x14ac:dyDescent="0.25">
      <c r="A542">
        <v>642</v>
      </c>
      <c r="B542" t="str">
        <f t="shared" ref="B542:B595" si="30">PROPER(TRIM($C542))</f>
        <v>Mira</v>
      </c>
      <c r="C542" t="s">
        <v>2643</v>
      </c>
      <c r="D542" t="s">
        <v>2644</v>
      </c>
      <c r="E542" t="str">
        <f t="shared" ref="E542:E595" si="31">LOWER(TRIM($F542))</f>
        <v>mknowlsonht@nhs.uk</v>
      </c>
      <c r="F542" t="s">
        <v>2645</v>
      </c>
      <c r="G542" t="s">
        <v>11</v>
      </c>
      <c r="H542" t="str">
        <f t="shared" ref="H542:H595" si="32">IF(OR($G542="M",LOWER($G542)="male"),"Male",
IF(OR($G542="F",LOWER($G542)="female"),"Female","Other"))</f>
        <v>Female</v>
      </c>
      <c r="I542" t="str">
        <f>"+880"&amp;RIGHT(SUBSTITUTE(SUBSTITUTE($J542," ",""),"-",""),10)</f>
        <v>+8802323191767</v>
      </c>
      <c r="J542" t="s">
        <v>2646</v>
      </c>
      <c r="K542" t="s">
        <v>13</v>
      </c>
      <c r="L542" t="str">
        <f>_xlfn.XLOOKUP($K$3,K:K,K:K,$K$2)</f>
        <v>Bangladesh</v>
      </c>
      <c r="M542" t="s">
        <v>700</v>
      </c>
      <c r="N542" t="e" vm="70">
        <f>_xlfn.XLOOKUP($M542,$O:$O,$P:$P,"")</f>
        <v>#VALUE!</v>
      </c>
    </row>
    <row r="543" spans="1:14" x14ac:dyDescent="0.25">
      <c r="A543">
        <v>643</v>
      </c>
      <c r="B543" t="str">
        <f t="shared" si="30"/>
        <v>Arabela</v>
      </c>
      <c r="C543" t="s">
        <v>852</v>
      </c>
      <c r="D543" t="s">
        <v>2647</v>
      </c>
      <c r="E543" t="str">
        <f t="shared" si="31"/>
        <v>abittlestonehu@nba.com</v>
      </c>
      <c r="F543" t="s">
        <v>2648</v>
      </c>
      <c r="G543" t="s">
        <v>11</v>
      </c>
      <c r="H543" t="str">
        <f t="shared" si="32"/>
        <v>Female</v>
      </c>
      <c r="I543" t="str">
        <f>"+880"&amp;RIGHT(SUBSTITUTE(SUBSTITUTE($J543," ",""),"-",""),10)</f>
        <v>+8809499714253</v>
      </c>
      <c r="J543" t="s">
        <v>2649</v>
      </c>
      <c r="K543" t="s">
        <v>13</v>
      </c>
      <c r="L543" t="str">
        <f>_xlfn.XLOOKUP($K$3,K:K,K:K,$K$2)</f>
        <v>Bangladesh</v>
      </c>
      <c r="M543" t="s">
        <v>224</v>
      </c>
      <c r="N543" t="e" vm="33">
        <f>_xlfn.XLOOKUP($M543,$O:$O,$P:$P,"")</f>
        <v>#VALUE!</v>
      </c>
    </row>
    <row r="544" spans="1:14" x14ac:dyDescent="0.25">
      <c r="A544">
        <v>644</v>
      </c>
      <c r="B544" t="str">
        <f t="shared" si="30"/>
        <v>Brit</v>
      </c>
      <c r="C544" t="s">
        <v>1783</v>
      </c>
      <c r="D544" t="s">
        <v>2650</v>
      </c>
      <c r="E544" t="str">
        <f t="shared" si="31"/>
        <v>bcogswellhv@chron.com</v>
      </c>
      <c r="F544" t="s">
        <v>2651</v>
      </c>
      <c r="G544" t="s">
        <v>11</v>
      </c>
      <c r="H544" t="str">
        <f t="shared" si="32"/>
        <v>Female</v>
      </c>
      <c r="I544" t="str">
        <f>"+880"&amp;RIGHT(SUBSTITUTE(SUBSTITUTE($J544," ",""),"-",""),10)</f>
        <v>+8801605015513</v>
      </c>
      <c r="J544" t="s">
        <v>2652</v>
      </c>
      <c r="K544" t="s">
        <v>13</v>
      </c>
      <c r="L544" t="str">
        <f>_xlfn.XLOOKUP($K$3,K:K,K:K,$K$2)</f>
        <v>Bangladesh</v>
      </c>
      <c r="M544" t="s">
        <v>365</v>
      </c>
      <c r="N544" t="e" vm="47">
        <f>_xlfn.XLOOKUP($M544,$O:$O,$P:$P,"")</f>
        <v>#VALUE!</v>
      </c>
    </row>
    <row r="545" spans="1:14" x14ac:dyDescent="0.25">
      <c r="A545">
        <v>645</v>
      </c>
      <c r="B545" t="str">
        <f t="shared" si="30"/>
        <v>Gordan</v>
      </c>
      <c r="C545" t="s">
        <v>2653</v>
      </c>
      <c r="D545" t="s">
        <v>2654</v>
      </c>
      <c r="E545" t="str">
        <f t="shared" si="31"/>
        <v>gpougherhw@wikipedia.org</v>
      </c>
      <c r="F545" t="s">
        <v>2655</v>
      </c>
      <c r="G545" t="s">
        <v>18</v>
      </c>
      <c r="H545" t="str">
        <f t="shared" si="32"/>
        <v>Male</v>
      </c>
      <c r="I545" t="str">
        <f>"+880"&amp;RIGHT(SUBSTITUTE(SUBSTITUTE($J545," ",""),"-",""),10)</f>
        <v>+8801147631703</v>
      </c>
      <c r="J545" t="s">
        <v>2656</v>
      </c>
      <c r="K545" t="s">
        <v>13</v>
      </c>
      <c r="L545" t="str">
        <f>_xlfn.XLOOKUP($K$3,K:K,K:K,$K$2)</f>
        <v>Bangladesh</v>
      </c>
      <c r="M545" t="s">
        <v>154</v>
      </c>
      <c r="N545" t="e" vm="23">
        <f>_xlfn.XLOOKUP($M545,$O:$O,$P:$P,"")</f>
        <v>#VALUE!</v>
      </c>
    </row>
    <row r="546" spans="1:14" x14ac:dyDescent="0.25">
      <c r="A546">
        <v>646</v>
      </c>
      <c r="B546" t="str">
        <f t="shared" si="30"/>
        <v>Dania</v>
      </c>
      <c r="C546" t="s">
        <v>2657</v>
      </c>
      <c r="D546" t="s">
        <v>2658</v>
      </c>
      <c r="E546" t="str">
        <f t="shared" si="31"/>
        <v>dniavehx@wordpress.com</v>
      </c>
      <c r="F546" t="s">
        <v>2659</v>
      </c>
      <c r="G546" t="s">
        <v>11</v>
      </c>
      <c r="H546" t="str">
        <f t="shared" si="32"/>
        <v>Female</v>
      </c>
      <c r="I546" t="str">
        <f>"+880"&amp;RIGHT(SUBSTITUTE(SUBSTITUTE($J546," ",""),"-",""),10)</f>
        <v>+8809191018408</v>
      </c>
      <c r="J546" t="s">
        <v>2660</v>
      </c>
      <c r="K546" t="s">
        <v>13</v>
      </c>
      <c r="L546" t="str">
        <f>_xlfn.XLOOKUP($K$3,K:K,K:K,$K$2)</f>
        <v>Bangladesh</v>
      </c>
      <c r="M546" t="s">
        <v>14</v>
      </c>
      <c r="N546" t="e" vm="1">
        <f>_xlfn.XLOOKUP($M546,$O:$O,$P:$P,"")</f>
        <v>#VALUE!</v>
      </c>
    </row>
    <row r="547" spans="1:14" x14ac:dyDescent="0.25">
      <c r="A547">
        <v>647</v>
      </c>
      <c r="B547" t="str">
        <f t="shared" si="30"/>
        <v>Kristos</v>
      </c>
      <c r="C547" t="s">
        <v>2661</v>
      </c>
      <c r="D547" t="s">
        <v>2662</v>
      </c>
      <c r="E547" t="str">
        <f t="shared" si="31"/>
        <v>kespinethy@cloudflare.com</v>
      </c>
      <c r="F547" t="s">
        <v>2663</v>
      </c>
      <c r="G547" t="s">
        <v>18</v>
      </c>
      <c r="H547" t="str">
        <f t="shared" si="32"/>
        <v>Male</v>
      </c>
      <c r="I547" t="str">
        <f>"+880"&amp;RIGHT(SUBSTITUTE(SUBSTITUTE($J547," ",""),"-",""),10)</f>
        <v>+8805971090735</v>
      </c>
      <c r="J547" t="s">
        <v>2664</v>
      </c>
      <c r="K547" t="s">
        <v>13</v>
      </c>
      <c r="L547" t="str">
        <f>_xlfn.XLOOKUP($K$3,K:K,K:K,$K$2)</f>
        <v>Bangladesh</v>
      </c>
      <c r="M547" t="s">
        <v>331</v>
      </c>
      <c r="N547" t="e" vm="64">
        <f>_xlfn.XLOOKUP($M547,$O:$O,$P:$P,"")</f>
        <v>#VALUE!</v>
      </c>
    </row>
    <row r="548" spans="1:14" x14ac:dyDescent="0.25">
      <c r="A548">
        <v>648</v>
      </c>
      <c r="B548" t="str">
        <f t="shared" si="30"/>
        <v>Dorey</v>
      </c>
      <c r="C548" t="s">
        <v>1767</v>
      </c>
      <c r="D548" t="s">
        <v>2665</v>
      </c>
      <c r="E548" t="str">
        <f t="shared" si="31"/>
        <v>ditskovitzhz@yelp.com</v>
      </c>
      <c r="F548" t="s">
        <v>2666</v>
      </c>
      <c r="G548" t="s">
        <v>11</v>
      </c>
      <c r="H548" t="str">
        <f t="shared" si="32"/>
        <v>Female</v>
      </c>
      <c r="I548" t="str">
        <f>"+880"&amp;RIGHT(SUBSTITUTE(SUBSTITUTE($J548," ",""),"-",""),10)</f>
        <v>+8804712268074</v>
      </c>
      <c r="J548" t="s">
        <v>2667</v>
      </c>
      <c r="K548" t="s">
        <v>13</v>
      </c>
      <c r="L548" t="str">
        <f>_xlfn.XLOOKUP($K$3,K:K,K:K,$K$2)</f>
        <v>Bangladesh</v>
      </c>
      <c r="M548" t="s">
        <v>96</v>
      </c>
      <c r="N548" t="e" vm="14">
        <f>_xlfn.XLOOKUP($M548,$O:$O,$P:$P,"")</f>
        <v>#VALUE!</v>
      </c>
    </row>
    <row r="549" spans="1:14" x14ac:dyDescent="0.25">
      <c r="A549">
        <v>650</v>
      </c>
      <c r="B549" t="str">
        <f t="shared" si="30"/>
        <v>Leonie</v>
      </c>
      <c r="C549" t="s">
        <v>2672</v>
      </c>
      <c r="D549" t="s">
        <v>2673</v>
      </c>
      <c r="E549" t="str">
        <f t="shared" si="31"/>
        <v>llyttlei1@moonfruit.com</v>
      </c>
      <c r="F549" t="s">
        <v>2674</v>
      </c>
      <c r="G549" t="s">
        <v>11</v>
      </c>
      <c r="H549" t="str">
        <f t="shared" si="32"/>
        <v>Female</v>
      </c>
      <c r="I549" t="str">
        <f>"+880"&amp;RIGHT(SUBSTITUTE(SUBSTITUTE($J549," ",""),"-",""),10)</f>
        <v>+8803627857021</v>
      </c>
      <c r="J549" t="s">
        <v>2675</v>
      </c>
      <c r="K549" t="s">
        <v>13</v>
      </c>
      <c r="L549" t="str">
        <f>_xlfn.XLOOKUP($K$3,K:K,K:K,$K$2)</f>
        <v>Bangladesh</v>
      </c>
      <c r="M549" t="s">
        <v>399</v>
      </c>
      <c r="N549" t="str">
        <f>_xlfn.XLOOKUP($M549,$O:$O,$P:$P,"")</f>
        <v>Jhingergacha</v>
      </c>
    </row>
    <row r="550" spans="1:14" x14ac:dyDescent="0.25">
      <c r="A550">
        <v>651</v>
      </c>
      <c r="B550" t="str">
        <f t="shared" si="30"/>
        <v>Mirilla</v>
      </c>
      <c r="C550" t="s">
        <v>2676</v>
      </c>
      <c r="D550" t="s">
        <v>2677</v>
      </c>
      <c r="E550" t="str">
        <f t="shared" si="31"/>
        <v>mtothi2@deviantart.com</v>
      </c>
      <c r="F550" t="s">
        <v>2678</v>
      </c>
      <c r="G550" t="s">
        <v>11</v>
      </c>
      <c r="H550" t="str">
        <f t="shared" si="32"/>
        <v>Female</v>
      </c>
      <c r="I550" t="str">
        <f>"+880"&amp;RIGHT(SUBSTITUTE(SUBSTITUTE($J550," ",""),"-",""),10)</f>
        <v>+8808918571528</v>
      </c>
      <c r="J550" t="s">
        <v>2679</v>
      </c>
      <c r="K550" t="s">
        <v>13</v>
      </c>
      <c r="L550" t="str">
        <f>_xlfn.XLOOKUP($K$3,K:K,K:K,$K$2)</f>
        <v>Bangladesh</v>
      </c>
      <c r="M550" t="s">
        <v>252</v>
      </c>
      <c r="N550" t="e" vm="36">
        <f>_xlfn.XLOOKUP($M550,$O:$O,$P:$P,"")</f>
        <v>#VALUE!</v>
      </c>
    </row>
    <row r="551" spans="1:14" x14ac:dyDescent="0.25">
      <c r="A551">
        <v>652</v>
      </c>
      <c r="B551" t="str">
        <f t="shared" si="30"/>
        <v>Claire</v>
      </c>
      <c r="C551" t="s">
        <v>2680</v>
      </c>
      <c r="D551" t="s">
        <v>2681</v>
      </c>
      <c r="E551" t="str">
        <f t="shared" si="31"/>
        <v>crawesi3@hp.com</v>
      </c>
      <c r="F551" t="s">
        <v>2682</v>
      </c>
      <c r="G551" t="s">
        <v>18</v>
      </c>
      <c r="H551" t="str">
        <f t="shared" si="32"/>
        <v>Male</v>
      </c>
      <c r="I551" t="str">
        <f>"+880"&amp;RIGHT(SUBSTITUTE(SUBSTITUTE($J551," ",""),"-",""),10)</f>
        <v>+8803927761536</v>
      </c>
      <c r="J551" t="s">
        <v>2683</v>
      </c>
      <c r="K551" t="s">
        <v>13</v>
      </c>
      <c r="L551" t="str">
        <f>_xlfn.XLOOKUP($K$3,K:K,K:K,$K$2)</f>
        <v>Bangladesh</v>
      </c>
      <c r="M551" t="s">
        <v>287</v>
      </c>
      <c r="N551" t="e" vm="41">
        <f>_xlfn.XLOOKUP($M551,$O:$O,$P:$P,"")</f>
        <v>#VALUE!</v>
      </c>
    </row>
    <row r="552" spans="1:14" x14ac:dyDescent="0.25">
      <c r="A552">
        <v>653</v>
      </c>
      <c r="B552" t="str">
        <f t="shared" si="30"/>
        <v>Mitchell</v>
      </c>
      <c r="C552" t="s">
        <v>2285</v>
      </c>
      <c r="D552" t="s">
        <v>2684</v>
      </c>
      <c r="E552" t="str">
        <f t="shared" si="31"/>
        <v>msambidgei4@unblog.fr</v>
      </c>
      <c r="F552" t="s">
        <v>2685</v>
      </c>
      <c r="G552" t="s">
        <v>18</v>
      </c>
      <c r="H552" t="str">
        <f t="shared" si="32"/>
        <v>Male</v>
      </c>
      <c r="I552" t="str">
        <f>"+880"&amp;RIGHT(SUBSTITUTE(SUBSTITUTE($J552," ",""),"-",""),10)</f>
        <v>+8808068815587</v>
      </c>
      <c r="J552" t="s">
        <v>2686</v>
      </c>
      <c r="K552" t="s">
        <v>13</v>
      </c>
      <c r="L552" t="str">
        <f>_xlfn.XLOOKUP($K$3,K:K,K:K,$K$2)</f>
        <v>Bangladesh</v>
      </c>
      <c r="M552" t="s">
        <v>655</v>
      </c>
      <c r="N552" t="e" vm="66">
        <f>_xlfn.XLOOKUP($M552,$O:$O,$P:$P,"")</f>
        <v>#VALUE!</v>
      </c>
    </row>
    <row r="553" spans="1:14" x14ac:dyDescent="0.25">
      <c r="A553">
        <v>654</v>
      </c>
      <c r="B553" t="str">
        <f t="shared" si="30"/>
        <v>Irena</v>
      </c>
      <c r="C553" t="s">
        <v>1912</v>
      </c>
      <c r="D553" t="s">
        <v>2687</v>
      </c>
      <c r="E553" t="str">
        <f t="shared" si="31"/>
        <v>imixeri5@soundcloud.com</v>
      </c>
      <c r="F553" t="s">
        <v>2688</v>
      </c>
      <c r="G553" t="s">
        <v>11</v>
      </c>
      <c r="H553" t="str">
        <f t="shared" si="32"/>
        <v>Female</v>
      </c>
      <c r="I553" t="str">
        <f>"+880"&amp;RIGHT(SUBSTITUTE(SUBSTITUTE($J553," ",""),"-",""),10)</f>
        <v>+8809127044788</v>
      </c>
      <c r="J553" t="s">
        <v>2689</v>
      </c>
      <c r="K553" t="s">
        <v>13</v>
      </c>
      <c r="L553" t="str">
        <f>_xlfn.XLOOKUP($K$3,K:K,K:K,$K$2)</f>
        <v>Bangladesh</v>
      </c>
      <c r="M553" t="s">
        <v>404</v>
      </c>
      <c r="N553" t="e" vm="50">
        <f>_xlfn.XLOOKUP($M553,$O:$O,$P:$P,"")</f>
        <v>#VALUE!</v>
      </c>
    </row>
    <row r="554" spans="1:14" x14ac:dyDescent="0.25">
      <c r="A554">
        <v>655</v>
      </c>
      <c r="B554" t="str">
        <f t="shared" si="30"/>
        <v>Cassi</v>
      </c>
      <c r="C554" t="s">
        <v>2690</v>
      </c>
      <c r="D554" t="s">
        <v>2691</v>
      </c>
      <c r="E554" t="str">
        <f t="shared" si="31"/>
        <v>cmartinelloi6@google.co.uk</v>
      </c>
      <c r="F554" t="s">
        <v>2692</v>
      </c>
      <c r="G554" t="s">
        <v>11</v>
      </c>
      <c r="H554" t="str">
        <f t="shared" si="32"/>
        <v>Female</v>
      </c>
      <c r="I554" t="str">
        <f>"+880"&amp;RIGHT(SUBSTITUTE(SUBSTITUTE($J554," ",""),"-",""),10)</f>
        <v>+8807827414735</v>
      </c>
      <c r="J554" t="s">
        <v>2693</v>
      </c>
      <c r="K554" t="s">
        <v>13</v>
      </c>
      <c r="L554" t="str">
        <f>_xlfn.XLOOKUP($K$3,K:K,K:K,$K$2)</f>
        <v>Bangladesh</v>
      </c>
      <c r="M554" t="s">
        <v>687</v>
      </c>
      <c r="N554" t="e" vm="69">
        <f>_xlfn.XLOOKUP($M554,$O:$O,$P:$P,"")</f>
        <v>#VALUE!</v>
      </c>
    </row>
    <row r="555" spans="1:14" x14ac:dyDescent="0.25">
      <c r="A555">
        <v>656</v>
      </c>
      <c r="B555" t="str">
        <f t="shared" si="30"/>
        <v>Olympie</v>
      </c>
      <c r="C555" t="s">
        <v>2694</v>
      </c>
      <c r="D555" t="s">
        <v>2695</v>
      </c>
      <c r="E555" t="str">
        <f t="shared" si="31"/>
        <v>otummasuttii7@bing.com</v>
      </c>
      <c r="F555" t="s">
        <v>2696</v>
      </c>
      <c r="G555" t="s">
        <v>11</v>
      </c>
      <c r="H555" t="str">
        <f t="shared" si="32"/>
        <v>Female</v>
      </c>
      <c r="I555" t="str">
        <f>"+880"&amp;RIGHT(SUBSTITUTE(SUBSTITUTE($J555," ",""),"-",""),10)</f>
        <v>+8806389475821</v>
      </c>
      <c r="J555" t="s">
        <v>2697</v>
      </c>
      <c r="K555" t="s">
        <v>13</v>
      </c>
      <c r="L555" t="str">
        <f>_xlfn.XLOOKUP($K$3,K:K,K:K,$K$2)</f>
        <v>Bangladesh</v>
      </c>
      <c r="M555" t="s">
        <v>322</v>
      </c>
      <c r="N555" t="e" vm="44">
        <f>_xlfn.XLOOKUP($M555,$O:$O,$P:$P,"")</f>
        <v>#VALUE!</v>
      </c>
    </row>
    <row r="556" spans="1:14" x14ac:dyDescent="0.25">
      <c r="A556">
        <v>657</v>
      </c>
      <c r="B556" t="str">
        <f t="shared" si="30"/>
        <v>Yasmin</v>
      </c>
      <c r="C556" t="s">
        <v>2698</v>
      </c>
      <c r="D556" t="s">
        <v>2699</v>
      </c>
      <c r="E556" t="str">
        <f t="shared" si="31"/>
        <v>ybartolici8@aboutads.info</v>
      </c>
      <c r="F556" t="s">
        <v>2700</v>
      </c>
      <c r="G556" t="s">
        <v>11</v>
      </c>
      <c r="H556" t="str">
        <f t="shared" si="32"/>
        <v>Female</v>
      </c>
      <c r="I556" t="str">
        <f>"+880"&amp;RIGHT(SUBSTITUTE(SUBSTITUTE($J556," ",""),"-",""),10)</f>
        <v>+8805943481115</v>
      </c>
      <c r="J556" t="s">
        <v>2701</v>
      </c>
      <c r="K556" t="s">
        <v>13</v>
      </c>
      <c r="L556" t="str">
        <f>_xlfn.XLOOKUP($K$3,K:K,K:K,$K$2)</f>
        <v>Bangladesh</v>
      </c>
      <c r="M556" t="s">
        <v>135</v>
      </c>
      <c r="N556" t="e" vm="20">
        <f>_xlfn.XLOOKUP($M556,$O:$O,$P:$P,"")</f>
        <v>#VALUE!</v>
      </c>
    </row>
    <row r="557" spans="1:14" x14ac:dyDescent="0.25">
      <c r="A557">
        <v>658</v>
      </c>
      <c r="B557" t="str">
        <f t="shared" si="30"/>
        <v>Alexine</v>
      </c>
      <c r="C557" t="s">
        <v>2702</v>
      </c>
      <c r="D557" t="s">
        <v>2703</v>
      </c>
      <c r="E557" t="str">
        <f t="shared" si="31"/>
        <v>adoidgei9@senate.gov</v>
      </c>
      <c r="F557" t="s">
        <v>2704</v>
      </c>
      <c r="G557" t="s">
        <v>11</v>
      </c>
      <c r="H557" t="str">
        <f t="shared" si="32"/>
        <v>Female</v>
      </c>
      <c r="I557" t="str">
        <f>"+880"&amp;RIGHT(SUBSTITUTE(SUBSTITUTE($J557," ",""),"-",""),10)</f>
        <v>+8807873439665</v>
      </c>
      <c r="J557" t="s">
        <v>2705</v>
      </c>
      <c r="K557" t="s">
        <v>13</v>
      </c>
      <c r="L557" t="str">
        <f>_xlfn.XLOOKUP($K$3,K:K,K:K,$K$2)</f>
        <v>Bangladesh</v>
      </c>
      <c r="M557" t="s">
        <v>205</v>
      </c>
      <c r="N557" t="e" vm="30">
        <f>_xlfn.XLOOKUP($M557,$O:$O,$P:$P,"")</f>
        <v>#VALUE!</v>
      </c>
    </row>
    <row r="558" spans="1:14" x14ac:dyDescent="0.25">
      <c r="A558">
        <v>659</v>
      </c>
      <c r="B558" t="str">
        <f t="shared" si="30"/>
        <v>Kendal</v>
      </c>
      <c r="C558" t="s">
        <v>2706</v>
      </c>
      <c r="D558" t="s">
        <v>2707</v>
      </c>
      <c r="E558" t="str">
        <f t="shared" si="31"/>
        <v>klambartia@mapquest.com</v>
      </c>
      <c r="F558" t="s">
        <v>2708</v>
      </c>
      <c r="G558" t="s">
        <v>18</v>
      </c>
      <c r="H558" t="str">
        <f t="shared" si="32"/>
        <v>Male</v>
      </c>
      <c r="I558" t="str">
        <f>"+880"&amp;RIGHT(SUBSTITUTE(SUBSTITUTE($J558," ",""),"-",""),10)</f>
        <v>+8804186958774</v>
      </c>
      <c r="J558" t="s">
        <v>2709</v>
      </c>
      <c r="K558" t="s">
        <v>13</v>
      </c>
      <c r="L558" t="str">
        <f>_xlfn.XLOOKUP($K$3,K:K,K:K,$K$2)</f>
        <v>Bangladesh</v>
      </c>
      <c r="M558" t="s">
        <v>101</v>
      </c>
      <c r="N558" t="e" vm="15">
        <f>_xlfn.XLOOKUP($M558,$O:$O,$P:$P,"")</f>
        <v>#VALUE!</v>
      </c>
    </row>
    <row r="559" spans="1:14" x14ac:dyDescent="0.25">
      <c r="A559">
        <v>660</v>
      </c>
      <c r="B559" t="str">
        <f t="shared" si="30"/>
        <v>Berry</v>
      </c>
      <c r="C559" t="s">
        <v>2710</v>
      </c>
      <c r="D559" t="s">
        <v>2711</v>
      </c>
      <c r="E559" t="str">
        <f t="shared" si="31"/>
        <v>bstuttmanib@unicef.org</v>
      </c>
      <c r="F559" t="s">
        <v>2712</v>
      </c>
      <c r="G559" t="s">
        <v>228</v>
      </c>
      <c r="H559" t="str">
        <f t="shared" si="32"/>
        <v>Other</v>
      </c>
      <c r="I559" t="str">
        <f>"+880"&amp;RIGHT(SUBSTITUTE(SUBSTITUTE($J559," ",""),"-",""),10)</f>
        <v>+8804227496272</v>
      </c>
      <c r="J559" t="s">
        <v>2713</v>
      </c>
      <c r="K559" t="s">
        <v>13</v>
      </c>
      <c r="L559" t="str">
        <f>_xlfn.XLOOKUP($K$3,K:K,K:K,$K$2)</f>
        <v>Bangladesh</v>
      </c>
      <c r="M559" t="s">
        <v>641</v>
      </c>
      <c r="N559" t="e" vm="63">
        <f>_xlfn.XLOOKUP($M559,$O:$O,$P:$P,"")</f>
        <v>#VALUE!</v>
      </c>
    </row>
    <row r="560" spans="1:14" x14ac:dyDescent="0.25">
      <c r="A560">
        <v>661</v>
      </c>
      <c r="B560" t="str">
        <f t="shared" si="30"/>
        <v>Selma</v>
      </c>
      <c r="C560" t="s">
        <v>2714</v>
      </c>
      <c r="D560" t="s">
        <v>2715</v>
      </c>
      <c r="E560" t="str">
        <f t="shared" si="31"/>
        <v>ssomervilleic@narod.ru</v>
      </c>
      <c r="F560" t="s">
        <v>2716</v>
      </c>
      <c r="G560" t="s">
        <v>11</v>
      </c>
      <c r="H560" t="str">
        <f t="shared" si="32"/>
        <v>Female</v>
      </c>
      <c r="I560" t="str">
        <f>"+880"&amp;RIGHT(SUBSTITUTE(SUBSTITUTE($J560," ",""),"-",""),10)</f>
        <v>+8801297439953</v>
      </c>
      <c r="J560" t="s">
        <v>2717</v>
      </c>
      <c r="K560" t="s">
        <v>13</v>
      </c>
      <c r="L560" t="str">
        <f>_xlfn.XLOOKUP($K$3,K:K,K:K,$K$2)</f>
        <v>Bangladesh</v>
      </c>
      <c r="M560" t="s">
        <v>125</v>
      </c>
      <c r="N560" t="e" vm="18">
        <f>_xlfn.XLOOKUP($M560,$O:$O,$P:$P,"")</f>
        <v>#VALUE!</v>
      </c>
    </row>
    <row r="561" spans="1:14" x14ac:dyDescent="0.25">
      <c r="A561">
        <v>663</v>
      </c>
      <c r="B561" t="str">
        <f t="shared" si="30"/>
        <v>Maryjo</v>
      </c>
      <c r="C561" t="s">
        <v>2722</v>
      </c>
      <c r="D561" t="s">
        <v>2723</v>
      </c>
      <c r="E561" t="str">
        <f t="shared" si="31"/>
        <v>mmuirheadie@last.fm</v>
      </c>
      <c r="F561" t="s">
        <v>2724</v>
      </c>
      <c r="G561" t="s">
        <v>11</v>
      </c>
      <c r="H561" t="str">
        <f t="shared" si="32"/>
        <v>Female</v>
      </c>
      <c r="I561" t="str">
        <f>"+880"&amp;RIGHT(SUBSTITUTE(SUBSTITUTE($J561," ",""),"-",""),10)</f>
        <v>+8804517993402</v>
      </c>
      <c r="J561" t="s">
        <v>2725</v>
      </c>
      <c r="K561" t="s">
        <v>13</v>
      </c>
      <c r="L561" t="str">
        <f>_xlfn.XLOOKUP($K$3,K:K,K:K,$K$2)</f>
        <v>Bangladesh</v>
      </c>
      <c r="M561" t="s">
        <v>115</v>
      </c>
      <c r="N561" t="e" vm="17">
        <f>_xlfn.XLOOKUP($M561,$O:$O,$P:$P,"")</f>
        <v>#VALUE!</v>
      </c>
    </row>
    <row r="562" spans="1:14" x14ac:dyDescent="0.25">
      <c r="A562">
        <v>664</v>
      </c>
      <c r="B562" t="str">
        <f t="shared" si="30"/>
        <v>Imogen</v>
      </c>
      <c r="C562" t="s">
        <v>2726</v>
      </c>
      <c r="D562" t="s">
        <v>2727</v>
      </c>
      <c r="E562" t="str">
        <f t="shared" si="31"/>
        <v>ialpeif@nhs.uk</v>
      </c>
      <c r="F562" t="s">
        <v>2728</v>
      </c>
      <c r="G562" t="s">
        <v>11</v>
      </c>
      <c r="H562" t="str">
        <f t="shared" si="32"/>
        <v>Female</v>
      </c>
      <c r="I562" t="str">
        <f>"+880"&amp;RIGHT(SUBSTITUTE(SUBSTITUTE($J562," ",""),"-",""),10)</f>
        <v>+8802496822387</v>
      </c>
      <c r="J562" t="s">
        <v>2729</v>
      </c>
      <c r="K562" t="s">
        <v>13</v>
      </c>
      <c r="L562" t="str">
        <f>_xlfn.XLOOKUP($K$3,K:K,K:K,$K$2)</f>
        <v>Bangladesh</v>
      </c>
      <c r="M562" t="s">
        <v>804</v>
      </c>
      <c r="N562" t="e" vm="73">
        <f>_xlfn.XLOOKUP($M562,$O:$O,$P:$P,"")</f>
        <v>#VALUE!</v>
      </c>
    </row>
    <row r="563" spans="1:14" x14ac:dyDescent="0.25">
      <c r="A563">
        <v>665</v>
      </c>
      <c r="B563" t="str">
        <f t="shared" si="30"/>
        <v>Ethelbert</v>
      </c>
      <c r="C563" t="s">
        <v>2730</v>
      </c>
      <c r="D563" t="s">
        <v>2731</v>
      </c>
      <c r="E563" t="str">
        <f t="shared" si="31"/>
        <v>eperrieig@un.org</v>
      </c>
      <c r="F563" t="s">
        <v>2732</v>
      </c>
      <c r="G563" t="s">
        <v>18</v>
      </c>
      <c r="H563" t="str">
        <f t="shared" si="32"/>
        <v>Male</v>
      </c>
      <c r="I563" t="str">
        <f>"+880"&amp;RIGHT(SUBSTITUTE(SUBSTITUTE($J563," ",""),"-",""),10)</f>
        <v>+8804682073839</v>
      </c>
      <c r="J563" t="s">
        <v>2733</v>
      </c>
      <c r="K563" t="s">
        <v>13</v>
      </c>
      <c r="L563" t="str">
        <f>_xlfn.XLOOKUP($K$3,K:K,K:K,$K$2)</f>
        <v>Bangladesh</v>
      </c>
      <c r="M563" t="s">
        <v>839</v>
      </c>
      <c r="N563" t="e" vm="76">
        <f>_xlfn.XLOOKUP($M563,$O:$O,$P:$P,"")</f>
        <v>#VALUE!</v>
      </c>
    </row>
    <row r="564" spans="1:14" x14ac:dyDescent="0.25">
      <c r="A564">
        <v>666</v>
      </c>
      <c r="B564" t="str">
        <f t="shared" si="30"/>
        <v>Estell</v>
      </c>
      <c r="C564" t="s">
        <v>2734</v>
      </c>
      <c r="D564" t="s">
        <v>2735</v>
      </c>
      <c r="E564" t="str">
        <f t="shared" si="31"/>
        <v>egoomesih@google.ru</v>
      </c>
      <c r="F564" t="s">
        <v>2736</v>
      </c>
      <c r="G564" t="s">
        <v>11</v>
      </c>
      <c r="H564" t="str">
        <f t="shared" si="32"/>
        <v>Female</v>
      </c>
      <c r="I564" t="str">
        <f>"+880"&amp;RIGHT(SUBSTITUTE(SUBSTITUTE($J564," ",""),"-",""),10)</f>
        <v>+8801038008185</v>
      </c>
      <c r="J564" t="s">
        <v>2737</v>
      </c>
      <c r="K564" t="s">
        <v>13</v>
      </c>
      <c r="L564" t="str">
        <f>_xlfn.XLOOKUP($K$3,K:K,K:K,$K$2)</f>
        <v>Bangladesh</v>
      </c>
      <c r="M564" t="s">
        <v>110</v>
      </c>
      <c r="N564" t="e" vm="16">
        <f>_xlfn.XLOOKUP($M564,$O:$O,$P:$P,"")</f>
        <v>#VALUE!</v>
      </c>
    </row>
    <row r="565" spans="1:14" x14ac:dyDescent="0.25">
      <c r="A565">
        <v>668</v>
      </c>
      <c r="B565" t="str">
        <f t="shared" si="30"/>
        <v>Jay</v>
      </c>
      <c r="C565" t="s">
        <v>2742</v>
      </c>
      <c r="D565" t="s">
        <v>2743</v>
      </c>
      <c r="E565" t="str">
        <f t="shared" si="31"/>
        <v>jplaitij@github.io</v>
      </c>
      <c r="F565" t="s">
        <v>2744</v>
      </c>
      <c r="G565" t="s">
        <v>18</v>
      </c>
      <c r="H565" t="str">
        <f t="shared" si="32"/>
        <v>Male</v>
      </c>
      <c r="I565" t="str">
        <f>"+880"&amp;RIGHT(SUBSTITUTE(SUBSTITUTE($J565," ",""),"-",""),10)</f>
        <v>+8809969822094</v>
      </c>
      <c r="J565" t="s">
        <v>2745</v>
      </c>
      <c r="K565" t="s">
        <v>13</v>
      </c>
      <c r="L565" t="str">
        <f>_xlfn.XLOOKUP($K$3,K:K,K:K,$K$2)</f>
        <v>Bangladesh</v>
      </c>
      <c r="M565" t="s">
        <v>365</v>
      </c>
      <c r="N565" t="e" vm="47">
        <f>_xlfn.XLOOKUP($M565,$O:$O,$P:$P,"")</f>
        <v>#VALUE!</v>
      </c>
    </row>
    <row r="566" spans="1:14" x14ac:dyDescent="0.25">
      <c r="A566">
        <v>669</v>
      </c>
      <c r="B566" t="str">
        <f t="shared" si="30"/>
        <v>Alfonso</v>
      </c>
      <c r="C566" t="s">
        <v>2746</v>
      </c>
      <c r="D566" t="s">
        <v>2747</v>
      </c>
      <c r="E566" t="str">
        <f t="shared" si="31"/>
        <v>agoldhawkik@seesaa.net</v>
      </c>
      <c r="F566" t="s">
        <v>2748</v>
      </c>
      <c r="G566" t="s">
        <v>769</v>
      </c>
      <c r="H566" t="str">
        <f t="shared" si="32"/>
        <v>Other</v>
      </c>
      <c r="I566" t="str">
        <f>"+880"&amp;RIGHT(SUBSTITUTE(SUBSTITUTE($J566," ",""),"-",""),10)</f>
        <v>+8804917681758</v>
      </c>
      <c r="J566" t="s">
        <v>2749</v>
      </c>
      <c r="K566" t="s">
        <v>13</v>
      </c>
      <c r="L566" t="str">
        <f>_xlfn.XLOOKUP($K$3,K:K,K:K,$K$2)</f>
        <v>Bangladesh</v>
      </c>
      <c r="M566" t="s">
        <v>163</v>
      </c>
      <c r="N566" t="e" vm="24">
        <f>_xlfn.XLOOKUP($M566,$O:$O,$P:$P,"")</f>
        <v>#VALUE!</v>
      </c>
    </row>
    <row r="567" spans="1:14" x14ac:dyDescent="0.25">
      <c r="A567">
        <v>670</v>
      </c>
      <c r="B567" t="str">
        <f t="shared" si="30"/>
        <v>Tucker</v>
      </c>
      <c r="C567" t="s">
        <v>2750</v>
      </c>
      <c r="D567" t="s">
        <v>2751</v>
      </c>
      <c r="E567" t="str">
        <f t="shared" si="31"/>
        <v>tcraneil@lulu.com</v>
      </c>
      <c r="F567" t="s">
        <v>2752</v>
      </c>
      <c r="G567" t="s">
        <v>18</v>
      </c>
      <c r="H567" t="str">
        <f t="shared" si="32"/>
        <v>Male</v>
      </c>
      <c r="I567" t="str">
        <f>"+880"&amp;RIGHT(SUBSTITUTE(SUBSTITUTE($J567," ",""),"-",""),10)</f>
        <v>+8808392522591</v>
      </c>
      <c r="J567" t="s">
        <v>2753</v>
      </c>
      <c r="K567" t="s">
        <v>13</v>
      </c>
      <c r="L567" t="str">
        <f>_xlfn.XLOOKUP($K$3,K:K,K:K,$K$2)</f>
        <v>Bangladesh</v>
      </c>
      <c r="M567" t="s">
        <v>916</v>
      </c>
      <c r="N567" t="e" vm="79">
        <f>_xlfn.XLOOKUP($M567,$O:$O,$P:$P,"")</f>
        <v>#VALUE!</v>
      </c>
    </row>
    <row r="568" spans="1:14" x14ac:dyDescent="0.25">
      <c r="A568">
        <v>671</v>
      </c>
      <c r="B568" t="str">
        <f t="shared" si="30"/>
        <v>Lyda</v>
      </c>
      <c r="C568" t="s">
        <v>2754</v>
      </c>
      <c r="D568" t="s">
        <v>2755</v>
      </c>
      <c r="E568" t="str">
        <f t="shared" si="31"/>
        <v>lkrollim@nifty.com</v>
      </c>
      <c r="F568" t="s">
        <v>2756</v>
      </c>
      <c r="G568" t="s">
        <v>11</v>
      </c>
      <c r="H568" t="str">
        <f t="shared" si="32"/>
        <v>Female</v>
      </c>
      <c r="I568" t="str">
        <f>"+880"&amp;RIGHT(SUBSTITUTE(SUBSTITUTE($J568," ",""),"-",""),10)</f>
        <v>+8804012568158</v>
      </c>
      <c r="J568" t="s">
        <v>2757</v>
      </c>
      <c r="K568" t="s">
        <v>13</v>
      </c>
      <c r="L568" t="str">
        <f>_xlfn.XLOOKUP($K$3,K:K,K:K,$K$2)</f>
        <v>Bangladesh</v>
      </c>
      <c r="M568" t="s">
        <v>266</v>
      </c>
      <c r="N568" t="e" vm="38">
        <f>_xlfn.XLOOKUP($M568,$O:$O,$P:$P,"")</f>
        <v>#VALUE!</v>
      </c>
    </row>
    <row r="569" spans="1:14" x14ac:dyDescent="0.25">
      <c r="A569">
        <v>672</v>
      </c>
      <c r="B569" t="str">
        <f t="shared" si="30"/>
        <v>Melisande</v>
      </c>
      <c r="C569" t="s">
        <v>2758</v>
      </c>
      <c r="D569" t="s">
        <v>2759</v>
      </c>
      <c r="E569" t="str">
        <f t="shared" si="31"/>
        <v>mmcrinnin@bigcartel.com</v>
      </c>
      <c r="F569" t="s">
        <v>2760</v>
      </c>
      <c r="G569" t="s">
        <v>11</v>
      </c>
      <c r="H569" t="str">
        <f t="shared" si="32"/>
        <v>Female</v>
      </c>
      <c r="I569" t="str">
        <f>"+880"&amp;RIGHT(SUBSTITUTE(SUBSTITUTE($J569," ",""),"-",""),10)</f>
        <v>+8806898966142</v>
      </c>
      <c r="J569" t="s">
        <v>2761</v>
      </c>
      <c r="K569" t="s">
        <v>13</v>
      </c>
      <c r="L569" t="str">
        <f>_xlfn.XLOOKUP($K$3,K:K,K:K,$K$2)</f>
        <v>Bangladesh</v>
      </c>
      <c r="M569" t="s">
        <v>687</v>
      </c>
      <c r="N569" t="e" vm="69">
        <f>_xlfn.XLOOKUP($M569,$O:$O,$P:$P,"")</f>
        <v>#VALUE!</v>
      </c>
    </row>
    <row r="570" spans="1:14" x14ac:dyDescent="0.25">
      <c r="A570">
        <v>673</v>
      </c>
      <c r="B570" t="str">
        <f t="shared" si="30"/>
        <v>Hewe</v>
      </c>
      <c r="C570" t="s">
        <v>2762</v>
      </c>
      <c r="D570" t="s">
        <v>2763</v>
      </c>
      <c r="E570" t="str">
        <f t="shared" si="31"/>
        <v>hpynnerio@marketwatch.com</v>
      </c>
      <c r="F570" t="s">
        <v>2764</v>
      </c>
      <c r="G570" t="s">
        <v>18</v>
      </c>
      <c r="H570" t="str">
        <f t="shared" si="32"/>
        <v>Male</v>
      </c>
      <c r="I570" t="str">
        <f>"+880"&amp;RIGHT(SUBSTITUTE(SUBSTITUTE($J570," ",""),"-",""),10)</f>
        <v>+8807594573596</v>
      </c>
      <c r="J570" t="s">
        <v>2765</v>
      </c>
      <c r="K570" t="s">
        <v>13</v>
      </c>
      <c r="L570" t="str">
        <f>_xlfn.XLOOKUP($K$3,K:K,K:K,$K$2)</f>
        <v>Bangladesh</v>
      </c>
      <c r="M570" t="s">
        <v>700</v>
      </c>
      <c r="N570" t="e" vm="70">
        <f>_xlfn.XLOOKUP($M570,$O:$O,$P:$P,"")</f>
        <v>#VALUE!</v>
      </c>
    </row>
    <row r="571" spans="1:14" x14ac:dyDescent="0.25">
      <c r="A571">
        <v>674</v>
      </c>
      <c r="B571" t="str">
        <f t="shared" si="30"/>
        <v>Nikaniki</v>
      </c>
      <c r="C571" t="s">
        <v>2766</v>
      </c>
      <c r="D571" t="s">
        <v>2767</v>
      </c>
      <c r="E571" t="str">
        <f t="shared" si="31"/>
        <v>nstonemanip@noaa.gov</v>
      </c>
      <c r="F571" t="s">
        <v>2768</v>
      </c>
      <c r="G571" t="s">
        <v>11</v>
      </c>
      <c r="H571" t="str">
        <f t="shared" si="32"/>
        <v>Female</v>
      </c>
      <c r="I571" t="str">
        <f>"+880"&amp;RIGHT(SUBSTITUTE(SUBSTITUTE($J571," ",""),"-",""),10)</f>
        <v>+8806653703624</v>
      </c>
      <c r="J571" t="s">
        <v>2769</v>
      </c>
      <c r="K571" t="s">
        <v>13</v>
      </c>
      <c r="L571" t="str">
        <f>_xlfn.XLOOKUP($K$3,K:K,K:K,$K$2)</f>
        <v>Bangladesh</v>
      </c>
      <c r="M571" t="s">
        <v>438</v>
      </c>
      <c r="N571" t="e" vm="52">
        <f>_xlfn.XLOOKUP($M571,$O:$O,$P:$P,"")</f>
        <v>#VALUE!</v>
      </c>
    </row>
    <row r="572" spans="1:14" x14ac:dyDescent="0.25">
      <c r="A572">
        <v>675</v>
      </c>
      <c r="B572" t="str">
        <f t="shared" si="30"/>
        <v>Van</v>
      </c>
      <c r="C572" t="s">
        <v>2770</v>
      </c>
      <c r="D572" t="s">
        <v>2771</v>
      </c>
      <c r="E572" t="str">
        <f t="shared" si="31"/>
        <v>vscatchariq@statcounter.com</v>
      </c>
      <c r="F572" t="s">
        <v>2772</v>
      </c>
      <c r="G572" t="s">
        <v>18</v>
      </c>
      <c r="H572" t="str">
        <f t="shared" si="32"/>
        <v>Male</v>
      </c>
      <c r="I572" t="str">
        <f>"+880"&amp;RIGHT(SUBSTITUTE(SUBSTITUTE($J572," ",""),"-",""),10)</f>
        <v>+8809458520789</v>
      </c>
      <c r="J572" t="s">
        <v>2773</v>
      </c>
      <c r="K572" t="s">
        <v>13</v>
      </c>
      <c r="L572" t="str">
        <f>_xlfn.XLOOKUP($K$3,K:K,K:K,$K$2)</f>
        <v>Bangladesh</v>
      </c>
      <c r="M572" t="s">
        <v>188</v>
      </c>
      <c r="N572" t="e" vm="29">
        <f>_xlfn.XLOOKUP($M572,$O:$O,$P:$P,"")</f>
        <v>#VALUE!</v>
      </c>
    </row>
    <row r="573" spans="1:14" x14ac:dyDescent="0.25">
      <c r="A573">
        <v>676</v>
      </c>
      <c r="B573" t="str">
        <f t="shared" si="30"/>
        <v>Maudie</v>
      </c>
      <c r="C573" t="s">
        <v>2774</v>
      </c>
      <c r="D573" t="s">
        <v>2775</v>
      </c>
      <c r="E573" t="str">
        <f t="shared" si="31"/>
        <v>mdixonir@4shared.com</v>
      </c>
      <c r="F573" t="s">
        <v>2776</v>
      </c>
      <c r="G573" t="s">
        <v>11</v>
      </c>
      <c r="H573" t="str">
        <f t="shared" si="32"/>
        <v>Female</v>
      </c>
      <c r="I573" t="str">
        <f>"+880"&amp;RIGHT(SUBSTITUTE(SUBSTITUTE($J573," ",""),"-",""),10)</f>
        <v>+8808727173728</v>
      </c>
      <c r="J573" t="s">
        <v>2777</v>
      </c>
      <c r="K573" t="s">
        <v>13</v>
      </c>
      <c r="L573" t="str">
        <f>_xlfn.XLOOKUP($K$3,K:K,K:K,$K$2)</f>
        <v>Bangladesh</v>
      </c>
      <c r="M573" t="s">
        <v>178</v>
      </c>
      <c r="N573" t="e" vm="27">
        <f>_xlfn.XLOOKUP($M573,$O:$O,$P:$P,"")</f>
        <v>#VALUE!</v>
      </c>
    </row>
    <row r="574" spans="1:14" x14ac:dyDescent="0.25">
      <c r="A574">
        <v>677</v>
      </c>
      <c r="B574" t="str">
        <f t="shared" si="30"/>
        <v>Betsey</v>
      </c>
      <c r="C574" t="s">
        <v>2778</v>
      </c>
      <c r="D574" t="s">
        <v>2779</v>
      </c>
      <c r="E574" t="str">
        <f t="shared" si="31"/>
        <v>bhurringis@sohu.com</v>
      </c>
      <c r="F574" t="s">
        <v>2780</v>
      </c>
      <c r="G574" t="s">
        <v>11</v>
      </c>
      <c r="H574" t="str">
        <f t="shared" si="32"/>
        <v>Female</v>
      </c>
      <c r="I574" t="str">
        <f>"+880"&amp;RIGHT(SUBSTITUTE(SUBSTITUTE($J574," ",""),"-",""),10)</f>
        <v>+8805329153321</v>
      </c>
      <c r="J574" t="s">
        <v>2781</v>
      </c>
      <c r="K574" t="s">
        <v>13</v>
      </c>
      <c r="L574" t="str">
        <f>_xlfn.XLOOKUP($K$3,K:K,K:K,$K$2)</f>
        <v>Bangladesh</v>
      </c>
      <c r="M574" t="s">
        <v>115</v>
      </c>
      <c r="N574" t="e" vm="17">
        <f>_xlfn.XLOOKUP($M574,$O:$O,$P:$P,"")</f>
        <v>#VALUE!</v>
      </c>
    </row>
    <row r="575" spans="1:14" x14ac:dyDescent="0.25">
      <c r="A575">
        <v>679</v>
      </c>
      <c r="B575" t="str">
        <f t="shared" si="30"/>
        <v>Olympia</v>
      </c>
      <c r="C575" t="s">
        <v>2785</v>
      </c>
      <c r="D575" t="s">
        <v>2786</v>
      </c>
      <c r="E575" t="str">
        <f t="shared" si="31"/>
        <v>omaaseiu@rambler.ru</v>
      </c>
      <c r="F575" t="s">
        <v>2787</v>
      </c>
      <c r="G575" t="s">
        <v>11</v>
      </c>
      <c r="H575" t="str">
        <f t="shared" si="32"/>
        <v>Female</v>
      </c>
      <c r="I575" t="str">
        <f>"+880"&amp;RIGHT(SUBSTITUTE(SUBSTITUTE($J575," ",""),"-",""),10)</f>
        <v>+8807021692140</v>
      </c>
      <c r="J575" t="s">
        <v>2788</v>
      </c>
      <c r="K575" t="s">
        <v>13</v>
      </c>
      <c r="L575" t="str">
        <f>_xlfn.XLOOKUP($K$3,K:K,K:K,$K$2)</f>
        <v>Bangladesh</v>
      </c>
      <c r="M575" t="s">
        <v>365</v>
      </c>
      <c r="N575" t="e" vm="47">
        <f>_xlfn.XLOOKUP($M575,$O:$O,$P:$P,"")</f>
        <v>#VALUE!</v>
      </c>
    </row>
    <row r="576" spans="1:14" x14ac:dyDescent="0.25">
      <c r="A576">
        <v>681</v>
      </c>
      <c r="B576" t="str">
        <f t="shared" si="30"/>
        <v>Talyah</v>
      </c>
      <c r="C576" t="s">
        <v>2792</v>
      </c>
      <c r="D576" t="s">
        <v>2793</v>
      </c>
      <c r="E576" t="str">
        <f t="shared" si="31"/>
        <v>tjarmyniw@pcworld.com</v>
      </c>
      <c r="F576" t="s">
        <v>2794</v>
      </c>
      <c r="G576" t="s">
        <v>11</v>
      </c>
      <c r="H576" t="str">
        <f t="shared" si="32"/>
        <v>Female</v>
      </c>
      <c r="I576" t="str">
        <f>"+880"&amp;RIGHT(SUBSTITUTE(SUBSTITUTE($J576," ",""),"-",""),10)</f>
        <v>+8801105661435</v>
      </c>
      <c r="J576" t="s">
        <v>2795</v>
      </c>
      <c r="K576" t="s">
        <v>13</v>
      </c>
      <c r="L576" t="str">
        <f>_xlfn.XLOOKUP($K$3,K:K,K:K,$K$2)</f>
        <v>Bangladesh</v>
      </c>
      <c r="M576" t="s">
        <v>438</v>
      </c>
      <c r="N576" t="e" vm="52">
        <f>_xlfn.XLOOKUP($M576,$O:$O,$P:$P,"")</f>
        <v>#VALUE!</v>
      </c>
    </row>
    <row r="577" spans="1:14" x14ac:dyDescent="0.25">
      <c r="A577">
        <v>682</v>
      </c>
      <c r="B577" t="str">
        <f t="shared" si="30"/>
        <v>Dunn</v>
      </c>
      <c r="C577" t="s">
        <v>2796</v>
      </c>
      <c r="D577" t="s">
        <v>2797</v>
      </c>
      <c r="E577" t="str">
        <f t="shared" si="31"/>
        <v>dclixbyix@rambler.ru</v>
      </c>
      <c r="F577" t="s">
        <v>2798</v>
      </c>
      <c r="G577" t="s">
        <v>18</v>
      </c>
      <c r="H577" t="str">
        <f t="shared" si="32"/>
        <v>Male</v>
      </c>
      <c r="I577" t="str">
        <f>"+880"&amp;RIGHT(SUBSTITUTE(SUBSTITUTE($J577," ",""),"-",""),10)</f>
        <v>+8805909108359</v>
      </c>
      <c r="J577" t="s">
        <v>2799</v>
      </c>
      <c r="K577" t="s">
        <v>13</v>
      </c>
      <c r="L577" t="str">
        <f>_xlfn.XLOOKUP($K$3,K:K,K:K,$K$2)</f>
        <v>Bangladesh</v>
      </c>
      <c r="M577" t="s">
        <v>374</v>
      </c>
      <c r="N577" t="e" vm="48">
        <f>_xlfn.XLOOKUP($M577,$O:$O,$P:$P,"")</f>
        <v>#VALUE!</v>
      </c>
    </row>
    <row r="578" spans="1:14" x14ac:dyDescent="0.25">
      <c r="A578">
        <v>683</v>
      </c>
      <c r="B578" t="str">
        <f t="shared" si="30"/>
        <v>Valera</v>
      </c>
      <c r="C578" t="s">
        <v>2800</v>
      </c>
      <c r="D578" t="s">
        <v>2801</v>
      </c>
      <c r="E578" t="str">
        <f t="shared" si="31"/>
        <v>vottewelliy@a8.net</v>
      </c>
      <c r="F578" t="s">
        <v>2802</v>
      </c>
      <c r="G578" t="s">
        <v>11</v>
      </c>
      <c r="H578" t="str">
        <f t="shared" si="32"/>
        <v>Female</v>
      </c>
      <c r="I578" t="str">
        <f>"+880"&amp;RIGHT(SUBSTITUTE(SUBSTITUTE($J578," ",""),"-",""),10)</f>
        <v>+8802335050676</v>
      </c>
      <c r="J578" t="s">
        <v>2803</v>
      </c>
      <c r="K578" t="s">
        <v>13</v>
      </c>
      <c r="L578" t="str">
        <f>_xlfn.XLOOKUP($K$3,K:K,K:K,$K$2)</f>
        <v>Bangladesh</v>
      </c>
      <c r="M578" t="s">
        <v>41</v>
      </c>
      <c r="N578" t="e" vm="58">
        <f>_xlfn.XLOOKUP($M578,$O:$O,$P:$P,"")</f>
        <v>#VALUE!</v>
      </c>
    </row>
    <row r="579" spans="1:14" x14ac:dyDescent="0.25">
      <c r="A579">
        <v>684</v>
      </c>
      <c r="B579" t="str">
        <f t="shared" si="30"/>
        <v>Eirena</v>
      </c>
      <c r="C579" t="s">
        <v>2804</v>
      </c>
      <c r="D579" t="s">
        <v>2805</v>
      </c>
      <c r="E579" t="str">
        <f t="shared" si="31"/>
        <v>ejestyiz@examiner.com</v>
      </c>
      <c r="F579" t="s">
        <v>2806</v>
      </c>
      <c r="G579" t="s">
        <v>280</v>
      </c>
      <c r="H579" t="str">
        <f t="shared" si="32"/>
        <v>Other</v>
      </c>
      <c r="I579" t="str">
        <f>"+880"&amp;RIGHT(SUBSTITUTE(SUBSTITUTE($J579," ",""),"-",""),10)</f>
        <v>+8801231445899</v>
      </c>
      <c r="J579" t="s">
        <v>2807</v>
      </c>
      <c r="K579" t="s">
        <v>13</v>
      </c>
      <c r="L579" t="str">
        <f>_xlfn.XLOOKUP($K$3,K:K,K:K,$K$2)</f>
        <v>Bangladesh</v>
      </c>
      <c r="M579" t="s">
        <v>1017</v>
      </c>
      <c r="N579" t="e" vm="80">
        <f>_xlfn.XLOOKUP($M579,$O:$O,$P:$P,"")</f>
        <v>#VALUE!</v>
      </c>
    </row>
    <row r="580" spans="1:14" x14ac:dyDescent="0.25">
      <c r="A580">
        <v>685</v>
      </c>
      <c r="B580" t="str">
        <f t="shared" si="30"/>
        <v>Tedmund</v>
      </c>
      <c r="C580" t="s">
        <v>2808</v>
      </c>
      <c r="D580" t="s">
        <v>2809</v>
      </c>
      <c r="E580" t="str">
        <f t="shared" si="31"/>
        <v>taronowiczj0@economist.com</v>
      </c>
      <c r="F580" t="s">
        <v>2810</v>
      </c>
      <c r="G580" t="s">
        <v>18</v>
      </c>
      <c r="H580" t="str">
        <f t="shared" si="32"/>
        <v>Male</v>
      </c>
      <c r="I580" t="str">
        <f>"+880"&amp;RIGHT(SUBSTITUTE(SUBSTITUTE($J580," ",""),"-",""),10)</f>
        <v>+8806807358120</v>
      </c>
      <c r="J580" t="s">
        <v>2811</v>
      </c>
      <c r="K580" t="s">
        <v>13</v>
      </c>
      <c r="L580" t="str">
        <f>_xlfn.XLOOKUP($K$3,K:K,K:K,$K$2)</f>
        <v>Bangladesh</v>
      </c>
      <c r="M580" t="s">
        <v>56</v>
      </c>
      <c r="N580" t="e" vm="6">
        <f>_xlfn.XLOOKUP($M580,$O:$O,$P:$P,"")</f>
        <v>#VALUE!</v>
      </c>
    </row>
    <row r="581" spans="1:14" x14ac:dyDescent="0.25">
      <c r="A581">
        <v>686</v>
      </c>
      <c r="B581" t="str">
        <f t="shared" si="30"/>
        <v>Colin</v>
      </c>
      <c r="C581" t="s">
        <v>2812</v>
      </c>
      <c r="D581" t="s">
        <v>2813</v>
      </c>
      <c r="E581" t="str">
        <f t="shared" si="31"/>
        <v>clefridgej1@gov.uk</v>
      </c>
      <c r="F581" t="s">
        <v>2814</v>
      </c>
      <c r="G581" t="s">
        <v>18</v>
      </c>
      <c r="H581" t="str">
        <f t="shared" si="32"/>
        <v>Male</v>
      </c>
      <c r="I581" t="str">
        <f>"+880"&amp;RIGHT(SUBSTITUTE(SUBSTITUTE($J581," ",""),"-",""),10)</f>
        <v>+8805853850512</v>
      </c>
      <c r="J581" t="s">
        <v>2815</v>
      </c>
      <c r="K581" t="s">
        <v>13</v>
      </c>
      <c r="L581" t="str">
        <f>_xlfn.XLOOKUP($K$3,K:K,K:K,$K$2)</f>
        <v>Bangladesh</v>
      </c>
      <c r="M581" t="s">
        <v>425</v>
      </c>
      <c r="N581" t="e" vm="51">
        <f>_xlfn.XLOOKUP($M581,$O:$O,$P:$P,"")</f>
        <v>#VALUE!</v>
      </c>
    </row>
    <row r="582" spans="1:14" x14ac:dyDescent="0.25">
      <c r="A582">
        <v>688</v>
      </c>
      <c r="B582" t="str">
        <f t="shared" si="30"/>
        <v>Upton</v>
      </c>
      <c r="C582" t="s">
        <v>2820</v>
      </c>
      <c r="D582" t="s">
        <v>2821</v>
      </c>
      <c r="E582" t="str">
        <f t="shared" si="31"/>
        <v>uofihilliej3@nhs.uk</v>
      </c>
      <c r="F582" t="s">
        <v>2822</v>
      </c>
      <c r="G582" t="s">
        <v>18</v>
      </c>
      <c r="H582" t="str">
        <f t="shared" si="32"/>
        <v>Male</v>
      </c>
      <c r="I582" t="str">
        <f>"+880"&amp;RIGHT(SUBSTITUTE(SUBSTITUTE($J582," ",""),"-",""),10)</f>
        <v>+8807551925709</v>
      </c>
      <c r="J582" t="s">
        <v>2823</v>
      </c>
      <c r="K582" t="s">
        <v>13</v>
      </c>
      <c r="L582" t="str">
        <f>_xlfn.XLOOKUP($K$3,K:K,K:K,$K$2)</f>
        <v>Bangladesh</v>
      </c>
      <c r="M582" t="s">
        <v>252</v>
      </c>
      <c r="N582" t="e" vm="36">
        <f>_xlfn.XLOOKUP($M582,$O:$O,$P:$P,"")</f>
        <v>#VALUE!</v>
      </c>
    </row>
    <row r="583" spans="1:14" x14ac:dyDescent="0.25">
      <c r="A583">
        <v>689</v>
      </c>
      <c r="B583" t="str">
        <f t="shared" si="30"/>
        <v>Tommy</v>
      </c>
      <c r="C583" t="s">
        <v>2824</v>
      </c>
      <c r="D583" t="s">
        <v>2825</v>
      </c>
      <c r="E583" t="str">
        <f t="shared" si="31"/>
        <v>tskeathj4@trellian.com</v>
      </c>
      <c r="F583" t="s">
        <v>2826</v>
      </c>
      <c r="G583" t="s">
        <v>11</v>
      </c>
      <c r="H583" t="str">
        <f t="shared" si="32"/>
        <v>Female</v>
      </c>
      <c r="I583" t="str">
        <f>"+880"&amp;RIGHT(SUBSTITUTE(SUBSTITUTE($J583," ",""),"-",""),10)</f>
        <v>+8809423791147</v>
      </c>
      <c r="J583" t="s">
        <v>2827</v>
      </c>
      <c r="K583" t="s">
        <v>13</v>
      </c>
      <c r="L583" t="str">
        <f>_xlfn.XLOOKUP($K$3,K:K,K:K,$K$2)</f>
        <v>Bangladesh</v>
      </c>
      <c r="M583" t="s">
        <v>365</v>
      </c>
      <c r="N583" t="e" vm="47">
        <f>_xlfn.XLOOKUP($M583,$O:$O,$P:$P,"")</f>
        <v>#VALUE!</v>
      </c>
    </row>
    <row r="584" spans="1:14" x14ac:dyDescent="0.25">
      <c r="A584">
        <v>690</v>
      </c>
      <c r="B584" t="str">
        <f t="shared" si="30"/>
        <v>Kinny</v>
      </c>
      <c r="C584" t="s">
        <v>2828</v>
      </c>
      <c r="D584" t="s">
        <v>2829</v>
      </c>
      <c r="E584" t="str">
        <f t="shared" si="31"/>
        <v>kdellentyj5@technorati.com</v>
      </c>
      <c r="F584" t="s">
        <v>2830</v>
      </c>
      <c r="G584" t="s">
        <v>18</v>
      </c>
      <c r="H584" t="str">
        <f t="shared" si="32"/>
        <v>Male</v>
      </c>
      <c r="I584" t="str">
        <f>"+880"&amp;RIGHT(SUBSTITUTE(SUBSTITUTE($J584," ",""),"-",""),10)</f>
        <v>+8802725583205</v>
      </c>
      <c r="J584" t="s">
        <v>2831</v>
      </c>
      <c r="K584" t="s">
        <v>13</v>
      </c>
      <c r="L584" t="str">
        <f>_xlfn.XLOOKUP($K$3,K:K,K:K,$K$2)</f>
        <v>Bangladesh</v>
      </c>
      <c r="M584" t="s">
        <v>51</v>
      </c>
      <c r="N584" t="str">
        <f>_xlfn.XLOOKUP($M584,$O:$O,$P:$P,"")</f>
        <v>Mathba</v>
      </c>
    </row>
    <row r="585" spans="1:14" x14ac:dyDescent="0.25">
      <c r="A585">
        <v>692</v>
      </c>
      <c r="B585" t="str">
        <f t="shared" si="30"/>
        <v>Isacco</v>
      </c>
      <c r="C585" t="s">
        <v>2835</v>
      </c>
      <c r="D585" t="s">
        <v>2836</v>
      </c>
      <c r="E585" t="str">
        <f t="shared" si="31"/>
        <v>iculhamj7@quantcast.com</v>
      </c>
      <c r="F585" t="s">
        <v>2837</v>
      </c>
      <c r="G585" t="s">
        <v>18</v>
      </c>
      <c r="H585" t="str">
        <f t="shared" si="32"/>
        <v>Male</v>
      </c>
      <c r="I585" t="str">
        <f>"+880"&amp;RIGHT(SUBSTITUTE(SUBSTITUTE($J585," ",""),"-",""),10)</f>
        <v>+8805165594301</v>
      </c>
      <c r="J585" t="s">
        <v>2838</v>
      </c>
      <c r="K585" t="s">
        <v>13</v>
      </c>
      <c r="L585" t="str">
        <f>_xlfn.XLOOKUP($K$3,K:K,K:K,$K$2)</f>
        <v>Bangladesh</v>
      </c>
      <c r="M585" t="s">
        <v>916</v>
      </c>
      <c r="N585" t="e" vm="79">
        <f>_xlfn.XLOOKUP($M585,$O:$O,$P:$P,"")</f>
        <v>#VALUE!</v>
      </c>
    </row>
    <row r="586" spans="1:14" x14ac:dyDescent="0.25">
      <c r="A586">
        <v>694</v>
      </c>
      <c r="B586" t="str">
        <f t="shared" si="30"/>
        <v>Holmes</v>
      </c>
      <c r="C586" t="s">
        <v>2843</v>
      </c>
      <c r="D586" t="s">
        <v>2844</v>
      </c>
      <c r="E586" t="str">
        <f t="shared" si="31"/>
        <v>hidlej9@disqus.com</v>
      </c>
      <c r="F586" t="s">
        <v>2845</v>
      </c>
      <c r="G586" t="s">
        <v>18</v>
      </c>
      <c r="H586" t="str">
        <f t="shared" si="32"/>
        <v>Male</v>
      </c>
      <c r="I586" t="str">
        <f>"+880"&amp;RIGHT(SUBSTITUTE(SUBSTITUTE($J586," ",""),"-",""),10)</f>
        <v>+8805821301587</v>
      </c>
      <c r="J586" t="s">
        <v>2846</v>
      </c>
      <c r="K586" t="s">
        <v>13</v>
      </c>
      <c r="L586" t="str">
        <f>_xlfn.XLOOKUP($K$3,K:K,K:K,$K$2)</f>
        <v>Bangladesh</v>
      </c>
      <c r="M586" t="s">
        <v>308</v>
      </c>
      <c r="N586" t="e" vm="42">
        <f>_xlfn.XLOOKUP($M586,$O:$O,$P:$P,"")</f>
        <v>#VALUE!</v>
      </c>
    </row>
    <row r="587" spans="1:14" x14ac:dyDescent="0.25">
      <c r="A587">
        <v>695</v>
      </c>
      <c r="B587" t="str">
        <f t="shared" si="30"/>
        <v>Eal</v>
      </c>
      <c r="C587" t="s">
        <v>2847</v>
      </c>
      <c r="D587" t="s">
        <v>2848</v>
      </c>
      <c r="E587" t="str">
        <f t="shared" si="31"/>
        <v>edeambrosisja@nasa.gov</v>
      </c>
      <c r="F587" t="s">
        <v>2849</v>
      </c>
      <c r="G587" t="s">
        <v>18</v>
      </c>
      <c r="H587" t="str">
        <f t="shared" si="32"/>
        <v>Male</v>
      </c>
      <c r="I587" t="str">
        <f>"+880"&amp;RIGHT(SUBSTITUTE(SUBSTITUTE($J587," ",""),"-",""),10)</f>
        <v>+8807683346655</v>
      </c>
      <c r="J587" t="s">
        <v>2850</v>
      </c>
      <c r="K587" t="s">
        <v>13</v>
      </c>
      <c r="L587" t="str">
        <f>_xlfn.XLOOKUP($K$3,K:K,K:K,$K$2)</f>
        <v>Bangladesh</v>
      </c>
      <c r="M587" t="s">
        <v>308</v>
      </c>
      <c r="N587" t="e" vm="42">
        <f>_xlfn.XLOOKUP($M587,$O:$O,$P:$P,"")</f>
        <v>#VALUE!</v>
      </c>
    </row>
    <row r="588" spans="1:14" x14ac:dyDescent="0.25">
      <c r="A588">
        <v>696</v>
      </c>
      <c r="B588" t="str">
        <f t="shared" si="30"/>
        <v>Magdalena</v>
      </c>
      <c r="C588" t="s">
        <v>2851</v>
      </c>
      <c r="D588" t="s">
        <v>2852</v>
      </c>
      <c r="E588" t="str">
        <f t="shared" si="31"/>
        <v>mkauffmanjb@google.com</v>
      </c>
      <c r="F588" t="s">
        <v>2853</v>
      </c>
      <c r="G588" t="s">
        <v>11</v>
      </c>
      <c r="H588" t="str">
        <f t="shared" si="32"/>
        <v>Female</v>
      </c>
      <c r="I588" t="str">
        <f>"+880"&amp;RIGHT(SUBSTITUTE(SUBSTITUTE($J588," ",""),"-",""),10)</f>
        <v>+8807769148207</v>
      </c>
      <c r="J588" t="s">
        <v>2854</v>
      </c>
      <c r="K588" t="s">
        <v>13</v>
      </c>
      <c r="L588" t="str">
        <f>_xlfn.XLOOKUP($K$3,K:K,K:K,$K$2)</f>
        <v>Bangladesh</v>
      </c>
      <c r="M588" t="s">
        <v>700</v>
      </c>
      <c r="N588" t="e" vm="70">
        <f>_xlfn.XLOOKUP($M588,$O:$O,$P:$P,"")</f>
        <v>#VALUE!</v>
      </c>
    </row>
    <row r="589" spans="1:14" x14ac:dyDescent="0.25">
      <c r="A589">
        <v>698</v>
      </c>
      <c r="B589" t="str">
        <f t="shared" si="30"/>
        <v>Thayne</v>
      </c>
      <c r="C589" t="s">
        <v>2859</v>
      </c>
      <c r="D589" t="s">
        <v>2860</v>
      </c>
      <c r="E589" t="str">
        <f t="shared" si="31"/>
        <v>tmallingjd@springer.com</v>
      </c>
      <c r="F589" t="s">
        <v>2861</v>
      </c>
      <c r="G589" t="s">
        <v>18</v>
      </c>
      <c r="H589" t="str">
        <f t="shared" si="32"/>
        <v>Male</v>
      </c>
      <c r="I589" t="str">
        <f>"+880"&amp;RIGHT(SUBSTITUTE(SUBSTITUTE($J589," ",""),"-",""),10)</f>
        <v>+8802376615637</v>
      </c>
      <c r="J589" t="s">
        <v>2862</v>
      </c>
      <c r="K589" t="s">
        <v>13</v>
      </c>
      <c r="L589" t="str">
        <f>_xlfn.XLOOKUP($K$3,K:K,K:K,$K$2)</f>
        <v>Bangladesh</v>
      </c>
      <c r="M589" t="s">
        <v>101</v>
      </c>
      <c r="N589" t="e" vm="15">
        <f>_xlfn.XLOOKUP($M589,$O:$O,$P:$P,"")</f>
        <v>#VALUE!</v>
      </c>
    </row>
    <row r="590" spans="1:14" x14ac:dyDescent="0.25">
      <c r="A590">
        <v>699</v>
      </c>
      <c r="B590" t="str">
        <f t="shared" si="30"/>
        <v>Drusy</v>
      </c>
      <c r="C590" t="s">
        <v>2863</v>
      </c>
      <c r="D590" t="s">
        <v>2864</v>
      </c>
      <c r="E590" t="str">
        <f t="shared" si="31"/>
        <v>dbeardowje@1688.com</v>
      </c>
      <c r="F590" t="s">
        <v>2865</v>
      </c>
      <c r="G590" t="s">
        <v>11</v>
      </c>
      <c r="H590" t="str">
        <f t="shared" si="32"/>
        <v>Female</v>
      </c>
      <c r="I590" t="str">
        <f>"+880"&amp;RIGHT(SUBSTITUTE(SUBSTITUTE($J590," ",""),"-",""),10)</f>
        <v>+8805397329363</v>
      </c>
      <c r="J590" t="s">
        <v>2866</v>
      </c>
      <c r="K590" t="s">
        <v>13</v>
      </c>
      <c r="L590" t="str">
        <f>_xlfn.XLOOKUP($K$3,K:K,K:K,$K$2)</f>
        <v>Bangladesh</v>
      </c>
      <c r="M590" t="s">
        <v>597</v>
      </c>
      <c r="N590" t="e" vm="59">
        <f>_xlfn.XLOOKUP($M590,$O:$O,$P:$P,"")</f>
        <v>#VALUE!</v>
      </c>
    </row>
    <row r="591" spans="1:14" x14ac:dyDescent="0.25">
      <c r="A591">
        <v>701</v>
      </c>
      <c r="B591" t="str">
        <f t="shared" si="30"/>
        <v>Stephie</v>
      </c>
      <c r="C591" t="s">
        <v>2871</v>
      </c>
      <c r="D591" t="s">
        <v>2872</v>
      </c>
      <c r="E591" t="str">
        <f t="shared" si="31"/>
        <v>sabelsjg@ed.gov</v>
      </c>
      <c r="F591" t="s">
        <v>2873</v>
      </c>
      <c r="G591" t="s">
        <v>280</v>
      </c>
      <c r="H591" t="str">
        <f t="shared" si="32"/>
        <v>Other</v>
      </c>
      <c r="I591" t="str">
        <f>"+880"&amp;RIGHT(SUBSTITUTE(SUBSTITUTE($J591," ",""),"-",""),10)</f>
        <v>+8803263779344</v>
      </c>
      <c r="J591" t="s">
        <v>2874</v>
      </c>
      <c r="K591" t="s">
        <v>13</v>
      </c>
      <c r="L591" t="str">
        <f>_xlfn.XLOOKUP($K$3,K:K,K:K,$K$2)</f>
        <v>Bangladesh</v>
      </c>
      <c r="M591" t="s">
        <v>839</v>
      </c>
      <c r="N591" t="e" vm="76">
        <f>_xlfn.XLOOKUP($M591,$O:$O,$P:$P,"")</f>
        <v>#VALUE!</v>
      </c>
    </row>
    <row r="592" spans="1:14" x14ac:dyDescent="0.25">
      <c r="A592">
        <v>702</v>
      </c>
      <c r="B592" t="str">
        <f t="shared" si="30"/>
        <v>Zola</v>
      </c>
      <c r="C592" t="s">
        <v>2875</v>
      </c>
      <c r="D592" t="s">
        <v>2876</v>
      </c>
      <c r="E592" t="str">
        <f t="shared" si="31"/>
        <v>zberneyjh@bandcamp.com</v>
      </c>
      <c r="F592" t="s">
        <v>2877</v>
      </c>
      <c r="G592" t="s">
        <v>11</v>
      </c>
      <c r="H592" t="str">
        <f t="shared" si="32"/>
        <v>Female</v>
      </c>
      <c r="I592" t="str">
        <f>"+880"&amp;RIGHT(SUBSTITUTE(SUBSTITUTE($J592," ",""),"-",""),10)</f>
        <v>+8806567191123</v>
      </c>
      <c r="J592" t="s">
        <v>2878</v>
      </c>
      <c r="K592" t="s">
        <v>13</v>
      </c>
      <c r="L592" t="str">
        <f>_xlfn.XLOOKUP($K$3,K:K,K:K,$K$2)</f>
        <v>Bangladesh</v>
      </c>
      <c r="M592" t="s">
        <v>641</v>
      </c>
      <c r="N592" t="e" vm="63">
        <f>_xlfn.XLOOKUP($M592,$O:$O,$P:$P,"")</f>
        <v>#VALUE!</v>
      </c>
    </row>
    <row r="593" spans="1:14" x14ac:dyDescent="0.25">
      <c r="A593">
        <v>703</v>
      </c>
      <c r="B593" t="str">
        <f t="shared" si="30"/>
        <v>Lora</v>
      </c>
      <c r="C593" t="s">
        <v>2879</v>
      </c>
      <c r="D593" t="s">
        <v>2204</v>
      </c>
      <c r="E593" t="str">
        <f t="shared" si="31"/>
        <v>lcayetteji@feedburner.com</v>
      </c>
      <c r="F593" t="s">
        <v>2880</v>
      </c>
      <c r="G593" t="s">
        <v>769</v>
      </c>
      <c r="H593" t="str">
        <f t="shared" si="32"/>
        <v>Other</v>
      </c>
      <c r="I593" t="str">
        <f>"+880"&amp;RIGHT(SUBSTITUTE(SUBSTITUTE($J593," ",""),"-",""),10)</f>
        <v>+8807064094690</v>
      </c>
      <c r="J593" t="s">
        <v>2881</v>
      </c>
      <c r="K593" t="s">
        <v>13</v>
      </c>
      <c r="L593" t="str">
        <f>_xlfn.XLOOKUP($K$3,K:K,K:K,$K$2)</f>
        <v>Bangladesh</v>
      </c>
      <c r="M593" t="s">
        <v>125</v>
      </c>
      <c r="N593" t="e" vm="18">
        <f>_xlfn.XLOOKUP($M593,$O:$O,$P:$P,"")</f>
        <v>#VALUE!</v>
      </c>
    </row>
    <row r="594" spans="1:14" x14ac:dyDescent="0.25">
      <c r="A594">
        <v>704</v>
      </c>
      <c r="B594" t="str">
        <f t="shared" si="30"/>
        <v>Berke</v>
      </c>
      <c r="C594" t="s">
        <v>2882</v>
      </c>
      <c r="D594" t="s">
        <v>2883</v>
      </c>
      <c r="E594" t="str">
        <f t="shared" si="31"/>
        <v>bedelerjj@timesonline.co.uk</v>
      </c>
      <c r="F594" t="s">
        <v>2884</v>
      </c>
      <c r="G594" t="s">
        <v>18</v>
      </c>
      <c r="H594" t="str">
        <f t="shared" si="32"/>
        <v>Male</v>
      </c>
      <c r="I594" t="str">
        <f>"+880"&amp;RIGHT(SUBSTITUTE(SUBSTITUTE($J594," ",""),"-",""),10)</f>
        <v>+8806346153556</v>
      </c>
      <c r="J594" t="s">
        <v>2885</v>
      </c>
      <c r="K594" t="s">
        <v>13</v>
      </c>
      <c r="L594" t="str">
        <f>_xlfn.XLOOKUP($K$3,K:K,K:K,$K$2)</f>
        <v>Bangladesh</v>
      </c>
      <c r="M594" t="s">
        <v>567</v>
      </c>
      <c r="N594" t="e" vm="55">
        <f>_xlfn.XLOOKUP($M594,$O:$O,$P:$P,"")</f>
        <v>#VALUE!</v>
      </c>
    </row>
    <row r="595" spans="1:14" x14ac:dyDescent="0.25">
      <c r="A595">
        <v>705</v>
      </c>
      <c r="B595" t="str">
        <f t="shared" si="30"/>
        <v>Devin</v>
      </c>
      <c r="C595" t="s">
        <v>2886</v>
      </c>
      <c r="D595" t="s">
        <v>2887</v>
      </c>
      <c r="E595" t="str">
        <f t="shared" si="31"/>
        <v>druddiforthjk@walmart.com</v>
      </c>
      <c r="F595" t="s">
        <v>2888</v>
      </c>
      <c r="G595" t="s">
        <v>18</v>
      </c>
      <c r="H595" t="str">
        <f t="shared" si="32"/>
        <v>Male</v>
      </c>
      <c r="I595" t="str">
        <f>"+880"&amp;RIGHT(SUBSTITUTE(SUBSTITUTE($J595," ",""),"-",""),10)</f>
        <v>+8801136848856</v>
      </c>
      <c r="J595" t="s">
        <v>2889</v>
      </c>
      <c r="K595" t="s">
        <v>13</v>
      </c>
      <c r="L595" t="str">
        <f>_xlfn.XLOOKUP($K$3,K:K,K:K,$K$2)</f>
        <v>Bangladesh</v>
      </c>
      <c r="M595" t="s">
        <v>205</v>
      </c>
      <c r="N595" t="e" vm="30">
        <f>_xlfn.XLOOKUP($M595,$O:$O,$P:$P,"")</f>
        <v>#VALUE!</v>
      </c>
    </row>
    <row r="596" spans="1:14" x14ac:dyDescent="0.25">
      <c r="A596">
        <v>706</v>
      </c>
      <c r="B596" t="str">
        <f t="shared" ref="B596:B647" si="33">PROPER(TRIM($C596))</f>
        <v>Dalila</v>
      </c>
      <c r="C596" t="s">
        <v>2890</v>
      </c>
      <c r="D596" t="s">
        <v>2891</v>
      </c>
      <c r="E596" t="str">
        <f t="shared" ref="E596:E647" si="34">LOWER(TRIM($F596))</f>
        <v>dcanonjl@biglobe.ne.jp</v>
      </c>
      <c r="F596" t="s">
        <v>2892</v>
      </c>
      <c r="G596" t="s">
        <v>29</v>
      </c>
      <c r="H596" t="str">
        <f t="shared" ref="H596:H647" si="35">IF(OR($G596="M",LOWER($G596)="male"),"Male",
IF(OR($G596="F",LOWER($G596)="female"),"Female","Other"))</f>
        <v>Other</v>
      </c>
      <c r="I596" t="str">
        <f>"+880"&amp;RIGHT(SUBSTITUTE(SUBSTITUTE($J596," ",""),"-",""),10)</f>
        <v>+8808993593157</v>
      </c>
      <c r="J596" t="s">
        <v>2893</v>
      </c>
      <c r="K596" t="s">
        <v>13</v>
      </c>
      <c r="L596" t="str">
        <f>_xlfn.XLOOKUP($K$3,K:K,K:K,$K$2)</f>
        <v>Bangladesh</v>
      </c>
      <c r="M596" t="s">
        <v>379</v>
      </c>
      <c r="N596" t="e" vm="49">
        <f>_xlfn.XLOOKUP($M596,$O:$O,$P:$P,"")</f>
        <v>#VALUE!</v>
      </c>
    </row>
    <row r="597" spans="1:14" x14ac:dyDescent="0.25">
      <c r="A597">
        <v>707</v>
      </c>
      <c r="B597" t="str">
        <f t="shared" si="33"/>
        <v>Noby</v>
      </c>
      <c r="C597" t="s">
        <v>2894</v>
      </c>
      <c r="D597" t="s">
        <v>2895</v>
      </c>
      <c r="E597" t="str">
        <f t="shared" si="34"/>
        <v>nglasscottjm@irs.gov</v>
      </c>
      <c r="F597" t="s">
        <v>2896</v>
      </c>
      <c r="G597" t="s">
        <v>18</v>
      </c>
      <c r="H597" t="str">
        <f t="shared" si="35"/>
        <v>Male</v>
      </c>
      <c r="I597" t="str">
        <f>"+880"&amp;RIGHT(SUBSTITUTE(SUBSTITUTE($J597," ",""),"-",""),10)</f>
        <v>+8805021683081</v>
      </c>
      <c r="J597" t="s">
        <v>2897</v>
      </c>
      <c r="K597" t="s">
        <v>13</v>
      </c>
      <c r="L597" t="str">
        <f>_xlfn.XLOOKUP($K$3,K:K,K:K,$K$2)</f>
        <v>Bangladesh</v>
      </c>
      <c r="M597" t="s">
        <v>276</v>
      </c>
      <c r="N597" t="e" vm="39">
        <f>_xlfn.XLOOKUP($M597,$O:$O,$P:$P,"")</f>
        <v>#VALUE!</v>
      </c>
    </row>
    <row r="598" spans="1:14" x14ac:dyDescent="0.25">
      <c r="A598">
        <v>708</v>
      </c>
      <c r="B598" t="str">
        <f t="shared" si="33"/>
        <v>Dewie</v>
      </c>
      <c r="C598" t="s">
        <v>1090</v>
      </c>
      <c r="D598" t="s">
        <v>2898</v>
      </c>
      <c r="E598" t="str">
        <f t="shared" si="34"/>
        <v>ddeldellojn@privacy.gov.au</v>
      </c>
      <c r="F598" t="s">
        <v>2899</v>
      </c>
      <c r="G598" t="s">
        <v>18</v>
      </c>
      <c r="H598" t="str">
        <f t="shared" si="35"/>
        <v>Male</v>
      </c>
      <c r="I598" t="str">
        <f>"+880"&amp;RIGHT(SUBSTITUTE(SUBSTITUTE($J598," ",""),"-",""),10)</f>
        <v>+8808136362574</v>
      </c>
      <c r="J598" t="s">
        <v>2900</v>
      </c>
      <c r="K598" t="s">
        <v>13</v>
      </c>
      <c r="L598" t="str">
        <f>_xlfn.XLOOKUP($K$3,K:K,K:K,$K$2)</f>
        <v>Bangladesh</v>
      </c>
      <c r="M598" t="s">
        <v>1106</v>
      </c>
      <c r="N598" t="e" vm="83">
        <f>_xlfn.XLOOKUP($M598,$O:$O,$P:$P,"")</f>
        <v>#VALUE!</v>
      </c>
    </row>
    <row r="599" spans="1:14" x14ac:dyDescent="0.25">
      <c r="A599">
        <v>709</v>
      </c>
      <c r="B599" t="str">
        <f t="shared" si="33"/>
        <v>Sofia</v>
      </c>
      <c r="C599" t="s">
        <v>2901</v>
      </c>
      <c r="D599" t="s">
        <v>2902</v>
      </c>
      <c r="E599" t="str">
        <f t="shared" si="34"/>
        <v>sstrobanjo@opensource.org</v>
      </c>
      <c r="F599" t="s">
        <v>2903</v>
      </c>
      <c r="G599" t="s">
        <v>11</v>
      </c>
      <c r="H599" t="str">
        <f t="shared" si="35"/>
        <v>Female</v>
      </c>
      <c r="I599" t="str">
        <f>"+880"&amp;RIGHT(SUBSTITUTE(SUBSTITUTE($J599," ",""),"-",""),10)</f>
        <v>+8807277191983</v>
      </c>
      <c r="J599" t="s">
        <v>2904</v>
      </c>
      <c r="K599" t="s">
        <v>13</v>
      </c>
      <c r="L599" t="str">
        <f>_xlfn.XLOOKUP($K$3,K:K,K:K,$K$2)</f>
        <v>Bangladesh</v>
      </c>
      <c r="M599" t="s">
        <v>71</v>
      </c>
      <c r="N599" t="e" vm="9">
        <f>_xlfn.XLOOKUP($M599,$O:$O,$P:$P,"")</f>
        <v>#VALUE!</v>
      </c>
    </row>
    <row r="600" spans="1:14" x14ac:dyDescent="0.25">
      <c r="A600">
        <v>710</v>
      </c>
      <c r="B600" t="str">
        <f t="shared" si="33"/>
        <v>Pennie</v>
      </c>
      <c r="C600" t="s">
        <v>2905</v>
      </c>
      <c r="D600" t="s">
        <v>2906</v>
      </c>
      <c r="E600" t="str">
        <f t="shared" si="34"/>
        <v>preemanjp@redcross.org</v>
      </c>
      <c r="F600" t="s">
        <v>2907</v>
      </c>
      <c r="G600" t="s">
        <v>18</v>
      </c>
      <c r="H600" t="str">
        <f t="shared" si="35"/>
        <v>Male</v>
      </c>
      <c r="I600" t="str">
        <f>"+880"&amp;RIGHT(SUBSTITUTE(SUBSTITUTE($J600," ",""),"-",""),10)</f>
        <v>+8804369916796</v>
      </c>
      <c r="J600" t="s">
        <v>2908</v>
      </c>
      <c r="K600" t="s">
        <v>13</v>
      </c>
      <c r="L600" t="str">
        <f>_xlfn.XLOOKUP($K$3,K:K,K:K,$K$2)</f>
        <v>Bangladesh</v>
      </c>
      <c r="M600" t="s">
        <v>350</v>
      </c>
      <c r="N600" t="str">
        <f>_xlfn.XLOOKUP($M600,$O:$O,$P:$P,"")</f>
        <v>Pir Naogaon</v>
      </c>
    </row>
    <row r="601" spans="1:14" x14ac:dyDescent="0.25">
      <c r="A601">
        <v>712</v>
      </c>
      <c r="B601" t="str">
        <f t="shared" si="33"/>
        <v>Avery</v>
      </c>
      <c r="C601" t="s">
        <v>2913</v>
      </c>
      <c r="D601" t="s">
        <v>2914</v>
      </c>
      <c r="E601" t="str">
        <f t="shared" si="34"/>
        <v>awoodyearejr@rakuten.co.jp</v>
      </c>
      <c r="F601" t="s">
        <v>2915</v>
      </c>
      <c r="G601" t="s">
        <v>18</v>
      </c>
      <c r="H601" t="str">
        <f t="shared" si="35"/>
        <v>Male</v>
      </c>
      <c r="I601" t="str">
        <f>"+880"&amp;RIGHT(SUBSTITUTE(SUBSTITUTE($J601," ",""),"-",""),10)</f>
        <v>+8806609572468</v>
      </c>
      <c r="J601" t="s">
        <v>2916</v>
      </c>
      <c r="K601" t="s">
        <v>13</v>
      </c>
      <c r="L601" t="str">
        <f>_xlfn.XLOOKUP($K$3,K:K,K:K,$K$2)</f>
        <v>Bangladesh</v>
      </c>
      <c r="M601" t="s">
        <v>839</v>
      </c>
      <c r="N601" t="e" vm="76">
        <f>_xlfn.XLOOKUP($M601,$O:$O,$P:$P,"")</f>
        <v>#VALUE!</v>
      </c>
    </row>
    <row r="602" spans="1:14" x14ac:dyDescent="0.25">
      <c r="A602">
        <v>713</v>
      </c>
      <c r="B602" t="str">
        <f t="shared" si="33"/>
        <v>Nanete</v>
      </c>
      <c r="C602" t="s">
        <v>2917</v>
      </c>
      <c r="D602" t="s">
        <v>2918</v>
      </c>
      <c r="E602" t="str">
        <f t="shared" si="34"/>
        <v>ncasebornejs@bloomberg.com</v>
      </c>
      <c r="F602" t="s">
        <v>2919</v>
      </c>
      <c r="G602" t="s">
        <v>11</v>
      </c>
      <c r="H602" t="str">
        <f t="shared" si="35"/>
        <v>Female</v>
      </c>
      <c r="I602" t="str">
        <f>"+880"&amp;RIGHT(SUBSTITUTE(SUBSTITUTE($J602," ",""),"-",""),10)</f>
        <v>+8808875371551</v>
      </c>
      <c r="J602" t="s">
        <v>2920</v>
      </c>
      <c r="K602" t="s">
        <v>13</v>
      </c>
      <c r="L602" t="str">
        <f>_xlfn.XLOOKUP($K$3,K:K,K:K,$K$2)</f>
        <v>Bangladesh</v>
      </c>
      <c r="M602" t="s">
        <v>641</v>
      </c>
      <c r="N602" t="e" vm="63">
        <f>_xlfn.XLOOKUP($M602,$O:$O,$P:$P,"")</f>
        <v>#VALUE!</v>
      </c>
    </row>
    <row r="603" spans="1:14" x14ac:dyDescent="0.25">
      <c r="A603">
        <v>714</v>
      </c>
      <c r="B603" t="str">
        <f t="shared" si="33"/>
        <v>Evered</v>
      </c>
      <c r="C603" t="s">
        <v>2921</v>
      </c>
      <c r="D603" t="s">
        <v>2922</v>
      </c>
      <c r="E603" t="str">
        <f t="shared" si="34"/>
        <v>ereiglarjt@amazon.co.jp</v>
      </c>
      <c r="F603" t="s">
        <v>2923</v>
      </c>
      <c r="G603" t="s">
        <v>18</v>
      </c>
      <c r="H603" t="str">
        <f t="shared" si="35"/>
        <v>Male</v>
      </c>
      <c r="I603" t="str">
        <f>"+880"&amp;RIGHT(SUBSTITUTE(SUBSTITUTE($J603," ",""),"-",""),10)</f>
        <v>+8804059823026</v>
      </c>
      <c r="J603" t="s">
        <v>2924</v>
      </c>
      <c r="K603" t="s">
        <v>13</v>
      </c>
      <c r="L603" t="str">
        <f>_xlfn.XLOOKUP($K$3,K:K,K:K,$K$2)</f>
        <v>Bangladesh</v>
      </c>
      <c r="M603" t="s">
        <v>173</v>
      </c>
      <c r="N603" t="e" vm="26">
        <f>_xlfn.XLOOKUP($M603,$O:$O,$P:$P,"")</f>
        <v>#VALUE!</v>
      </c>
    </row>
    <row r="604" spans="1:14" x14ac:dyDescent="0.25">
      <c r="A604">
        <v>715</v>
      </c>
      <c r="B604" t="str">
        <f t="shared" si="33"/>
        <v>Tamera</v>
      </c>
      <c r="C604" t="s">
        <v>2925</v>
      </c>
      <c r="D604" t="s">
        <v>2926</v>
      </c>
      <c r="E604" t="str">
        <f t="shared" si="34"/>
        <v>tdemorenaju@amazon.com</v>
      </c>
      <c r="F604" t="s">
        <v>2927</v>
      </c>
      <c r="G604" t="s">
        <v>11</v>
      </c>
      <c r="H604" t="str">
        <f t="shared" si="35"/>
        <v>Female</v>
      </c>
      <c r="I604" t="str">
        <f>"+880"&amp;RIGHT(SUBSTITUTE(SUBSTITUTE($J604," ",""),"-",""),10)</f>
        <v>+8804478671848</v>
      </c>
      <c r="J604" t="s">
        <v>2928</v>
      </c>
      <c r="K604" t="s">
        <v>13</v>
      </c>
      <c r="L604" t="str">
        <f>_xlfn.XLOOKUP($K$3,K:K,K:K,$K$2)</f>
        <v>Bangladesh</v>
      </c>
      <c r="M604" t="s">
        <v>287</v>
      </c>
      <c r="N604" t="e" vm="41">
        <f>_xlfn.XLOOKUP($M604,$O:$O,$P:$P,"")</f>
        <v>#VALUE!</v>
      </c>
    </row>
    <row r="605" spans="1:14" x14ac:dyDescent="0.25">
      <c r="A605">
        <v>717</v>
      </c>
      <c r="B605" t="str">
        <f t="shared" si="33"/>
        <v>Clary</v>
      </c>
      <c r="C605" t="s">
        <v>2933</v>
      </c>
      <c r="D605" t="s">
        <v>2934</v>
      </c>
      <c r="E605" t="str">
        <f t="shared" si="34"/>
        <v>ctomlinsjw@diigo.com</v>
      </c>
      <c r="F605" t="s">
        <v>2935</v>
      </c>
      <c r="G605" t="s">
        <v>11</v>
      </c>
      <c r="H605" t="str">
        <f t="shared" si="35"/>
        <v>Female</v>
      </c>
      <c r="I605" t="str">
        <f>"+880"&amp;RIGHT(SUBSTITUTE(SUBSTITUTE($J605," ",""),"-",""),10)</f>
        <v>+8803184531061</v>
      </c>
      <c r="J605" t="s">
        <v>2936</v>
      </c>
      <c r="K605" t="s">
        <v>13</v>
      </c>
      <c r="L605" t="str">
        <f>_xlfn.XLOOKUP($K$3,K:K,K:K,$K$2)</f>
        <v>Bangladesh</v>
      </c>
      <c r="M605" t="s">
        <v>71</v>
      </c>
      <c r="N605" t="e" vm="9">
        <f>_xlfn.XLOOKUP($M605,$O:$O,$P:$P,"")</f>
        <v>#VALUE!</v>
      </c>
    </row>
    <row r="606" spans="1:14" x14ac:dyDescent="0.25">
      <c r="A606">
        <v>719</v>
      </c>
      <c r="B606" t="str">
        <f t="shared" si="33"/>
        <v>Tony</v>
      </c>
      <c r="C606" t="s">
        <v>2941</v>
      </c>
      <c r="D606" t="s">
        <v>2942</v>
      </c>
      <c r="E606" t="str">
        <f t="shared" si="34"/>
        <v>tbettyjy@nba.com</v>
      </c>
      <c r="F606" t="s">
        <v>2943</v>
      </c>
      <c r="G606" t="s">
        <v>18</v>
      </c>
      <c r="H606" t="str">
        <f t="shared" si="35"/>
        <v>Male</v>
      </c>
      <c r="I606" t="str">
        <f>"+880"&amp;RIGHT(SUBSTITUTE(SUBSTITUTE($J606," ",""),"-",""),10)</f>
        <v>+8804828410790</v>
      </c>
      <c r="J606" t="s">
        <v>2944</v>
      </c>
      <c r="K606" t="s">
        <v>13</v>
      </c>
      <c r="L606" t="str">
        <f>_xlfn.XLOOKUP($K$3,K:K,K:K,$K$2)</f>
        <v>Bangladesh</v>
      </c>
      <c r="M606" t="s">
        <v>115</v>
      </c>
      <c r="N606" t="e" vm="17">
        <f>_xlfn.XLOOKUP($M606,$O:$O,$P:$P,"")</f>
        <v>#VALUE!</v>
      </c>
    </row>
    <row r="607" spans="1:14" x14ac:dyDescent="0.25">
      <c r="A607">
        <v>721</v>
      </c>
      <c r="B607" t="str">
        <f t="shared" si="33"/>
        <v>Udale</v>
      </c>
      <c r="C607" t="s">
        <v>2949</v>
      </c>
      <c r="D607" t="s">
        <v>2950</v>
      </c>
      <c r="E607" t="str">
        <f t="shared" si="34"/>
        <v>ukippenk0@blogspot.com</v>
      </c>
      <c r="F607" t="s">
        <v>2951</v>
      </c>
      <c r="G607" t="s">
        <v>18</v>
      </c>
      <c r="H607" t="str">
        <f t="shared" si="35"/>
        <v>Male</v>
      </c>
      <c r="I607" t="str">
        <f>"+880"&amp;RIGHT(SUBSTITUTE(SUBSTITUTE($J607," ",""),"-",""),10)</f>
        <v>+8806664257943</v>
      </c>
      <c r="J607" t="s">
        <v>2952</v>
      </c>
      <c r="K607" t="s">
        <v>13</v>
      </c>
      <c r="L607" t="str">
        <f>_xlfn.XLOOKUP($K$3,K:K,K:K,$K$2)</f>
        <v>Bangladesh</v>
      </c>
      <c r="M607" t="s">
        <v>163</v>
      </c>
      <c r="N607" t="e" vm="24">
        <f>_xlfn.XLOOKUP($M607,$O:$O,$P:$P,"")</f>
        <v>#VALUE!</v>
      </c>
    </row>
    <row r="608" spans="1:14" x14ac:dyDescent="0.25">
      <c r="A608">
        <v>722</v>
      </c>
      <c r="B608" t="str">
        <f t="shared" si="33"/>
        <v>Lorrie</v>
      </c>
      <c r="C608" t="s">
        <v>2953</v>
      </c>
      <c r="D608" t="s">
        <v>2954</v>
      </c>
      <c r="E608" t="str">
        <f t="shared" si="34"/>
        <v>lcometsonk1@homestead.com</v>
      </c>
      <c r="F608" t="s">
        <v>2955</v>
      </c>
      <c r="G608" t="s">
        <v>18</v>
      </c>
      <c r="H608" t="str">
        <f t="shared" si="35"/>
        <v>Male</v>
      </c>
      <c r="I608" t="str">
        <f>"+880"&amp;RIGHT(SUBSTITUTE(SUBSTITUTE($J608," ",""),"-",""),10)</f>
        <v>+8809571184641</v>
      </c>
      <c r="J608" t="s">
        <v>2956</v>
      </c>
      <c r="K608" t="s">
        <v>13</v>
      </c>
      <c r="L608" t="str">
        <f>_xlfn.XLOOKUP($K$3,K:K,K:K,$K$2)</f>
        <v>Bangladesh</v>
      </c>
      <c r="M608" t="s">
        <v>628</v>
      </c>
      <c r="N608" t="e" vm="62">
        <f>_xlfn.XLOOKUP($M608,$O:$O,$P:$P,"")</f>
        <v>#VALUE!</v>
      </c>
    </row>
    <row r="609" spans="1:14" x14ac:dyDescent="0.25">
      <c r="A609">
        <v>723</v>
      </c>
      <c r="B609" t="str">
        <f t="shared" si="33"/>
        <v>Keen</v>
      </c>
      <c r="C609" t="s">
        <v>2957</v>
      </c>
      <c r="D609" t="s">
        <v>2958</v>
      </c>
      <c r="E609" t="str">
        <f t="shared" si="34"/>
        <v>kdcostak2@answers.com</v>
      </c>
      <c r="F609" t="s">
        <v>2959</v>
      </c>
      <c r="G609" t="s">
        <v>18</v>
      </c>
      <c r="H609" t="str">
        <f t="shared" si="35"/>
        <v>Male</v>
      </c>
      <c r="I609" t="str">
        <f>"+880"&amp;RIGHT(SUBSTITUTE(SUBSTITUTE($J609," ",""),"-",""),10)</f>
        <v>+8803224826377</v>
      </c>
      <c r="J609" t="s">
        <v>2960</v>
      </c>
      <c r="K609" t="s">
        <v>13</v>
      </c>
      <c r="L609" t="str">
        <f>_xlfn.XLOOKUP($K$3,K:K,K:K,$K$2)</f>
        <v>Bangladesh</v>
      </c>
      <c r="M609" t="s">
        <v>61</v>
      </c>
      <c r="N609" t="e" vm="7">
        <f>_xlfn.XLOOKUP($M609,$O:$O,$P:$P,"")</f>
        <v>#VALUE!</v>
      </c>
    </row>
    <row r="610" spans="1:14" x14ac:dyDescent="0.25">
      <c r="A610">
        <v>724</v>
      </c>
      <c r="B610" t="str">
        <f t="shared" si="33"/>
        <v>Shoshanna</v>
      </c>
      <c r="C610" t="s">
        <v>2961</v>
      </c>
      <c r="D610" t="s">
        <v>2962</v>
      </c>
      <c r="E610" t="str">
        <f t="shared" si="34"/>
        <v>srignallk3@barnesandnoble.com</v>
      </c>
      <c r="F610" t="s">
        <v>2963</v>
      </c>
      <c r="G610" t="s">
        <v>11</v>
      </c>
      <c r="H610" t="str">
        <f t="shared" si="35"/>
        <v>Female</v>
      </c>
      <c r="I610" t="str">
        <f>"+880"&amp;RIGHT(SUBSTITUTE(SUBSTITUTE($J610," ",""),"-",""),10)</f>
        <v>+8806066331874</v>
      </c>
      <c r="J610" t="s">
        <v>2964</v>
      </c>
      <c r="K610" t="s">
        <v>13</v>
      </c>
      <c r="L610" t="str">
        <f>_xlfn.XLOOKUP($K$3,K:K,K:K,$K$2)</f>
        <v>Bangladesh</v>
      </c>
      <c r="M610" t="s">
        <v>243</v>
      </c>
      <c r="N610" t="e" vm="35">
        <f>_xlfn.XLOOKUP($M610,$O:$O,$P:$P,"")</f>
        <v>#VALUE!</v>
      </c>
    </row>
    <row r="611" spans="1:14" x14ac:dyDescent="0.25">
      <c r="A611">
        <v>725</v>
      </c>
      <c r="B611" t="str">
        <f t="shared" si="33"/>
        <v>Danika</v>
      </c>
      <c r="C611" t="s">
        <v>2965</v>
      </c>
      <c r="D611" t="s">
        <v>2966</v>
      </c>
      <c r="E611" t="str">
        <f t="shared" si="34"/>
        <v>dcrosserk4@mapquest.com</v>
      </c>
      <c r="F611" t="s">
        <v>2967</v>
      </c>
      <c r="G611" t="s">
        <v>11</v>
      </c>
      <c r="H611" t="str">
        <f t="shared" si="35"/>
        <v>Female</v>
      </c>
      <c r="I611" t="str">
        <f>"+880"&amp;RIGHT(SUBSTITUTE(SUBSTITUTE($J611," ",""),"-",""),10)</f>
        <v>+8807385982538</v>
      </c>
      <c r="J611" t="s">
        <v>2968</v>
      </c>
      <c r="K611" t="s">
        <v>13</v>
      </c>
      <c r="L611" t="str">
        <f>_xlfn.XLOOKUP($K$3,K:K,K:K,$K$2)</f>
        <v>Bangladesh</v>
      </c>
      <c r="M611" t="s">
        <v>350</v>
      </c>
      <c r="N611" t="str">
        <f>_xlfn.XLOOKUP($M611,$O:$O,$P:$P,"")</f>
        <v>Pir Naogaon</v>
      </c>
    </row>
    <row r="612" spans="1:14" x14ac:dyDescent="0.25">
      <c r="A612">
        <v>726</v>
      </c>
      <c r="B612" t="str">
        <f t="shared" si="33"/>
        <v>Amil</v>
      </c>
      <c r="C612" t="s">
        <v>2969</v>
      </c>
      <c r="D612" t="s">
        <v>2970</v>
      </c>
      <c r="E612" t="str">
        <f t="shared" si="34"/>
        <v>adankersleyk5@meetup.com</v>
      </c>
      <c r="F612" t="s">
        <v>2971</v>
      </c>
      <c r="G612" t="s">
        <v>11</v>
      </c>
      <c r="H612" t="str">
        <f t="shared" si="35"/>
        <v>Female</v>
      </c>
      <c r="I612" t="str">
        <f>"+880"&amp;RIGHT(SUBSTITUTE(SUBSTITUTE($J612," ",""),"-",""),10)</f>
        <v>+8805397418089</v>
      </c>
      <c r="J612" t="s">
        <v>2972</v>
      </c>
      <c r="K612" t="s">
        <v>13</v>
      </c>
      <c r="L612" t="str">
        <f>_xlfn.XLOOKUP($K$3,K:K,K:K,$K$2)</f>
        <v>Bangladesh</v>
      </c>
      <c r="M612" t="s">
        <v>25</v>
      </c>
      <c r="N612" t="e" vm="3">
        <f>_xlfn.XLOOKUP($M612,$O:$O,$P:$P,"")</f>
        <v>#VALUE!</v>
      </c>
    </row>
    <row r="613" spans="1:14" x14ac:dyDescent="0.25">
      <c r="A613">
        <v>727</v>
      </c>
      <c r="B613" t="str">
        <f t="shared" si="33"/>
        <v>Rosa</v>
      </c>
      <c r="C613" t="s">
        <v>2973</v>
      </c>
      <c r="D613" t="s">
        <v>2974</v>
      </c>
      <c r="E613" t="str">
        <f t="shared" si="34"/>
        <v>rramelk6@drupal.org</v>
      </c>
      <c r="F613" t="s">
        <v>2975</v>
      </c>
      <c r="G613" t="s">
        <v>11</v>
      </c>
      <c r="H613" t="str">
        <f t="shared" si="35"/>
        <v>Female</v>
      </c>
      <c r="I613" t="str">
        <f>"+880"&amp;RIGHT(SUBSTITUTE(SUBSTITUTE($J613," ",""),"-",""),10)</f>
        <v>+8804621415677</v>
      </c>
      <c r="J613" t="s">
        <v>2976</v>
      </c>
      <c r="K613" t="s">
        <v>13</v>
      </c>
      <c r="L613" t="str">
        <f>_xlfn.XLOOKUP($K$3,K:K,K:K,$K$2)</f>
        <v>Bangladesh</v>
      </c>
      <c r="M613" t="s">
        <v>404</v>
      </c>
      <c r="N613" t="e" vm="50">
        <f>_xlfn.XLOOKUP($M613,$O:$O,$P:$P,"")</f>
        <v>#VALUE!</v>
      </c>
    </row>
    <row r="614" spans="1:14" x14ac:dyDescent="0.25">
      <c r="A614">
        <v>728</v>
      </c>
      <c r="B614" t="str">
        <f t="shared" si="33"/>
        <v>Maggie</v>
      </c>
      <c r="C614" t="s">
        <v>1595</v>
      </c>
      <c r="D614" t="s">
        <v>2977</v>
      </c>
      <c r="E614" t="str">
        <f t="shared" si="34"/>
        <v>mlawlancek7@independent.co.uk</v>
      </c>
      <c r="F614" t="s">
        <v>2978</v>
      </c>
      <c r="G614" t="s">
        <v>228</v>
      </c>
      <c r="H614" t="str">
        <f t="shared" si="35"/>
        <v>Other</v>
      </c>
      <c r="I614" t="str">
        <f>"+880"&amp;RIGHT(SUBSTITUTE(SUBSTITUTE($J614," ",""),"-",""),10)</f>
        <v>+8807204300123</v>
      </c>
      <c r="J614" t="s">
        <v>2979</v>
      </c>
      <c r="K614" t="s">
        <v>13</v>
      </c>
      <c r="L614" t="str">
        <f>_xlfn.XLOOKUP($K$3,K:K,K:K,$K$2)</f>
        <v>Bangladesh</v>
      </c>
      <c r="M614" t="s">
        <v>130</v>
      </c>
      <c r="N614" t="e" vm="19">
        <f>_xlfn.XLOOKUP($M614,$O:$O,$P:$P,"")</f>
        <v>#VALUE!</v>
      </c>
    </row>
    <row r="615" spans="1:14" x14ac:dyDescent="0.25">
      <c r="A615">
        <v>730</v>
      </c>
      <c r="B615" t="str">
        <f t="shared" si="33"/>
        <v>Celine</v>
      </c>
      <c r="C615" t="s">
        <v>2984</v>
      </c>
      <c r="D615" t="s">
        <v>2985</v>
      </c>
      <c r="E615" t="str">
        <f t="shared" si="34"/>
        <v>cfulkk9@baidu.com</v>
      </c>
      <c r="F615" t="s">
        <v>2986</v>
      </c>
      <c r="G615" t="s">
        <v>11</v>
      </c>
      <c r="H615" t="str">
        <f t="shared" si="35"/>
        <v>Female</v>
      </c>
      <c r="I615" t="str">
        <f>"+880"&amp;RIGHT(SUBSTITUTE(SUBSTITUTE($J615," ",""),"-",""),10)</f>
        <v>+8809714962858</v>
      </c>
      <c r="J615" t="s">
        <v>2987</v>
      </c>
      <c r="K615" t="s">
        <v>13</v>
      </c>
      <c r="L615" t="str">
        <f>_xlfn.XLOOKUP($K$3,K:K,K:K,$K$2)</f>
        <v>Bangladesh</v>
      </c>
      <c r="M615" t="s">
        <v>125</v>
      </c>
      <c r="N615" t="e" vm="18">
        <f>_xlfn.XLOOKUP($M615,$O:$O,$P:$P,"")</f>
        <v>#VALUE!</v>
      </c>
    </row>
    <row r="616" spans="1:14" x14ac:dyDescent="0.25">
      <c r="A616">
        <v>731</v>
      </c>
      <c r="B616" t="str">
        <f t="shared" si="33"/>
        <v>Heall</v>
      </c>
      <c r="C616" t="s">
        <v>2988</v>
      </c>
      <c r="D616" t="s">
        <v>2989</v>
      </c>
      <c r="E616" t="str">
        <f t="shared" si="34"/>
        <v>hferonetka@drupal.org</v>
      </c>
      <c r="F616" t="s">
        <v>2990</v>
      </c>
      <c r="G616" t="s">
        <v>18</v>
      </c>
      <c r="H616" t="str">
        <f t="shared" si="35"/>
        <v>Male</v>
      </c>
      <c r="I616" t="str">
        <f>"+880"&amp;RIGHT(SUBSTITUTE(SUBSTITUTE($J616," ",""),"-",""),10)</f>
        <v>+8807531438530</v>
      </c>
      <c r="J616" t="s">
        <v>2991</v>
      </c>
      <c r="K616" t="s">
        <v>13</v>
      </c>
      <c r="L616" t="str">
        <f>_xlfn.XLOOKUP($K$3,K:K,K:K,$K$2)</f>
        <v>Bangladesh</v>
      </c>
      <c r="M616" t="s">
        <v>205</v>
      </c>
      <c r="N616" t="e" vm="30">
        <f>_xlfn.XLOOKUP($M616,$O:$O,$P:$P,"")</f>
        <v>#VALUE!</v>
      </c>
    </row>
    <row r="617" spans="1:14" x14ac:dyDescent="0.25">
      <c r="A617">
        <v>732</v>
      </c>
      <c r="B617" t="str">
        <f t="shared" si="33"/>
        <v>Dianne</v>
      </c>
      <c r="C617" t="s">
        <v>2992</v>
      </c>
      <c r="D617" t="s">
        <v>1894</v>
      </c>
      <c r="E617" t="str">
        <f t="shared" si="34"/>
        <v>dscarfkb@altervista.org</v>
      </c>
      <c r="F617" t="s">
        <v>2993</v>
      </c>
      <c r="G617" t="s">
        <v>11</v>
      </c>
      <c r="H617" t="str">
        <f t="shared" si="35"/>
        <v>Female</v>
      </c>
      <c r="I617" t="str">
        <f>"+880"&amp;RIGHT(SUBSTITUTE(SUBSTITUTE($J617," ",""),"-",""),10)</f>
        <v>+8806039281527</v>
      </c>
      <c r="J617" t="s">
        <v>2994</v>
      </c>
      <c r="K617" t="s">
        <v>13</v>
      </c>
      <c r="L617" t="str">
        <f>_xlfn.XLOOKUP($K$3,K:K,K:K,$K$2)</f>
        <v>Bangladesh</v>
      </c>
      <c r="M617" t="s">
        <v>230</v>
      </c>
      <c r="N617" t="e" vm="34">
        <f>_xlfn.XLOOKUP($M617,$O:$O,$P:$P,"")</f>
        <v>#VALUE!</v>
      </c>
    </row>
    <row r="618" spans="1:14" x14ac:dyDescent="0.25">
      <c r="A618">
        <v>733</v>
      </c>
      <c r="B618" t="str">
        <f t="shared" si="33"/>
        <v>Valery</v>
      </c>
      <c r="C618" t="s">
        <v>2995</v>
      </c>
      <c r="D618" t="s">
        <v>2996</v>
      </c>
      <c r="E618" t="str">
        <f t="shared" si="34"/>
        <v>vbischofkc@hostgator.com</v>
      </c>
      <c r="F618" t="s">
        <v>2997</v>
      </c>
      <c r="G618" t="s">
        <v>11</v>
      </c>
      <c r="H618" t="str">
        <f t="shared" si="35"/>
        <v>Female</v>
      </c>
      <c r="I618" t="str">
        <f>"+880"&amp;RIGHT(SUBSTITUTE(SUBSTITUTE($J618," ",""),"-",""),10)</f>
        <v>+8802039247657</v>
      </c>
      <c r="J618" t="s">
        <v>2998</v>
      </c>
      <c r="K618" t="s">
        <v>13</v>
      </c>
      <c r="L618" t="str">
        <f>_xlfn.XLOOKUP($K$3,K:K,K:K,$K$2)</f>
        <v>Bangladesh</v>
      </c>
      <c r="M618" t="s">
        <v>779</v>
      </c>
      <c r="N618" t="e" vm="72">
        <f>_xlfn.XLOOKUP($M618,$O:$O,$P:$P,"")</f>
        <v>#VALUE!</v>
      </c>
    </row>
    <row r="619" spans="1:14" x14ac:dyDescent="0.25">
      <c r="A619">
        <v>734</v>
      </c>
      <c r="B619" t="str">
        <f t="shared" si="33"/>
        <v>Georg</v>
      </c>
      <c r="C619" t="s">
        <v>2999</v>
      </c>
      <c r="D619" t="s">
        <v>3000</v>
      </c>
      <c r="E619" t="str">
        <f t="shared" si="34"/>
        <v>gdashwoodkd@phoca.cz</v>
      </c>
      <c r="F619" t="s">
        <v>3001</v>
      </c>
      <c r="G619" t="s">
        <v>18</v>
      </c>
      <c r="H619" t="str">
        <f t="shared" si="35"/>
        <v>Male</v>
      </c>
      <c r="I619" t="str">
        <f>"+880"&amp;RIGHT(SUBSTITUTE(SUBSTITUTE($J619," ",""),"-",""),10)</f>
        <v>+8801863494350</v>
      </c>
      <c r="J619" t="s">
        <v>3002</v>
      </c>
      <c r="K619" t="s">
        <v>13</v>
      </c>
      <c r="L619" t="str">
        <f>_xlfn.XLOOKUP($K$3,K:K,K:K,$K$2)</f>
        <v>Bangladesh</v>
      </c>
      <c r="M619" t="s">
        <v>588</v>
      </c>
      <c r="N619" t="e" vm="57">
        <f>_xlfn.XLOOKUP($M619,$O:$O,$P:$P,"")</f>
        <v>#VALUE!</v>
      </c>
    </row>
    <row r="620" spans="1:14" x14ac:dyDescent="0.25">
      <c r="A620">
        <v>737</v>
      </c>
      <c r="B620" t="str">
        <f t="shared" si="33"/>
        <v>Idette</v>
      </c>
      <c r="C620" t="s">
        <v>3009</v>
      </c>
      <c r="D620" t="s">
        <v>3010</v>
      </c>
      <c r="E620" t="str">
        <f t="shared" si="34"/>
        <v>icasfordkg@ovh.net</v>
      </c>
      <c r="F620" t="s">
        <v>3011</v>
      </c>
      <c r="G620" t="s">
        <v>11</v>
      </c>
      <c r="H620" t="str">
        <f t="shared" si="35"/>
        <v>Female</v>
      </c>
      <c r="I620" t="str">
        <f>"+880"&amp;RIGHT(SUBSTITUTE(SUBSTITUTE($J620," ",""),"-",""),10)</f>
        <v>+8808892807189</v>
      </c>
      <c r="J620" t="s">
        <v>3012</v>
      </c>
      <c r="K620" t="s">
        <v>13</v>
      </c>
      <c r="L620" t="str">
        <f>_xlfn.XLOOKUP($K$3,K:K,K:K,$K$2)</f>
        <v>Bangladesh</v>
      </c>
      <c r="M620" t="s">
        <v>549</v>
      </c>
      <c r="N620" t="e" vm="78">
        <f>_xlfn.XLOOKUP($M620,$O:$O,$P:$P,"")</f>
        <v>#VALUE!</v>
      </c>
    </row>
    <row r="621" spans="1:14" x14ac:dyDescent="0.25">
      <c r="A621">
        <v>738</v>
      </c>
      <c r="B621" t="str">
        <f t="shared" si="33"/>
        <v>Yance</v>
      </c>
      <c r="C621" t="s">
        <v>426</v>
      </c>
      <c r="D621" t="s">
        <v>3013</v>
      </c>
      <c r="E621" t="str">
        <f t="shared" si="34"/>
        <v>ysisskh@wufoo.com</v>
      </c>
      <c r="F621" t="s">
        <v>3014</v>
      </c>
      <c r="G621" t="s">
        <v>18</v>
      </c>
      <c r="H621" t="str">
        <f t="shared" si="35"/>
        <v>Male</v>
      </c>
      <c r="I621" t="str">
        <f>"+880"&amp;RIGHT(SUBSTITUTE(SUBSTITUTE($J621," ",""),"-",""),10)</f>
        <v>+8806931297913</v>
      </c>
      <c r="J621" t="s">
        <v>3015</v>
      </c>
      <c r="K621" t="s">
        <v>13</v>
      </c>
      <c r="L621" t="str">
        <f>_xlfn.XLOOKUP($K$3,K:K,K:K,$K$2)</f>
        <v>Bangladesh</v>
      </c>
      <c r="M621" t="s">
        <v>276</v>
      </c>
      <c r="N621" t="e" vm="39">
        <f>_xlfn.XLOOKUP($M621,$O:$O,$P:$P,"")</f>
        <v>#VALUE!</v>
      </c>
    </row>
    <row r="622" spans="1:14" x14ac:dyDescent="0.25">
      <c r="A622">
        <v>739</v>
      </c>
      <c r="B622" t="str">
        <f t="shared" si="33"/>
        <v>Tedd</v>
      </c>
      <c r="C622" t="s">
        <v>3016</v>
      </c>
      <c r="D622" t="s">
        <v>3017</v>
      </c>
      <c r="E622" t="str">
        <f t="shared" si="34"/>
        <v>tglencroscheki@msn.com</v>
      </c>
      <c r="F622" t="s">
        <v>3018</v>
      </c>
      <c r="G622" t="s">
        <v>18</v>
      </c>
      <c r="H622" t="str">
        <f t="shared" si="35"/>
        <v>Male</v>
      </c>
      <c r="I622" t="str">
        <f>"+880"&amp;RIGHT(SUBSTITUTE(SUBSTITUTE($J622," ",""),"-",""),10)</f>
        <v>+8809084296284</v>
      </c>
      <c r="J622" t="s">
        <v>3019</v>
      </c>
      <c r="K622" t="s">
        <v>13</v>
      </c>
      <c r="L622" t="str">
        <f>_xlfn.XLOOKUP($K$3,K:K,K:K,$K$2)</f>
        <v>Bangladesh</v>
      </c>
      <c r="M622" t="s">
        <v>687</v>
      </c>
      <c r="N622" t="e" vm="69">
        <f>_xlfn.XLOOKUP($M622,$O:$O,$P:$P,"")</f>
        <v>#VALUE!</v>
      </c>
    </row>
    <row r="623" spans="1:14" x14ac:dyDescent="0.25">
      <c r="A623">
        <v>740</v>
      </c>
      <c r="B623" t="str">
        <f t="shared" si="33"/>
        <v>Indira</v>
      </c>
      <c r="C623" t="s">
        <v>3020</v>
      </c>
      <c r="D623" t="s">
        <v>3021</v>
      </c>
      <c r="E623" t="str">
        <f t="shared" si="34"/>
        <v>icolpuskj@drupal.org</v>
      </c>
      <c r="F623" t="s">
        <v>3022</v>
      </c>
      <c r="G623" t="s">
        <v>11</v>
      </c>
      <c r="H623" t="str">
        <f t="shared" si="35"/>
        <v>Female</v>
      </c>
      <c r="I623" t="str">
        <f>"+880"&amp;RIGHT(SUBSTITUTE(SUBSTITUTE($J623," ",""),"-",""),10)</f>
        <v>+8801628573879</v>
      </c>
      <c r="J623" t="s">
        <v>3023</v>
      </c>
      <c r="K623" t="s">
        <v>13</v>
      </c>
      <c r="L623" t="str">
        <f>_xlfn.XLOOKUP($K$3,K:K,K:K,$K$2)</f>
        <v>Bangladesh</v>
      </c>
      <c r="M623" t="s">
        <v>56</v>
      </c>
      <c r="N623" t="e" vm="6">
        <f>_xlfn.XLOOKUP($M623,$O:$O,$P:$P,"")</f>
        <v>#VALUE!</v>
      </c>
    </row>
    <row r="624" spans="1:14" x14ac:dyDescent="0.25">
      <c r="A624">
        <v>741</v>
      </c>
      <c r="B624" t="str">
        <f t="shared" si="33"/>
        <v>Florella</v>
      </c>
      <c r="C624" t="s">
        <v>3024</v>
      </c>
      <c r="D624" t="s">
        <v>3025</v>
      </c>
      <c r="E624" t="str">
        <f t="shared" si="34"/>
        <v>fmaniekk@reuters.com</v>
      </c>
      <c r="F624" t="s">
        <v>3026</v>
      </c>
      <c r="G624" t="s">
        <v>11</v>
      </c>
      <c r="H624" t="str">
        <f t="shared" si="35"/>
        <v>Female</v>
      </c>
      <c r="I624" t="str">
        <f>"+880"&amp;RIGHT(SUBSTITUTE(SUBSTITUTE($J624," ",""),"-",""),10)</f>
        <v>+8801591980140</v>
      </c>
      <c r="J624" t="s">
        <v>3027</v>
      </c>
      <c r="K624" t="s">
        <v>13</v>
      </c>
      <c r="L624" t="str">
        <f>_xlfn.XLOOKUP($K$3,K:K,K:K,$K$2)</f>
        <v>Bangladesh</v>
      </c>
      <c r="M624" t="s">
        <v>438</v>
      </c>
      <c r="N624" t="e" vm="52">
        <f>_xlfn.XLOOKUP($M624,$O:$O,$P:$P,"")</f>
        <v>#VALUE!</v>
      </c>
    </row>
    <row r="625" spans="1:14" x14ac:dyDescent="0.25">
      <c r="A625">
        <v>742</v>
      </c>
      <c r="B625" t="str">
        <f t="shared" si="33"/>
        <v>Ashley</v>
      </c>
      <c r="C625" t="s">
        <v>3028</v>
      </c>
      <c r="D625" t="s">
        <v>3029</v>
      </c>
      <c r="E625" t="str">
        <f t="shared" si="34"/>
        <v>aagglionekl@deliciousdays.com</v>
      </c>
      <c r="F625" t="s">
        <v>3030</v>
      </c>
      <c r="G625" t="s">
        <v>11</v>
      </c>
      <c r="H625" t="str">
        <f t="shared" si="35"/>
        <v>Female</v>
      </c>
      <c r="I625" t="str">
        <f>"+880"&amp;RIGHT(SUBSTITUTE(SUBSTITUTE($J625," ",""),"-",""),10)</f>
        <v>+8807015415930</v>
      </c>
      <c r="J625" t="s">
        <v>3031</v>
      </c>
      <c r="K625" t="s">
        <v>13</v>
      </c>
      <c r="L625" t="str">
        <f>_xlfn.XLOOKUP($K$3,K:K,K:K,$K$2)</f>
        <v>Bangladesh</v>
      </c>
      <c r="M625" t="s">
        <v>804</v>
      </c>
      <c r="N625" t="e" vm="73">
        <f>_xlfn.XLOOKUP($M625,$O:$O,$P:$P,"")</f>
        <v>#VALUE!</v>
      </c>
    </row>
    <row r="626" spans="1:14" x14ac:dyDescent="0.25">
      <c r="A626">
        <v>743</v>
      </c>
      <c r="B626" t="str">
        <f t="shared" si="33"/>
        <v>Oliver</v>
      </c>
      <c r="C626" t="s">
        <v>3032</v>
      </c>
      <c r="D626" t="s">
        <v>3033</v>
      </c>
      <c r="E626" t="str">
        <f t="shared" si="34"/>
        <v>ocunnellkm@is.gd</v>
      </c>
      <c r="F626" t="s">
        <v>3034</v>
      </c>
      <c r="G626" t="s">
        <v>18</v>
      </c>
      <c r="H626" t="str">
        <f t="shared" si="35"/>
        <v>Male</v>
      </c>
      <c r="I626" t="str">
        <f>"+880"&amp;RIGHT(SUBSTITUTE(SUBSTITUTE($J626," ",""),"-",""),10)</f>
        <v>+8804903967321</v>
      </c>
      <c r="J626" t="s">
        <v>3035</v>
      </c>
      <c r="K626" t="s">
        <v>13</v>
      </c>
      <c r="L626" t="str">
        <f>_xlfn.XLOOKUP($K$3,K:K,K:K,$K$2)</f>
        <v>Bangladesh</v>
      </c>
      <c r="M626" t="s">
        <v>120</v>
      </c>
      <c r="N626" t="str">
        <f>_xlfn.XLOOKUP($M626,$O:$O,$P:$P,"")</f>
        <v>Bhatpara Abhaynagar</v>
      </c>
    </row>
    <row r="627" spans="1:14" x14ac:dyDescent="0.25">
      <c r="A627">
        <v>744</v>
      </c>
      <c r="B627" t="str">
        <f t="shared" si="33"/>
        <v>Krystyna</v>
      </c>
      <c r="C627" t="s">
        <v>3036</v>
      </c>
      <c r="D627" t="s">
        <v>3037</v>
      </c>
      <c r="E627" t="str">
        <f t="shared" si="34"/>
        <v>kburvillkn@scribd.com</v>
      </c>
      <c r="F627" t="s">
        <v>3038</v>
      </c>
      <c r="G627" t="s">
        <v>11</v>
      </c>
      <c r="H627" t="str">
        <f t="shared" si="35"/>
        <v>Female</v>
      </c>
      <c r="I627" t="str">
        <f>"+880"&amp;RIGHT(SUBSTITUTE(SUBSTITUTE($J627," ",""),"-",""),10)</f>
        <v>+8806204024040</v>
      </c>
      <c r="J627" t="s">
        <v>3039</v>
      </c>
      <c r="K627" t="s">
        <v>13</v>
      </c>
      <c r="L627" t="str">
        <f>_xlfn.XLOOKUP($K$3,K:K,K:K,$K$2)</f>
        <v>Bangladesh</v>
      </c>
      <c r="M627" t="s">
        <v>628</v>
      </c>
      <c r="N627" t="e" vm="62">
        <f>_xlfn.XLOOKUP($M627,$O:$O,$P:$P,"")</f>
        <v>#VALUE!</v>
      </c>
    </row>
    <row r="628" spans="1:14" x14ac:dyDescent="0.25">
      <c r="A628">
        <v>745</v>
      </c>
      <c r="B628" t="str">
        <f t="shared" si="33"/>
        <v>Rodolphe</v>
      </c>
      <c r="C628" t="s">
        <v>3040</v>
      </c>
      <c r="D628" t="s">
        <v>3041</v>
      </c>
      <c r="E628" t="str">
        <f t="shared" si="34"/>
        <v>rhalwillko@nytimes.com</v>
      </c>
      <c r="F628" t="s">
        <v>3042</v>
      </c>
      <c r="G628" t="s">
        <v>280</v>
      </c>
      <c r="H628" t="str">
        <f t="shared" si="35"/>
        <v>Other</v>
      </c>
      <c r="I628" t="str">
        <f>"+880"&amp;RIGHT(SUBSTITUTE(SUBSTITUTE($J628," ",""),"-",""),10)</f>
        <v>+8809921157786</v>
      </c>
      <c r="J628" t="s">
        <v>3043</v>
      </c>
      <c r="K628" t="s">
        <v>13</v>
      </c>
      <c r="L628" t="str">
        <f>_xlfn.XLOOKUP($K$3,K:K,K:K,$K$2)</f>
        <v>Bangladesh</v>
      </c>
      <c r="M628" t="s">
        <v>350</v>
      </c>
      <c r="N628" t="str">
        <f>_xlfn.XLOOKUP($M628,$O:$O,$P:$P,"")</f>
        <v>Pir Naogaon</v>
      </c>
    </row>
    <row r="629" spans="1:14" x14ac:dyDescent="0.25">
      <c r="A629">
        <v>747</v>
      </c>
      <c r="B629" t="str">
        <f t="shared" si="33"/>
        <v>Brew</v>
      </c>
      <c r="C629" t="s">
        <v>3048</v>
      </c>
      <c r="D629" t="s">
        <v>3049</v>
      </c>
      <c r="E629" t="str">
        <f t="shared" si="34"/>
        <v>bcamblinkq@shop-pro.jp</v>
      </c>
      <c r="F629" t="s">
        <v>3050</v>
      </c>
      <c r="G629" t="s">
        <v>18</v>
      </c>
      <c r="H629" t="str">
        <f t="shared" si="35"/>
        <v>Male</v>
      </c>
      <c r="I629" t="str">
        <f>"+880"&amp;RIGHT(SUBSTITUTE(SUBSTITUTE($J629," ",""),"-",""),10)</f>
        <v>+8803717035622</v>
      </c>
      <c r="J629" t="s">
        <v>3051</v>
      </c>
      <c r="K629" t="s">
        <v>13</v>
      </c>
      <c r="L629" t="str">
        <f>_xlfn.XLOOKUP($K$3,K:K,K:K,$K$2)</f>
        <v>Bangladesh</v>
      </c>
      <c r="M629" t="s">
        <v>628</v>
      </c>
      <c r="N629" t="e" vm="62">
        <f>_xlfn.XLOOKUP($M629,$O:$O,$P:$P,"")</f>
        <v>#VALUE!</v>
      </c>
    </row>
    <row r="630" spans="1:14" x14ac:dyDescent="0.25">
      <c r="A630">
        <v>749</v>
      </c>
      <c r="B630" t="str">
        <f t="shared" si="33"/>
        <v>Nikolai</v>
      </c>
      <c r="C630" t="s">
        <v>3054</v>
      </c>
      <c r="D630" t="s">
        <v>3055</v>
      </c>
      <c r="E630" t="str">
        <f t="shared" si="34"/>
        <v>nrobleyks@goo.gl</v>
      </c>
      <c r="F630" t="s">
        <v>3056</v>
      </c>
      <c r="G630" t="s">
        <v>18</v>
      </c>
      <c r="H630" t="str">
        <f t="shared" si="35"/>
        <v>Male</v>
      </c>
      <c r="I630" t="str">
        <f>"+880"&amp;RIGHT(SUBSTITUTE(SUBSTITUTE($J630," ",""),"-",""),10)</f>
        <v>+8808621524068</v>
      </c>
      <c r="J630" t="s">
        <v>3057</v>
      </c>
      <c r="K630" t="s">
        <v>13</v>
      </c>
      <c r="L630" t="str">
        <f>_xlfn.XLOOKUP($K$3,K:K,K:K,$K$2)</f>
        <v>Bangladesh</v>
      </c>
      <c r="M630" t="s">
        <v>379</v>
      </c>
      <c r="N630" t="e" vm="49">
        <f>_xlfn.XLOOKUP($M630,$O:$O,$P:$P,"")</f>
        <v>#VALUE!</v>
      </c>
    </row>
    <row r="631" spans="1:14" x14ac:dyDescent="0.25">
      <c r="A631">
        <v>750</v>
      </c>
      <c r="B631" t="str">
        <f t="shared" si="33"/>
        <v>Lock</v>
      </c>
      <c r="C631" t="s">
        <v>3058</v>
      </c>
      <c r="D631" t="s">
        <v>3059</v>
      </c>
      <c r="E631" t="str">
        <f t="shared" si="34"/>
        <v>lchasekt@amazonaws.com</v>
      </c>
      <c r="F631" t="s">
        <v>3060</v>
      </c>
      <c r="G631" t="s">
        <v>18</v>
      </c>
      <c r="H631" t="str">
        <f t="shared" si="35"/>
        <v>Male</v>
      </c>
      <c r="I631" t="str">
        <f>"+880"&amp;RIGHT(SUBSTITUTE(SUBSTITUTE($J631," ",""),"-",""),10)</f>
        <v>+8803605508957</v>
      </c>
      <c r="J631" t="s">
        <v>3061</v>
      </c>
      <c r="K631" t="s">
        <v>13</v>
      </c>
      <c r="L631" t="str">
        <f>_xlfn.XLOOKUP($K$3,K:K,K:K,$K$2)</f>
        <v>Bangladesh</v>
      </c>
      <c r="M631" t="s">
        <v>619</v>
      </c>
      <c r="N631" t="e" vm="61">
        <f>_xlfn.XLOOKUP($M631,$O:$O,$P:$P,"")</f>
        <v>#VALUE!</v>
      </c>
    </row>
    <row r="632" spans="1:14" x14ac:dyDescent="0.25">
      <c r="A632">
        <v>751</v>
      </c>
      <c r="B632" t="str">
        <f t="shared" si="33"/>
        <v>Biron</v>
      </c>
      <c r="C632" t="s">
        <v>3062</v>
      </c>
      <c r="D632" t="s">
        <v>3063</v>
      </c>
      <c r="E632" t="str">
        <f t="shared" si="34"/>
        <v>bduligalku@g.co</v>
      </c>
      <c r="F632" t="s">
        <v>3064</v>
      </c>
      <c r="G632" t="s">
        <v>18</v>
      </c>
      <c r="H632" t="str">
        <f t="shared" si="35"/>
        <v>Male</v>
      </c>
      <c r="I632" t="str">
        <f>"+880"&amp;RIGHT(SUBSTITUTE(SUBSTITUTE($J632," ",""),"-",""),10)</f>
        <v>+8808094911774</v>
      </c>
      <c r="J632" t="s">
        <v>3065</v>
      </c>
      <c r="K632" t="s">
        <v>13</v>
      </c>
      <c r="L632" t="str">
        <f>_xlfn.XLOOKUP($K$3,K:K,K:K,$K$2)</f>
        <v>Bangladesh</v>
      </c>
      <c r="M632" t="s">
        <v>71</v>
      </c>
      <c r="N632" t="e" vm="9">
        <f>_xlfn.XLOOKUP($M632,$O:$O,$P:$P,"")</f>
        <v>#VALUE!</v>
      </c>
    </row>
    <row r="633" spans="1:14" x14ac:dyDescent="0.25">
      <c r="A633">
        <v>752</v>
      </c>
      <c r="B633" t="str">
        <f t="shared" si="33"/>
        <v>Mortimer</v>
      </c>
      <c r="C633" t="s">
        <v>2596</v>
      </c>
      <c r="D633" t="s">
        <v>3066</v>
      </c>
      <c r="E633" t="str">
        <f t="shared" si="34"/>
        <v>mmolloykv@nsw.gov.au</v>
      </c>
      <c r="F633" t="s">
        <v>3067</v>
      </c>
      <c r="G633" t="s">
        <v>18</v>
      </c>
      <c r="H633" t="str">
        <f t="shared" si="35"/>
        <v>Male</v>
      </c>
      <c r="I633" t="str">
        <f>"+880"&amp;RIGHT(SUBSTITUTE(SUBSTITUTE($J633," ",""),"-",""),10)</f>
        <v>+8807251374285</v>
      </c>
      <c r="J633" t="s">
        <v>3068</v>
      </c>
      <c r="K633" t="s">
        <v>13</v>
      </c>
      <c r="L633" t="str">
        <f>_xlfn.XLOOKUP($K$3,K:K,K:K,$K$2)</f>
        <v>Bangladesh</v>
      </c>
      <c r="M633" t="s">
        <v>1212</v>
      </c>
      <c r="N633" t="e" vm="84">
        <f>_xlfn.XLOOKUP($M633,$O:$O,$P:$P,"")</f>
        <v>#VALUE!</v>
      </c>
    </row>
    <row r="634" spans="1:14" x14ac:dyDescent="0.25">
      <c r="A634">
        <v>753</v>
      </c>
      <c r="B634" t="str">
        <f t="shared" si="33"/>
        <v>Wilbur</v>
      </c>
      <c r="C634" t="s">
        <v>3069</v>
      </c>
      <c r="D634" t="s">
        <v>3070</v>
      </c>
      <c r="E634" t="str">
        <f t="shared" si="34"/>
        <v>wquadekw@tumblr.com</v>
      </c>
      <c r="F634" t="s">
        <v>3071</v>
      </c>
      <c r="G634" t="s">
        <v>18</v>
      </c>
      <c r="H634" t="str">
        <f t="shared" si="35"/>
        <v>Male</v>
      </c>
      <c r="I634" t="str">
        <f>"+880"&amp;RIGHT(SUBSTITUTE(SUBSTITUTE($J634," ",""),"-",""),10)</f>
        <v>+8809328967878</v>
      </c>
      <c r="J634" t="s">
        <v>3072</v>
      </c>
      <c r="K634" t="s">
        <v>13</v>
      </c>
      <c r="L634" t="str">
        <f>_xlfn.XLOOKUP($K$3,K:K,K:K,$K$2)</f>
        <v>Bangladesh</v>
      </c>
      <c r="M634" t="s">
        <v>215</v>
      </c>
      <c r="N634" t="e" vm="32">
        <f>_xlfn.XLOOKUP($M634,$O:$O,$P:$P,"")</f>
        <v>#VALUE!</v>
      </c>
    </row>
    <row r="635" spans="1:14" x14ac:dyDescent="0.25">
      <c r="A635">
        <v>754</v>
      </c>
      <c r="B635" t="str">
        <f t="shared" si="33"/>
        <v>Mathilde</v>
      </c>
      <c r="C635" t="s">
        <v>1528</v>
      </c>
      <c r="D635" t="s">
        <v>3073</v>
      </c>
      <c r="E635" t="str">
        <f t="shared" si="34"/>
        <v>mrubinchikkx@github.io</v>
      </c>
      <c r="F635" t="s">
        <v>3074</v>
      </c>
      <c r="G635" t="s">
        <v>11</v>
      </c>
      <c r="H635" t="str">
        <f t="shared" si="35"/>
        <v>Female</v>
      </c>
      <c r="I635" t="str">
        <f>"+880"&amp;RIGHT(SUBSTITUTE(SUBSTITUTE($J635," ",""),"-",""),10)</f>
        <v>+8805444241919</v>
      </c>
      <c r="J635" t="s">
        <v>3075</v>
      </c>
      <c r="K635" t="s">
        <v>13</v>
      </c>
      <c r="L635" t="str">
        <f>_xlfn.XLOOKUP($K$3,K:K,K:K,$K$2)</f>
        <v>Bangladesh</v>
      </c>
      <c r="M635" t="s">
        <v>814</v>
      </c>
      <c r="N635" t="e" vm="75">
        <f>_xlfn.XLOOKUP($M635,$O:$O,$P:$P,"")</f>
        <v>#VALUE!</v>
      </c>
    </row>
    <row r="636" spans="1:14" x14ac:dyDescent="0.25">
      <c r="A636">
        <v>755</v>
      </c>
      <c r="B636" t="str">
        <f t="shared" si="33"/>
        <v>Pammie</v>
      </c>
      <c r="C636" t="s">
        <v>3076</v>
      </c>
      <c r="D636" t="s">
        <v>3077</v>
      </c>
      <c r="E636" t="str">
        <f t="shared" si="34"/>
        <v>pbloomfieldky@virginia.edu</v>
      </c>
      <c r="F636" t="s">
        <v>3078</v>
      </c>
      <c r="G636" t="s">
        <v>11</v>
      </c>
      <c r="H636" t="str">
        <f t="shared" si="35"/>
        <v>Female</v>
      </c>
      <c r="I636" t="str">
        <f>"+880"&amp;RIGHT(SUBSTITUTE(SUBSTITUTE($J636," ",""),"-",""),10)</f>
        <v>+8801403780982</v>
      </c>
      <c r="J636" t="s">
        <v>3079</v>
      </c>
      <c r="K636" t="s">
        <v>13</v>
      </c>
      <c r="L636" t="str">
        <f>_xlfn.XLOOKUP($K$3,K:K,K:K,$K$2)</f>
        <v>Bangladesh</v>
      </c>
      <c r="M636" t="s">
        <v>252</v>
      </c>
      <c r="N636" t="e" vm="36">
        <f>_xlfn.XLOOKUP($M636,$O:$O,$P:$P,"")</f>
        <v>#VALUE!</v>
      </c>
    </row>
    <row r="637" spans="1:14" x14ac:dyDescent="0.25">
      <c r="A637">
        <v>756</v>
      </c>
      <c r="B637" t="str">
        <f t="shared" si="33"/>
        <v>Lilah</v>
      </c>
      <c r="C637" t="s">
        <v>3080</v>
      </c>
      <c r="D637" t="s">
        <v>3081</v>
      </c>
      <c r="E637" t="str">
        <f t="shared" si="34"/>
        <v>lcarbertkz@ed.gov</v>
      </c>
      <c r="F637" t="s">
        <v>3082</v>
      </c>
      <c r="G637" t="s">
        <v>11</v>
      </c>
      <c r="H637" t="str">
        <f t="shared" si="35"/>
        <v>Female</v>
      </c>
      <c r="I637" t="str">
        <f>"+880"&amp;RIGHT(SUBSTITUTE(SUBSTITUTE($J637," ",""),"-",""),10)</f>
        <v>+8804662785744</v>
      </c>
      <c r="J637" t="s">
        <v>3083</v>
      </c>
      <c r="K637" t="s">
        <v>13</v>
      </c>
      <c r="L637" t="str">
        <f>_xlfn.XLOOKUP($K$3,K:K,K:K,$K$2)</f>
        <v>Bangladesh</v>
      </c>
      <c r="M637" t="s">
        <v>331</v>
      </c>
      <c r="N637" t="e" vm="64">
        <f>_xlfn.XLOOKUP($M637,$O:$O,$P:$P,"")</f>
        <v>#VALUE!</v>
      </c>
    </row>
    <row r="638" spans="1:14" x14ac:dyDescent="0.25">
      <c r="A638">
        <v>757</v>
      </c>
      <c r="B638" t="str">
        <f t="shared" si="33"/>
        <v>Torin</v>
      </c>
      <c r="C638" t="s">
        <v>3084</v>
      </c>
      <c r="D638" t="s">
        <v>3085</v>
      </c>
      <c r="E638" t="str">
        <f t="shared" si="34"/>
        <v>thaggishl0@smh.com.au</v>
      </c>
      <c r="F638" t="s">
        <v>3086</v>
      </c>
      <c r="G638" t="s">
        <v>280</v>
      </c>
      <c r="H638" t="str">
        <f t="shared" si="35"/>
        <v>Other</v>
      </c>
      <c r="I638" t="str">
        <f>"+880"&amp;RIGHT(SUBSTITUTE(SUBSTITUTE($J638," ",""),"-",""),10)</f>
        <v>+8809846793651</v>
      </c>
      <c r="J638" t="s">
        <v>3087</v>
      </c>
      <c r="K638" t="s">
        <v>13</v>
      </c>
      <c r="L638" t="str">
        <f>_xlfn.XLOOKUP($K$3,K:K,K:K,$K$2)</f>
        <v>Bangladesh</v>
      </c>
      <c r="M638" t="s">
        <v>163</v>
      </c>
      <c r="N638" t="e" vm="24">
        <f>_xlfn.XLOOKUP($M638,$O:$O,$P:$P,"")</f>
        <v>#VALUE!</v>
      </c>
    </row>
    <row r="639" spans="1:14" x14ac:dyDescent="0.25">
      <c r="A639">
        <v>758</v>
      </c>
      <c r="B639" t="str">
        <f t="shared" si="33"/>
        <v>Tracy</v>
      </c>
      <c r="C639" t="s">
        <v>1946</v>
      </c>
      <c r="D639" t="s">
        <v>3088</v>
      </c>
      <c r="E639" t="str">
        <f t="shared" si="34"/>
        <v>tarentl1@nih.gov</v>
      </c>
      <c r="F639" t="s">
        <v>3089</v>
      </c>
      <c r="G639" t="s">
        <v>18</v>
      </c>
      <c r="H639" t="str">
        <f t="shared" si="35"/>
        <v>Male</v>
      </c>
      <c r="I639" t="str">
        <f>"+880"&amp;RIGHT(SUBSTITUTE(SUBSTITUTE($J639," ",""),"-",""),10)</f>
        <v>+8801764987039</v>
      </c>
      <c r="J639" t="s">
        <v>3090</v>
      </c>
      <c r="K639" t="s">
        <v>13</v>
      </c>
      <c r="L639" t="str">
        <f>_xlfn.XLOOKUP($K$3,K:K,K:K,$K$2)</f>
        <v>Bangladesh</v>
      </c>
      <c r="M639" t="s">
        <v>130</v>
      </c>
      <c r="N639" t="e" vm="19">
        <f>_xlfn.XLOOKUP($M639,$O:$O,$P:$P,"")</f>
        <v>#VALUE!</v>
      </c>
    </row>
    <row r="640" spans="1:14" x14ac:dyDescent="0.25">
      <c r="A640">
        <v>759</v>
      </c>
      <c r="B640" t="str">
        <f t="shared" si="33"/>
        <v>Vinny</v>
      </c>
      <c r="C640" t="s">
        <v>3091</v>
      </c>
      <c r="D640" t="s">
        <v>3092</v>
      </c>
      <c r="E640" t="str">
        <f t="shared" si="34"/>
        <v>vsmidmorl2@nytimes.com</v>
      </c>
      <c r="F640" t="s">
        <v>3093</v>
      </c>
      <c r="G640" t="s">
        <v>18</v>
      </c>
      <c r="H640" t="str">
        <f t="shared" si="35"/>
        <v>Male</v>
      </c>
      <c r="I640" t="str">
        <f>"+880"&amp;RIGHT(SUBSTITUTE(SUBSTITUTE($J640," ",""),"-",""),10)</f>
        <v>+8809526395140</v>
      </c>
      <c r="J640" t="s">
        <v>3094</v>
      </c>
      <c r="K640" t="s">
        <v>13</v>
      </c>
      <c r="L640" t="str">
        <f>_xlfn.XLOOKUP($K$3,K:K,K:K,$K$2)</f>
        <v>Bangladesh</v>
      </c>
      <c r="M640" t="s">
        <v>619</v>
      </c>
      <c r="N640" t="e" vm="61">
        <f>_xlfn.XLOOKUP($M640,$O:$O,$P:$P,"")</f>
        <v>#VALUE!</v>
      </c>
    </row>
    <row r="641" spans="1:14" x14ac:dyDescent="0.25">
      <c r="A641">
        <v>760</v>
      </c>
      <c r="B641" t="str">
        <f t="shared" si="33"/>
        <v>Brody</v>
      </c>
      <c r="C641" t="s">
        <v>3095</v>
      </c>
      <c r="D641" t="s">
        <v>3096</v>
      </c>
      <c r="E641" t="str">
        <f t="shared" si="34"/>
        <v>bwellanl3@thetimes.co.uk</v>
      </c>
      <c r="F641" t="s">
        <v>3097</v>
      </c>
      <c r="G641" t="s">
        <v>18</v>
      </c>
      <c r="H641" t="str">
        <f t="shared" si="35"/>
        <v>Male</v>
      </c>
      <c r="I641" t="str">
        <f>"+880"&amp;RIGHT(SUBSTITUTE(SUBSTITUTE($J641," ",""),"-",""),10)</f>
        <v>+8805925462199</v>
      </c>
      <c r="J641" t="s">
        <v>3098</v>
      </c>
      <c r="K641" t="s">
        <v>13</v>
      </c>
      <c r="L641" t="str">
        <f>_xlfn.XLOOKUP($K$3,K:K,K:K,$K$2)</f>
        <v>Bangladesh</v>
      </c>
      <c r="M641" t="s">
        <v>282</v>
      </c>
      <c r="N641" t="e" vm="40">
        <f>_xlfn.XLOOKUP($M641,$O:$O,$P:$P,"")</f>
        <v>#VALUE!</v>
      </c>
    </row>
    <row r="642" spans="1:14" x14ac:dyDescent="0.25">
      <c r="A642">
        <v>761</v>
      </c>
      <c r="B642" t="str">
        <f t="shared" si="33"/>
        <v>Holly</v>
      </c>
      <c r="C642" t="s">
        <v>3099</v>
      </c>
      <c r="D642" t="s">
        <v>3100</v>
      </c>
      <c r="E642" t="str">
        <f t="shared" si="34"/>
        <v>hhubboldl4@sina.com.cn</v>
      </c>
      <c r="F642" t="s">
        <v>3101</v>
      </c>
      <c r="G642" t="s">
        <v>18</v>
      </c>
      <c r="H642" t="str">
        <f t="shared" si="35"/>
        <v>Male</v>
      </c>
      <c r="I642" t="str">
        <f>"+880"&amp;RIGHT(SUBSTITUTE(SUBSTITUTE($J642," ",""),"-",""),10)</f>
        <v>+8805644517399</v>
      </c>
      <c r="J642" t="s">
        <v>3102</v>
      </c>
      <c r="K642" t="s">
        <v>13</v>
      </c>
      <c r="L642" t="str">
        <f>_xlfn.XLOOKUP($K$3,K:K,K:K,$K$2)</f>
        <v>Bangladesh</v>
      </c>
      <c r="M642" t="s">
        <v>76</v>
      </c>
      <c r="N642" t="e" vm="10">
        <f>_xlfn.XLOOKUP($M642,$O:$O,$P:$P,"")</f>
        <v>#VALUE!</v>
      </c>
    </row>
    <row r="643" spans="1:14" x14ac:dyDescent="0.25">
      <c r="A643">
        <v>762</v>
      </c>
      <c r="B643" t="str">
        <f t="shared" si="33"/>
        <v>Harry</v>
      </c>
      <c r="C643" t="s">
        <v>1140</v>
      </c>
      <c r="D643" t="s">
        <v>3103</v>
      </c>
      <c r="E643" t="str">
        <f t="shared" si="34"/>
        <v>hmalatalantl5@shinystat.com</v>
      </c>
      <c r="F643" t="s">
        <v>3104</v>
      </c>
      <c r="G643" t="s">
        <v>18</v>
      </c>
      <c r="H643" t="str">
        <f t="shared" si="35"/>
        <v>Male</v>
      </c>
      <c r="I643" t="str">
        <f>"+880"&amp;RIGHT(SUBSTITUTE(SUBSTITUTE($J643," ",""),"-",""),10)</f>
        <v>+8807583755494</v>
      </c>
      <c r="J643" t="s">
        <v>3105</v>
      </c>
      <c r="K643" t="s">
        <v>13</v>
      </c>
      <c r="L643" t="str">
        <f>_xlfn.XLOOKUP($K$3,K:K,K:K,$K$2)</f>
        <v>Bangladesh</v>
      </c>
      <c r="M643" t="s">
        <v>61</v>
      </c>
      <c r="N643" t="e" vm="7">
        <f>_xlfn.XLOOKUP($M643,$O:$O,$P:$P,"")</f>
        <v>#VALUE!</v>
      </c>
    </row>
    <row r="644" spans="1:14" x14ac:dyDescent="0.25">
      <c r="A644">
        <v>763</v>
      </c>
      <c r="B644" t="str">
        <f t="shared" si="33"/>
        <v>Gayle</v>
      </c>
      <c r="C644" t="s">
        <v>3106</v>
      </c>
      <c r="D644" t="s">
        <v>3107</v>
      </c>
      <c r="E644" t="str">
        <f t="shared" si="34"/>
        <v>geagerl6@zdnet.com</v>
      </c>
      <c r="F644" t="s">
        <v>3108</v>
      </c>
      <c r="G644" t="s">
        <v>11</v>
      </c>
      <c r="H644" t="str">
        <f t="shared" si="35"/>
        <v>Female</v>
      </c>
      <c r="I644" t="str">
        <f>"+880"&amp;RIGHT(SUBSTITUTE(SUBSTITUTE($J644," ",""),"-",""),10)</f>
        <v>+8801216470998</v>
      </c>
      <c r="J644" t="s">
        <v>3109</v>
      </c>
      <c r="K644" t="s">
        <v>13</v>
      </c>
      <c r="L644" t="str">
        <f>_xlfn.XLOOKUP($K$3,K:K,K:K,$K$2)</f>
        <v>Bangladesh</v>
      </c>
      <c r="M644" t="s">
        <v>36</v>
      </c>
      <c r="N644" t="str">
        <f>_xlfn.XLOOKUP($M644,$O:$O,$P:$P,"")</f>
        <v>Lakshmapur</v>
      </c>
    </row>
    <row r="645" spans="1:14" x14ac:dyDescent="0.25">
      <c r="A645">
        <v>767</v>
      </c>
      <c r="B645" t="str">
        <f t="shared" si="33"/>
        <v>Lanita</v>
      </c>
      <c r="C645" t="s">
        <v>3122</v>
      </c>
      <c r="D645" t="s">
        <v>3123</v>
      </c>
      <c r="E645" t="str">
        <f t="shared" si="34"/>
        <v>landreassenla@google.pl</v>
      </c>
      <c r="F645" t="s">
        <v>3124</v>
      </c>
      <c r="G645" t="s">
        <v>11</v>
      </c>
      <c r="H645" t="str">
        <f t="shared" si="35"/>
        <v>Female</v>
      </c>
      <c r="I645" t="str">
        <f>"+880"&amp;RIGHT(SUBSTITUTE(SUBSTITUTE($J645," ",""),"-",""),10)</f>
        <v>+8805081248164</v>
      </c>
      <c r="J645" t="s">
        <v>3125</v>
      </c>
      <c r="K645" t="s">
        <v>13</v>
      </c>
      <c r="L645" t="str">
        <f>_xlfn.XLOOKUP($K$3,K:K,K:K,$K$2)</f>
        <v>Bangladesh</v>
      </c>
      <c r="M645" t="s">
        <v>61</v>
      </c>
      <c r="N645" t="e" vm="7">
        <f>_xlfn.XLOOKUP($M645,$O:$O,$P:$P,"")</f>
        <v>#VALUE!</v>
      </c>
    </row>
    <row r="646" spans="1:14" x14ac:dyDescent="0.25">
      <c r="A646">
        <v>768</v>
      </c>
      <c r="B646" t="str">
        <f t="shared" si="33"/>
        <v>Cthrine</v>
      </c>
      <c r="C646" t="s">
        <v>3126</v>
      </c>
      <c r="D646" t="s">
        <v>3127</v>
      </c>
      <c r="E646" t="str">
        <f t="shared" si="34"/>
        <v>csuddelllb@mail.ru</v>
      </c>
      <c r="F646" t="s">
        <v>3128</v>
      </c>
      <c r="G646" t="s">
        <v>11</v>
      </c>
      <c r="H646" t="str">
        <f t="shared" si="35"/>
        <v>Female</v>
      </c>
      <c r="I646" t="str">
        <f>"+880"&amp;RIGHT(SUBSTITUTE(SUBSTITUTE($J646," ",""),"-",""),10)</f>
        <v>+8804211495345</v>
      </c>
      <c r="J646" t="s">
        <v>3129</v>
      </c>
      <c r="K646" t="s">
        <v>13</v>
      </c>
      <c r="L646" t="str">
        <f>_xlfn.XLOOKUP($K$3,K:K,K:K,$K$2)</f>
        <v>Bangladesh</v>
      </c>
      <c r="M646" t="s">
        <v>619</v>
      </c>
      <c r="N646" t="e" vm="61">
        <f>_xlfn.XLOOKUP($M646,$O:$O,$P:$P,"")</f>
        <v>#VALUE!</v>
      </c>
    </row>
    <row r="647" spans="1:14" x14ac:dyDescent="0.25">
      <c r="A647">
        <v>769</v>
      </c>
      <c r="B647" t="str">
        <f t="shared" si="33"/>
        <v>Vassily</v>
      </c>
      <c r="C647" t="s">
        <v>3130</v>
      </c>
      <c r="D647" t="s">
        <v>3131</v>
      </c>
      <c r="E647" t="str">
        <f t="shared" si="34"/>
        <v>vhewlc@goo.ne.jp</v>
      </c>
      <c r="F647" t="s">
        <v>3132</v>
      </c>
      <c r="G647" t="s">
        <v>18</v>
      </c>
      <c r="H647" t="str">
        <f t="shared" si="35"/>
        <v>Male</v>
      </c>
      <c r="I647" t="str">
        <f>"+880"&amp;RIGHT(SUBSTITUTE(SUBSTITUTE($J647," ",""),"-",""),10)</f>
        <v>+8806722298488</v>
      </c>
      <c r="J647" t="s">
        <v>3133</v>
      </c>
      <c r="K647" t="s">
        <v>13</v>
      </c>
      <c r="L647" t="str">
        <f>_xlfn.XLOOKUP($K$3,K:K,K:K,$K$2)</f>
        <v>Bangladesh</v>
      </c>
      <c r="M647" t="s">
        <v>20</v>
      </c>
      <c r="N647" t="e" vm="2">
        <f>_xlfn.XLOOKUP($M647,$O:$O,$P:$P,"")</f>
        <v>#VALUE!</v>
      </c>
    </row>
    <row r="648" spans="1:14" x14ac:dyDescent="0.25">
      <c r="A648">
        <v>770</v>
      </c>
      <c r="B648" t="str">
        <f t="shared" ref="B648:B703" si="36">PROPER(TRIM($C648))</f>
        <v>Sonny</v>
      </c>
      <c r="C648" t="s">
        <v>3134</v>
      </c>
      <c r="D648" t="s">
        <v>1401</v>
      </c>
      <c r="E648" t="str">
        <f t="shared" ref="E648:E703" si="37">LOWER(TRIM($F648))</f>
        <v>sraisonld@shutterfly.com</v>
      </c>
      <c r="F648" t="s">
        <v>3135</v>
      </c>
      <c r="G648" t="s">
        <v>18</v>
      </c>
      <c r="H648" t="str">
        <f t="shared" ref="H648:H703" si="38">IF(OR($G648="M",LOWER($G648)="male"),"Male",
IF(OR($G648="F",LOWER($G648)="female"),"Female","Other"))</f>
        <v>Male</v>
      </c>
      <c r="I648" t="str">
        <f>"+880"&amp;RIGHT(SUBSTITUTE(SUBSTITUTE($J648," ",""),"-",""),10)</f>
        <v>+8809038788583</v>
      </c>
      <c r="J648" t="s">
        <v>3136</v>
      </c>
      <c r="K648" t="s">
        <v>13</v>
      </c>
      <c r="L648" t="str">
        <f>_xlfn.XLOOKUP($K$3,K:K,K:K,$K$2)</f>
        <v>Bangladesh</v>
      </c>
      <c r="M648" t="s">
        <v>425</v>
      </c>
      <c r="N648" t="e" vm="51">
        <f>_xlfn.XLOOKUP($M648,$O:$O,$P:$P,"")</f>
        <v>#VALUE!</v>
      </c>
    </row>
    <row r="649" spans="1:14" x14ac:dyDescent="0.25">
      <c r="A649">
        <v>771</v>
      </c>
      <c r="B649" t="str">
        <f t="shared" si="36"/>
        <v>Flora</v>
      </c>
      <c r="C649" t="s">
        <v>3137</v>
      </c>
      <c r="D649" t="s">
        <v>3138</v>
      </c>
      <c r="E649" t="str">
        <f t="shared" si="37"/>
        <v>feadsle@vimeo.com</v>
      </c>
      <c r="F649" t="s">
        <v>3139</v>
      </c>
      <c r="G649" t="s">
        <v>11</v>
      </c>
      <c r="H649" t="str">
        <f t="shared" si="38"/>
        <v>Female</v>
      </c>
      <c r="I649" t="str">
        <f>"+880"&amp;RIGHT(SUBSTITUTE(SUBSTITUTE($J649," ",""),"-",""),10)</f>
        <v>+8802789461722</v>
      </c>
      <c r="J649" t="s">
        <v>3140</v>
      </c>
      <c r="K649" t="s">
        <v>13</v>
      </c>
      <c r="L649" t="str">
        <f>_xlfn.XLOOKUP($K$3,K:K,K:K,$K$2)</f>
        <v>Bangladesh</v>
      </c>
      <c r="M649" t="s">
        <v>365</v>
      </c>
      <c r="N649" t="e" vm="47">
        <f>_xlfn.XLOOKUP($M649,$O:$O,$P:$P,"")</f>
        <v>#VALUE!</v>
      </c>
    </row>
    <row r="650" spans="1:14" x14ac:dyDescent="0.25">
      <c r="A650">
        <v>772</v>
      </c>
      <c r="B650" t="str">
        <f t="shared" si="36"/>
        <v>Isadora</v>
      </c>
      <c r="C650" t="s">
        <v>3141</v>
      </c>
      <c r="D650" t="s">
        <v>3142</v>
      </c>
      <c r="E650" t="str">
        <f t="shared" si="37"/>
        <v>inernlf@reuters.com</v>
      </c>
      <c r="F650" t="s">
        <v>3143</v>
      </c>
      <c r="G650" t="s">
        <v>228</v>
      </c>
      <c r="H650" t="str">
        <f t="shared" si="38"/>
        <v>Other</v>
      </c>
      <c r="I650" t="str">
        <f>"+880"&amp;RIGHT(SUBSTITUTE(SUBSTITUTE($J650," ",""),"-",""),10)</f>
        <v>+8809436927535</v>
      </c>
      <c r="J650" t="s">
        <v>3144</v>
      </c>
      <c r="K650" t="s">
        <v>13</v>
      </c>
      <c r="L650" t="str">
        <f>_xlfn.XLOOKUP($K$3,K:K,K:K,$K$2)</f>
        <v>Bangladesh</v>
      </c>
      <c r="M650" t="s">
        <v>379</v>
      </c>
      <c r="N650" t="e" vm="49">
        <f>_xlfn.XLOOKUP($M650,$O:$O,$P:$P,"")</f>
        <v>#VALUE!</v>
      </c>
    </row>
    <row r="651" spans="1:14" x14ac:dyDescent="0.25">
      <c r="A651">
        <v>773</v>
      </c>
      <c r="B651" t="str">
        <f t="shared" si="36"/>
        <v>Freddy</v>
      </c>
      <c r="C651" t="s">
        <v>1805</v>
      </c>
      <c r="D651" t="s">
        <v>3145</v>
      </c>
      <c r="E651" t="str">
        <f t="shared" si="37"/>
        <v>fcloneylg@bizjournals.com</v>
      </c>
      <c r="F651" t="s">
        <v>3146</v>
      </c>
      <c r="G651" t="s">
        <v>18</v>
      </c>
      <c r="H651" t="str">
        <f t="shared" si="38"/>
        <v>Male</v>
      </c>
      <c r="I651" t="str">
        <f>"+880"&amp;RIGHT(SUBSTITUTE(SUBSTITUTE($J651," ",""),"-",""),10)</f>
        <v>+8809307996526</v>
      </c>
      <c r="J651" t="s">
        <v>3147</v>
      </c>
      <c r="K651" t="s">
        <v>13</v>
      </c>
      <c r="L651" t="str">
        <f>_xlfn.XLOOKUP($K$3,K:K,K:K,$K$2)</f>
        <v>Bangladesh</v>
      </c>
      <c r="M651" t="s">
        <v>296</v>
      </c>
      <c r="N651" t="e" vm="81">
        <f>_xlfn.XLOOKUP($M651,$O:$O,$P:$P,"")</f>
        <v>#VALUE!</v>
      </c>
    </row>
    <row r="652" spans="1:14" x14ac:dyDescent="0.25">
      <c r="A652">
        <v>774</v>
      </c>
      <c r="B652" t="str">
        <f t="shared" si="36"/>
        <v>Nolana</v>
      </c>
      <c r="C652" t="s">
        <v>3148</v>
      </c>
      <c r="D652" t="s">
        <v>3149</v>
      </c>
      <c r="E652" t="str">
        <f t="shared" si="37"/>
        <v>nosmentlh@weibo.com</v>
      </c>
      <c r="F652" t="s">
        <v>3150</v>
      </c>
      <c r="G652" t="s">
        <v>11</v>
      </c>
      <c r="H652" t="str">
        <f t="shared" si="38"/>
        <v>Female</v>
      </c>
      <c r="I652" t="str">
        <f>"+880"&amp;RIGHT(SUBSTITUTE(SUBSTITUTE($J652," ",""),"-",""),10)</f>
        <v>+8805226657724</v>
      </c>
      <c r="J652" t="s">
        <v>3151</v>
      </c>
      <c r="K652" t="s">
        <v>13</v>
      </c>
      <c r="L652" t="str">
        <f>_xlfn.XLOOKUP($K$3,K:K,K:K,$K$2)</f>
        <v>Bangladesh</v>
      </c>
      <c r="M652" t="s">
        <v>809</v>
      </c>
      <c r="N652" t="e" vm="74">
        <f>_xlfn.XLOOKUP($M652,$O:$O,$P:$P,"")</f>
        <v>#VALUE!</v>
      </c>
    </row>
    <row r="653" spans="1:14" x14ac:dyDescent="0.25">
      <c r="A653">
        <v>775</v>
      </c>
      <c r="B653" t="str">
        <f t="shared" si="36"/>
        <v>Esme</v>
      </c>
      <c r="C653" t="s">
        <v>3152</v>
      </c>
      <c r="D653" t="s">
        <v>3153</v>
      </c>
      <c r="E653" t="str">
        <f t="shared" si="37"/>
        <v>eellandli@themeforest.net</v>
      </c>
      <c r="F653" t="s">
        <v>3154</v>
      </c>
      <c r="G653" t="s">
        <v>18</v>
      </c>
      <c r="H653" t="str">
        <f t="shared" si="38"/>
        <v>Male</v>
      </c>
      <c r="I653" t="str">
        <f>"+880"&amp;RIGHT(SUBSTITUTE(SUBSTITUTE($J653," ",""),"-",""),10)</f>
        <v>+8809852064082</v>
      </c>
      <c r="J653" t="s">
        <v>3155</v>
      </c>
      <c r="K653" t="s">
        <v>13</v>
      </c>
      <c r="L653" t="str">
        <f>_xlfn.XLOOKUP($K$3,K:K,K:K,$K$2)</f>
        <v>Bangladesh</v>
      </c>
      <c r="M653" t="s">
        <v>322</v>
      </c>
      <c r="N653" t="e" vm="44">
        <f>_xlfn.XLOOKUP($M653,$O:$O,$P:$P,"")</f>
        <v>#VALUE!</v>
      </c>
    </row>
    <row r="654" spans="1:14" x14ac:dyDescent="0.25">
      <c r="A654">
        <v>777</v>
      </c>
      <c r="B654" t="str">
        <f t="shared" si="36"/>
        <v>Lotti</v>
      </c>
      <c r="C654" t="s">
        <v>3159</v>
      </c>
      <c r="D654" t="s">
        <v>3160</v>
      </c>
      <c r="E654" t="str">
        <f t="shared" si="37"/>
        <v>lciottolk@behance.net</v>
      </c>
      <c r="F654" t="s">
        <v>3161</v>
      </c>
      <c r="G654" t="s">
        <v>11</v>
      </c>
      <c r="H654" t="str">
        <f t="shared" si="38"/>
        <v>Female</v>
      </c>
      <c r="I654" t="str">
        <f>"+880"&amp;RIGHT(SUBSTITUTE(SUBSTITUTE($J654," ",""),"-",""),10)</f>
        <v>+8801281699336</v>
      </c>
      <c r="J654" t="s">
        <v>3162</v>
      </c>
      <c r="K654" t="s">
        <v>13</v>
      </c>
      <c r="L654" t="str">
        <f>_xlfn.XLOOKUP($K$3,K:K,K:K,$K$2)</f>
        <v>Bangladesh</v>
      </c>
      <c r="M654" t="s">
        <v>14</v>
      </c>
      <c r="N654" t="e" vm="1">
        <f>_xlfn.XLOOKUP($M654,$O:$O,$P:$P,"")</f>
        <v>#VALUE!</v>
      </c>
    </row>
    <row r="655" spans="1:14" x14ac:dyDescent="0.25">
      <c r="A655">
        <v>778</v>
      </c>
      <c r="B655" t="str">
        <f t="shared" si="36"/>
        <v>Dewitt</v>
      </c>
      <c r="C655" t="s">
        <v>3163</v>
      </c>
      <c r="D655" t="s">
        <v>3164</v>
      </c>
      <c r="E655" t="str">
        <f t="shared" si="37"/>
        <v>dtrippackll@census.gov</v>
      </c>
      <c r="F655" t="s">
        <v>3165</v>
      </c>
      <c r="G655" t="s">
        <v>18</v>
      </c>
      <c r="H655" t="str">
        <f t="shared" si="38"/>
        <v>Male</v>
      </c>
      <c r="I655" t="str">
        <f>"+880"&amp;RIGHT(SUBSTITUTE(SUBSTITUTE($J655," ",""),"-",""),10)</f>
        <v>+8801701866415</v>
      </c>
      <c r="J655" t="s">
        <v>3166</v>
      </c>
      <c r="K655" t="s">
        <v>13</v>
      </c>
      <c r="L655" t="str">
        <f>_xlfn.XLOOKUP($K$3,K:K,K:K,$K$2)</f>
        <v>Bangladesh</v>
      </c>
      <c r="M655" t="s">
        <v>66</v>
      </c>
      <c r="N655" t="e" vm="8">
        <f>_xlfn.XLOOKUP($M655,$O:$O,$P:$P,"")</f>
        <v>#VALUE!</v>
      </c>
    </row>
    <row r="656" spans="1:14" x14ac:dyDescent="0.25">
      <c r="A656">
        <v>779</v>
      </c>
      <c r="B656" t="str">
        <f t="shared" si="36"/>
        <v>Curr</v>
      </c>
      <c r="C656" t="s">
        <v>2929</v>
      </c>
      <c r="D656" t="s">
        <v>3167</v>
      </c>
      <c r="E656" t="str">
        <f t="shared" si="37"/>
        <v>ctomlettlm@independent.co.uk</v>
      </c>
      <c r="F656" t="s">
        <v>3168</v>
      </c>
      <c r="G656" t="s">
        <v>18</v>
      </c>
      <c r="H656" t="str">
        <f t="shared" si="38"/>
        <v>Male</v>
      </c>
      <c r="I656" t="str">
        <f>"+880"&amp;RIGHT(SUBSTITUTE(SUBSTITUTE($J656," ",""),"-",""),10)</f>
        <v>+8803887047206</v>
      </c>
      <c r="J656" t="s">
        <v>3169</v>
      </c>
      <c r="K656" t="s">
        <v>13</v>
      </c>
      <c r="L656" t="str">
        <f>_xlfn.XLOOKUP($K$3,K:K,K:K,$K$2)</f>
        <v>Bangladesh</v>
      </c>
      <c r="M656" t="s">
        <v>149</v>
      </c>
      <c r="N656" t="e" vm="22">
        <f>_xlfn.XLOOKUP($M656,$O:$O,$P:$P,"")</f>
        <v>#VALUE!</v>
      </c>
    </row>
    <row r="657" spans="1:14" x14ac:dyDescent="0.25">
      <c r="A657">
        <v>780</v>
      </c>
      <c r="B657" t="str">
        <f t="shared" si="36"/>
        <v>Cosimo</v>
      </c>
      <c r="C657" t="s">
        <v>3170</v>
      </c>
      <c r="D657" t="s">
        <v>3171</v>
      </c>
      <c r="E657" t="str">
        <f t="shared" si="37"/>
        <v>cgollandln@mozilla.org</v>
      </c>
      <c r="F657" t="s">
        <v>3172</v>
      </c>
      <c r="G657" t="s">
        <v>18</v>
      </c>
      <c r="H657" t="str">
        <f t="shared" si="38"/>
        <v>Male</v>
      </c>
      <c r="I657" t="str">
        <f>"+880"&amp;RIGHT(SUBSTITUTE(SUBSTITUTE($J657," ",""),"-",""),10)</f>
        <v>+8801457396812</v>
      </c>
      <c r="J657" t="s">
        <v>3173</v>
      </c>
      <c r="K657" t="s">
        <v>13</v>
      </c>
      <c r="L657" t="str">
        <f>_xlfn.XLOOKUP($K$3,K:K,K:K,$K$2)</f>
        <v>Bangladesh</v>
      </c>
      <c r="M657" t="s">
        <v>916</v>
      </c>
      <c r="N657" t="e" vm="79">
        <f>_xlfn.XLOOKUP($M657,$O:$O,$P:$P,"")</f>
        <v>#VALUE!</v>
      </c>
    </row>
    <row r="658" spans="1:14" x14ac:dyDescent="0.25">
      <c r="A658">
        <v>781</v>
      </c>
      <c r="B658" t="str">
        <f t="shared" si="36"/>
        <v>Ebony</v>
      </c>
      <c r="C658" t="s">
        <v>3174</v>
      </c>
      <c r="D658" t="s">
        <v>3175</v>
      </c>
      <c r="E658" t="str">
        <f t="shared" si="37"/>
        <v>ejouanetonlo@flavors.me</v>
      </c>
      <c r="F658" t="s">
        <v>3176</v>
      </c>
      <c r="G658" t="s">
        <v>11</v>
      </c>
      <c r="H658" t="str">
        <f t="shared" si="38"/>
        <v>Female</v>
      </c>
      <c r="I658" t="str">
        <f>"+880"&amp;RIGHT(SUBSTITUTE(SUBSTITUTE($J658," ",""),"-",""),10)</f>
        <v>+8802819620283</v>
      </c>
      <c r="J658" t="s">
        <v>3177</v>
      </c>
      <c r="K658" t="s">
        <v>4036</v>
      </c>
      <c r="L658" t="str">
        <f>_xlfn.XLOOKUP($K$3,K:K,K:K,$K$2)</f>
        <v>Bangladesh</v>
      </c>
      <c r="M658" t="s">
        <v>46</v>
      </c>
      <c r="N658" t="e" vm="5">
        <f>_xlfn.XLOOKUP($M658,$O:$O,$P:$P,"")</f>
        <v>#VALUE!</v>
      </c>
    </row>
    <row r="659" spans="1:14" x14ac:dyDescent="0.25">
      <c r="A659">
        <v>783</v>
      </c>
      <c r="B659" t="str">
        <f t="shared" si="36"/>
        <v>Selle</v>
      </c>
      <c r="C659" t="s">
        <v>3181</v>
      </c>
      <c r="D659" t="s">
        <v>3182</v>
      </c>
      <c r="E659" t="str">
        <f t="shared" si="37"/>
        <v>sledwitchlq@com.com</v>
      </c>
      <c r="F659" t="s">
        <v>3183</v>
      </c>
      <c r="G659" t="s">
        <v>228</v>
      </c>
      <c r="H659" t="str">
        <f t="shared" si="38"/>
        <v>Other</v>
      </c>
      <c r="I659" t="str">
        <f>"+880"&amp;RIGHT(SUBSTITUTE(SUBSTITUTE($J659," ",""),"-",""),10)</f>
        <v>+8807664978893</v>
      </c>
      <c r="J659" t="s">
        <v>3184</v>
      </c>
      <c r="K659" t="s">
        <v>13</v>
      </c>
      <c r="L659" t="str">
        <f>_xlfn.XLOOKUP($K$3,K:K,K:K,$K$2)</f>
        <v>Bangladesh</v>
      </c>
      <c r="M659" t="s">
        <v>374</v>
      </c>
      <c r="N659" t="e" vm="48">
        <f>_xlfn.XLOOKUP($M659,$O:$O,$P:$P,"")</f>
        <v>#VALUE!</v>
      </c>
    </row>
    <row r="660" spans="1:14" x14ac:dyDescent="0.25">
      <c r="A660">
        <v>784</v>
      </c>
      <c r="B660" t="str">
        <f t="shared" si="36"/>
        <v>Tuck</v>
      </c>
      <c r="C660" t="s">
        <v>2148</v>
      </c>
      <c r="D660" t="s">
        <v>3185</v>
      </c>
      <c r="E660" t="str">
        <f t="shared" si="37"/>
        <v>thurdislr@pagesperso-orange.fr</v>
      </c>
      <c r="F660" t="s">
        <v>3186</v>
      </c>
      <c r="G660" t="s">
        <v>18</v>
      </c>
      <c r="H660" t="str">
        <f t="shared" si="38"/>
        <v>Male</v>
      </c>
      <c r="I660" t="str">
        <f>"+880"&amp;RIGHT(SUBSTITUTE(SUBSTITUTE($J660," ",""),"-",""),10)</f>
        <v>+8805383613348</v>
      </c>
      <c r="J660" t="s">
        <v>3187</v>
      </c>
      <c r="K660" t="s">
        <v>13</v>
      </c>
      <c r="L660" t="str">
        <f>_xlfn.XLOOKUP($K$3,K:K,K:K,$K$2)</f>
        <v>Bangladesh</v>
      </c>
      <c r="M660" t="s">
        <v>168</v>
      </c>
      <c r="N660" t="e" vm="25">
        <f>_xlfn.XLOOKUP($M660,$O:$O,$P:$P,"")</f>
        <v>#VALUE!</v>
      </c>
    </row>
    <row r="661" spans="1:14" x14ac:dyDescent="0.25">
      <c r="A661">
        <v>785</v>
      </c>
      <c r="B661" t="str">
        <f t="shared" si="36"/>
        <v>Sherwynd</v>
      </c>
      <c r="C661" t="s">
        <v>3188</v>
      </c>
      <c r="D661" t="s">
        <v>3189</v>
      </c>
      <c r="E661" t="str">
        <f t="shared" si="37"/>
        <v>sudyls@pinterest.com</v>
      </c>
      <c r="F661" t="s">
        <v>3190</v>
      </c>
      <c r="G661" t="s">
        <v>18</v>
      </c>
      <c r="H661" t="str">
        <f t="shared" si="38"/>
        <v>Male</v>
      </c>
      <c r="I661" t="str">
        <f>"+880"&amp;RIGHT(SUBSTITUTE(SUBSTITUTE($J661," ",""),"-",""),10)</f>
        <v>+8804584904050</v>
      </c>
      <c r="J661" t="s">
        <v>3191</v>
      </c>
      <c r="K661" t="s">
        <v>13</v>
      </c>
      <c r="L661" t="str">
        <f>_xlfn.XLOOKUP($K$3,K:K,K:K,$K$2)</f>
        <v>Bangladesh</v>
      </c>
      <c r="M661" t="s">
        <v>425</v>
      </c>
      <c r="N661" t="e" vm="51">
        <f>_xlfn.XLOOKUP($M661,$O:$O,$P:$P,"")</f>
        <v>#VALUE!</v>
      </c>
    </row>
    <row r="662" spans="1:14" x14ac:dyDescent="0.25">
      <c r="A662">
        <v>786</v>
      </c>
      <c r="B662" t="str">
        <f t="shared" si="36"/>
        <v>Arnoldo</v>
      </c>
      <c r="C662" t="s">
        <v>3192</v>
      </c>
      <c r="D662" t="s">
        <v>3193</v>
      </c>
      <c r="E662" t="str">
        <f t="shared" si="37"/>
        <v>abetholt@tmall.com</v>
      </c>
      <c r="F662" t="s">
        <v>3194</v>
      </c>
      <c r="G662" t="s">
        <v>18</v>
      </c>
      <c r="H662" t="str">
        <f t="shared" si="38"/>
        <v>Male</v>
      </c>
      <c r="I662" t="str">
        <f>"+880"&amp;RIGHT(SUBSTITUTE(SUBSTITUTE($J662," ",""),"-",""),10)</f>
        <v>+8805539271999</v>
      </c>
      <c r="J662" t="s">
        <v>3195</v>
      </c>
      <c r="K662" t="s">
        <v>13</v>
      </c>
      <c r="L662" t="str">
        <f>_xlfn.XLOOKUP($K$3,K:K,K:K,$K$2)</f>
        <v>Bangladesh</v>
      </c>
      <c r="M662" t="s">
        <v>210</v>
      </c>
      <c r="N662" t="e" vm="31">
        <f>_xlfn.XLOOKUP($M662,$O:$O,$P:$P,"")</f>
        <v>#VALUE!</v>
      </c>
    </row>
    <row r="663" spans="1:14" x14ac:dyDescent="0.25">
      <c r="A663">
        <v>787</v>
      </c>
      <c r="B663" t="str">
        <f t="shared" si="36"/>
        <v>Joell</v>
      </c>
      <c r="C663" t="s">
        <v>3196</v>
      </c>
      <c r="D663" t="s">
        <v>3197</v>
      </c>
      <c r="E663" t="str">
        <f t="shared" si="37"/>
        <v>jdeamlu@gnu.org</v>
      </c>
      <c r="F663" t="s">
        <v>3198</v>
      </c>
      <c r="G663" t="s">
        <v>11</v>
      </c>
      <c r="H663" t="str">
        <f t="shared" si="38"/>
        <v>Female</v>
      </c>
      <c r="I663" t="str">
        <f>"+880"&amp;RIGHT(SUBSTITUTE(SUBSTITUTE($J663," ",""),"-",""),10)</f>
        <v>+8808286925699</v>
      </c>
      <c r="J663" t="s">
        <v>3199</v>
      </c>
      <c r="K663" t="s">
        <v>13</v>
      </c>
      <c r="L663" t="str">
        <f>_xlfn.XLOOKUP($K$3,K:K,K:K,$K$2)</f>
        <v>Bangladesh</v>
      </c>
      <c r="M663" t="s">
        <v>379</v>
      </c>
      <c r="N663" t="e" vm="49">
        <f>_xlfn.XLOOKUP($M663,$O:$O,$P:$P,"")</f>
        <v>#VALUE!</v>
      </c>
    </row>
    <row r="664" spans="1:14" x14ac:dyDescent="0.25">
      <c r="A664">
        <v>788</v>
      </c>
      <c r="B664" t="str">
        <f t="shared" si="36"/>
        <v>Anallise</v>
      </c>
      <c r="C664" t="s">
        <v>3200</v>
      </c>
      <c r="D664" t="s">
        <v>3201</v>
      </c>
      <c r="E664" t="str">
        <f t="shared" si="37"/>
        <v>avecklv@tuttocitta.it</v>
      </c>
      <c r="F664" t="s">
        <v>3202</v>
      </c>
      <c r="G664" t="s">
        <v>11</v>
      </c>
      <c r="H664" t="str">
        <f t="shared" si="38"/>
        <v>Female</v>
      </c>
      <c r="I664" t="str">
        <f>"+880"&amp;RIGHT(SUBSTITUTE(SUBSTITUTE($J664," ",""),"-",""),10)</f>
        <v>+8807783253070</v>
      </c>
      <c r="J664" t="s">
        <v>3203</v>
      </c>
      <c r="K664" t="s">
        <v>13</v>
      </c>
      <c r="L664" t="str">
        <f>_xlfn.XLOOKUP($K$3,K:K,K:K,$K$2)</f>
        <v>Bangladesh</v>
      </c>
      <c r="M664" t="s">
        <v>215</v>
      </c>
      <c r="N664" t="e" vm="32">
        <f>_xlfn.XLOOKUP($M664,$O:$O,$P:$P,"")</f>
        <v>#VALUE!</v>
      </c>
    </row>
    <row r="665" spans="1:14" x14ac:dyDescent="0.25">
      <c r="A665">
        <v>789</v>
      </c>
      <c r="B665" t="str">
        <f t="shared" si="36"/>
        <v>Osgood</v>
      </c>
      <c r="C665" t="s">
        <v>3204</v>
      </c>
      <c r="D665" t="s">
        <v>3205</v>
      </c>
      <c r="E665" t="str">
        <f t="shared" si="37"/>
        <v>odesouzalw@bandcamp.com</v>
      </c>
      <c r="F665" t="s">
        <v>3206</v>
      </c>
      <c r="G665" t="s">
        <v>18</v>
      </c>
      <c r="H665" t="str">
        <f t="shared" si="38"/>
        <v>Male</v>
      </c>
      <c r="I665" t="str">
        <f>"+880"&amp;RIGHT(SUBSTITUTE(SUBSTITUTE($J665," ",""),"-",""),10)</f>
        <v>+8807733094338</v>
      </c>
      <c r="J665" t="s">
        <v>3207</v>
      </c>
      <c r="K665" t="s">
        <v>13</v>
      </c>
      <c r="L665" t="str">
        <f>_xlfn.XLOOKUP($K$3,K:K,K:K,$K$2)</f>
        <v>Bangladesh</v>
      </c>
      <c r="M665" t="s">
        <v>365</v>
      </c>
      <c r="N665" t="e" vm="47">
        <f>_xlfn.XLOOKUP($M665,$O:$O,$P:$P,"")</f>
        <v>#VALUE!</v>
      </c>
    </row>
    <row r="666" spans="1:14" x14ac:dyDescent="0.25">
      <c r="A666">
        <v>790</v>
      </c>
      <c r="B666" t="str">
        <f t="shared" si="36"/>
        <v>Broderick</v>
      </c>
      <c r="C666" t="s">
        <v>3208</v>
      </c>
      <c r="D666" t="s">
        <v>3209</v>
      </c>
      <c r="E666" t="str">
        <f t="shared" si="37"/>
        <v>bplattlx@wordpress.org</v>
      </c>
      <c r="F666" t="s">
        <v>3210</v>
      </c>
      <c r="G666" t="s">
        <v>18</v>
      </c>
      <c r="H666" t="str">
        <f t="shared" si="38"/>
        <v>Male</v>
      </c>
      <c r="I666" t="str">
        <f>"+880"&amp;RIGHT(SUBSTITUTE(SUBSTITUTE($J666," ",""),"-",""),10)</f>
        <v>+8808434682780</v>
      </c>
      <c r="J666" t="s">
        <v>3211</v>
      </c>
      <c r="K666" t="s">
        <v>13</v>
      </c>
      <c r="L666" t="str">
        <f>_xlfn.XLOOKUP($K$3,K:K,K:K,$K$2)</f>
        <v>Bangladesh</v>
      </c>
      <c r="M666" t="s">
        <v>115</v>
      </c>
      <c r="N666" t="e" vm="17">
        <f>_xlfn.XLOOKUP($M666,$O:$O,$P:$P,"")</f>
        <v>#VALUE!</v>
      </c>
    </row>
    <row r="667" spans="1:14" x14ac:dyDescent="0.25">
      <c r="A667">
        <v>791</v>
      </c>
      <c r="B667" t="str">
        <f t="shared" si="36"/>
        <v>Delmar</v>
      </c>
      <c r="C667" t="s">
        <v>3212</v>
      </c>
      <c r="D667" t="s">
        <v>3213</v>
      </c>
      <c r="E667" t="str">
        <f t="shared" si="37"/>
        <v>dchingly@cisco.com</v>
      </c>
      <c r="F667" t="s">
        <v>3214</v>
      </c>
      <c r="G667" t="s">
        <v>18</v>
      </c>
      <c r="H667" t="str">
        <f t="shared" si="38"/>
        <v>Male</v>
      </c>
      <c r="I667" t="str">
        <f>"+880"&amp;RIGHT(SUBSTITUTE(SUBSTITUTE($J667," ",""),"-",""),10)</f>
        <v>+8803073737745</v>
      </c>
      <c r="J667" t="s">
        <v>3215</v>
      </c>
      <c r="K667" t="s">
        <v>13</v>
      </c>
      <c r="L667" t="str">
        <f>_xlfn.XLOOKUP($K$3,K:K,K:K,$K$2)</f>
        <v>Bangladesh</v>
      </c>
      <c r="M667" t="s">
        <v>322</v>
      </c>
      <c r="N667" t="e" vm="44">
        <f>_xlfn.XLOOKUP($M667,$O:$O,$P:$P,"")</f>
        <v>#VALUE!</v>
      </c>
    </row>
    <row r="668" spans="1:14" x14ac:dyDescent="0.25">
      <c r="A668">
        <v>792</v>
      </c>
      <c r="B668" t="str">
        <f t="shared" si="36"/>
        <v>Marylynne</v>
      </c>
      <c r="C668" t="s">
        <v>239</v>
      </c>
      <c r="D668" t="s">
        <v>3216</v>
      </c>
      <c r="E668" t="str">
        <f t="shared" si="37"/>
        <v>mmerridaylz@army.mil</v>
      </c>
      <c r="F668" t="s">
        <v>3217</v>
      </c>
      <c r="G668" t="s">
        <v>280</v>
      </c>
      <c r="H668" t="str">
        <f t="shared" si="38"/>
        <v>Other</v>
      </c>
      <c r="I668" t="str">
        <f>"+880"&amp;RIGHT(SUBSTITUTE(SUBSTITUTE($J668," ",""),"-",""),10)</f>
        <v>+8802464759184</v>
      </c>
      <c r="J668" t="s">
        <v>3218</v>
      </c>
      <c r="K668" t="s">
        <v>13</v>
      </c>
      <c r="L668" t="str">
        <f>_xlfn.XLOOKUP($K$3,K:K,K:K,$K$2)</f>
        <v>Bangladesh</v>
      </c>
      <c r="M668" t="s">
        <v>650</v>
      </c>
      <c r="N668" t="e" vm="65">
        <f>_xlfn.XLOOKUP($M668,$O:$O,$P:$P,"")</f>
        <v>#VALUE!</v>
      </c>
    </row>
    <row r="669" spans="1:14" x14ac:dyDescent="0.25">
      <c r="A669">
        <v>793</v>
      </c>
      <c r="B669" t="str">
        <f t="shared" si="36"/>
        <v>Derrek</v>
      </c>
      <c r="C669" t="s">
        <v>3219</v>
      </c>
      <c r="D669" t="s">
        <v>3220</v>
      </c>
      <c r="E669" t="str">
        <f t="shared" si="37"/>
        <v>dwankam0@icq.com</v>
      </c>
      <c r="F669" t="s">
        <v>3221</v>
      </c>
      <c r="G669" t="s">
        <v>18</v>
      </c>
      <c r="H669" t="str">
        <f t="shared" si="38"/>
        <v>Male</v>
      </c>
      <c r="I669" t="str">
        <f>"+880"&amp;RIGHT(SUBSTITUTE(SUBSTITUTE($J669," ",""),"-",""),10)</f>
        <v>+8806292321251</v>
      </c>
      <c r="J669" t="s">
        <v>3222</v>
      </c>
      <c r="K669" t="s">
        <v>13</v>
      </c>
      <c r="L669" t="str">
        <f>_xlfn.XLOOKUP($K$3,K:K,K:K,$K$2)</f>
        <v>Bangladesh</v>
      </c>
      <c r="M669" t="s">
        <v>230</v>
      </c>
      <c r="N669" t="e" vm="34">
        <f>_xlfn.XLOOKUP($M669,$O:$O,$P:$P,"")</f>
        <v>#VALUE!</v>
      </c>
    </row>
    <row r="670" spans="1:14" x14ac:dyDescent="0.25">
      <c r="A670">
        <v>794</v>
      </c>
      <c r="B670" t="str">
        <f t="shared" si="36"/>
        <v>Joelle</v>
      </c>
      <c r="C670" t="s">
        <v>3223</v>
      </c>
      <c r="D670" t="s">
        <v>3224</v>
      </c>
      <c r="E670" t="str">
        <f t="shared" si="37"/>
        <v>jshipseym1@newyorker.com</v>
      </c>
      <c r="F670" t="s">
        <v>3225</v>
      </c>
      <c r="G670" t="s">
        <v>280</v>
      </c>
      <c r="H670" t="str">
        <f t="shared" si="38"/>
        <v>Other</v>
      </c>
      <c r="I670" t="str">
        <f>"+880"&amp;RIGHT(SUBSTITUTE(SUBSTITUTE($J670," ",""),"-",""),10)</f>
        <v>+8804396085430</v>
      </c>
      <c r="J670" t="s">
        <v>3226</v>
      </c>
      <c r="K670" t="s">
        <v>13</v>
      </c>
      <c r="L670" t="str">
        <f>_xlfn.XLOOKUP($K$3,K:K,K:K,$K$2)</f>
        <v>Bangladesh</v>
      </c>
      <c r="M670" t="s">
        <v>101</v>
      </c>
      <c r="N670" t="e" vm="15">
        <f>_xlfn.XLOOKUP($M670,$O:$O,$P:$P,"")</f>
        <v>#VALUE!</v>
      </c>
    </row>
    <row r="671" spans="1:14" x14ac:dyDescent="0.25">
      <c r="A671">
        <v>795</v>
      </c>
      <c r="B671" t="str">
        <f t="shared" si="36"/>
        <v>Marlyn</v>
      </c>
      <c r="C671" t="s">
        <v>3227</v>
      </c>
      <c r="D671" t="s">
        <v>3228</v>
      </c>
      <c r="E671" t="str">
        <f t="shared" si="37"/>
        <v>mfellm2@flickr.com</v>
      </c>
      <c r="F671" t="s">
        <v>3229</v>
      </c>
      <c r="G671" t="s">
        <v>11</v>
      </c>
      <c r="H671" t="str">
        <f t="shared" si="38"/>
        <v>Female</v>
      </c>
      <c r="I671" t="str">
        <f>"+880"&amp;RIGHT(SUBSTITUTE(SUBSTITUTE($J671," ",""),"-",""),10)</f>
        <v>+8809736614492</v>
      </c>
      <c r="J671" t="s">
        <v>3230</v>
      </c>
      <c r="K671" t="s">
        <v>13</v>
      </c>
      <c r="L671" t="str">
        <f>_xlfn.XLOOKUP($K$3,K:K,K:K,$K$2)</f>
        <v>Bangladesh</v>
      </c>
      <c r="M671" t="s">
        <v>379</v>
      </c>
      <c r="N671" t="e" vm="49">
        <f>_xlfn.XLOOKUP($M671,$O:$O,$P:$P,"")</f>
        <v>#VALUE!</v>
      </c>
    </row>
    <row r="672" spans="1:14" x14ac:dyDescent="0.25">
      <c r="A672">
        <v>796</v>
      </c>
      <c r="B672" t="str">
        <f t="shared" si="36"/>
        <v>Oralie</v>
      </c>
      <c r="C672" t="s">
        <v>3231</v>
      </c>
      <c r="D672" t="s">
        <v>3232</v>
      </c>
      <c r="E672" t="str">
        <f t="shared" si="37"/>
        <v>owilderm3@dell.com</v>
      </c>
      <c r="F672" t="s">
        <v>3233</v>
      </c>
      <c r="G672" t="s">
        <v>11</v>
      </c>
      <c r="H672" t="str">
        <f t="shared" si="38"/>
        <v>Female</v>
      </c>
      <c r="I672" t="str">
        <f>"+880"&amp;RIGHT(SUBSTITUTE(SUBSTITUTE($J672," ",""),"-",""),10)</f>
        <v>+8808374877904</v>
      </c>
      <c r="J672" t="s">
        <v>3234</v>
      </c>
      <c r="K672" t="s">
        <v>13</v>
      </c>
      <c r="L672" t="str">
        <f>_xlfn.XLOOKUP($K$3,K:K,K:K,$K$2)</f>
        <v>Bangladesh</v>
      </c>
      <c r="M672" t="s">
        <v>336</v>
      </c>
      <c r="N672" t="e" vm="45">
        <f>_xlfn.XLOOKUP($M672,$O:$O,$P:$P,"")</f>
        <v>#VALUE!</v>
      </c>
    </row>
    <row r="673" spans="1:14" x14ac:dyDescent="0.25">
      <c r="A673">
        <v>797</v>
      </c>
      <c r="B673" t="str">
        <f t="shared" si="36"/>
        <v>Hersch</v>
      </c>
      <c r="C673" t="s">
        <v>3235</v>
      </c>
      <c r="D673" t="s">
        <v>3236</v>
      </c>
      <c r="E673" t="str">
        <f t="shared" si="37"/>
        <v>hcheneym4@nydailynews.com</v>
      </c>
      <c r="F673" t="s">
        <v>3237</v>
      </c>
      <c r="G673" t="s">
        <v>18</v>
      </c>
      <c r="H673" t="str">
        <f t="shared" si="38"/>
        <v>Male</v>
      </c>
      <c r="I673" t="str">
        <f>"+880"&amp;RIGHT(SUBSTITUTE(SUBSTITUTE($J673," ",""),"-",""),10)</f>
        <v>+8804132029527</v>
      </c>
      <c r="J673" t="s">
        <v>3238</v>
      </c>
      <c r="K673" t="s">
        <v>13</v>
      </c>
      <c r="L673" t="str">
        <f>_xlfn.XLOOKUP($K$3,K:K,K:K,$K$2)</f>
        <v>Bangladesh</v>
      </c>
      <c r="M673" t="s">
        <v>933</v>
      </c>
      <c r="N673" t="e" vm="77">
        <f>_xlfn.XLOOKUP($M673,$O:$O,$P:$P,"")</f>
        <v>#VALUE!</v>
      </c>
    </row>
    <row r="674" spans="1:14" x14ac:dyDescent="0.25">
      <c r="A674">
        <v>798</v>
      </c>
      <c r="B674" t="str">
        <f t="shared" si="36"/>
        <v>Natty</v>
      </c>
      <c r="C674" t="s">
        <v>3239</v>
      </c>
      <c r="D674" t="s">
        <v>3240</v>
      </c>
      <c r="E674" t="str">
        <f t="shared" si="37"/>
        <v>nescaleram5@blogspot.com</v>
      </c>
      <c r="F674" t="s">
        <v>3241</v>
      </c>
      <c r="G674" t="s">
        <v>18</v>
      </c>
      <c r="H674" t="str">
        <f t="shared" si="38"/>
        <v>Male</v>
      </c>
      <c r="I674" t="str">
        <f>"+880"&amp;RIGHT(SUBSTITUTE(SUBSTITUTE($J674," ",""),"-",""),10)</f>
        <v>+8803377090267</v>
      </c>
      <c r="J674" t="s">
        <v>3242</v>
      </c>
      <c r="K674" t="s">
        <v>13</v>
      </c>
      <c r="L674" t="str">
        <f>_xlfn.XLOOKUP($K$3,K:K,K:K,$K$2)</f>
        <v>Bangladesh</v>
      </c>
      <c r="M674" t="s">
        <v>322</v>
      </c>
      <c r="N674" t="e" vm="44">
        <f>_xlfn.XLOOKUP($M674,$O:$O,$P:$P,"")</f>
        <v>#VALUE!</v>
      </c>
    </row>
    <row r="675" spans="1:14" x14ac:dyDescent="0.25">
      <c r="A675">
        <v>800</v>
      </c>
      <c r="B675" t="str">
        <f t="shared" si="36"/>
        <v>Dukie</v>
      </c>
      <c r="C675" t="s">
        <v>3246</v>
      </c>
      <c r="D675" t="s">
        <v>3247</v>
      </c>
      <c r="E675" t="str">
        <f t="shared" si="37"/>
        <v>drodgerm7@bravesites.com</v>
      </c>
      <c r="F675" t="s">
        <v>3248</v>
      </c>
      <c r="G675" t="s">
        <v>29</v>
      </c>
      <c r="H675" t="str">
        <f t="shared" si="38"/>
        <v>Other</v>
      </c>
      <c r="I675" t="str">
        <f>"+880"&amp;RIGHT(SUBSTITUTE(SUBSTITUTE($J675," ",""),"-",""),10)</f>
        <v>+8807175502589</v>
      </c>
      <c r="J675" t="s">
        <v>3249</v>
      </c>
      <c r="K675" t="s">
        <v>13</v>
      </c>
      <c r="L675" t="str">
        <f>_xlfn.XLOOKUP($K$3,K:K,K:K,$K$2)</f>
        <v>Bangladesh</v>
      </c>
      <c r="M675" t="s">
        <v>365</v>
      </c>
      <c r="N675" t="e" vm="47">
        <f>_xlfn.XLOOKUP($M675,$O:$O,$P:$P,"")</f>
        <v>#VALUE!</v>
      </c>
    </row>
    <row r="676" spans="1:14" x14ac:dyDescent="0.25">
      <c r="A676">
        <v>801</v>
      </c>
      <c r="B676" t="str">
        <f t="shared" si="36"/>
        <v>Joelle</v>
      </c>
      <c r="C676" t="s">
        <v>3223</v>
      </c>
      <c r="D676" t="s">
        <v>3171</v>
      </c>
      <c r="E676" t="str">
        <f t="shared" si="37"/>
        <v>jgollandm8@ow.ly</v>
      </c>
      <c r="F676" t="s">
        <v>3250</v>
      </c>
      <c r="G676" t="s">
        <v>11</v>
      </c>
      <c r="H676" t="str">
        <f t="shared" si="38"/>
        <v>Female</v>
      </c>
      <c r="I676" t="str">
        <f>"+880"&amp;RIGHT(SUBSTITUTE(SUBSTITUTE($J676," ",""),"-",""),10)</f>
        <v>+8801246508883</v>
      </c>
      <c r="J676" t="s">
        <v>3251</v>
      </c>
      <c r="K676" t="s">
        <v>13</v>
      </c>
      <c r="L676" t="str">
        <f>_xlfn.XLOOKUP($K$3,K:K,K:K,$K$2)</f>
        <v>Bangladesh</v>
      </c>
      <c r="M676" t="s">
        <v>252</v>
      </c>
      <c r="N676" t="e" vm="36">
        <f>_xlfn.XLOOKUP($M676,$O:$O,$P:$P,"")</f>
        <v>#VALUE!</v>
      </c>
    </row>
    <row r="677" spans="1:14" x14ac:dyDescent="0.25">
      <c r="A677">
        <v>802</v>
      </c>
      <c r="B677" t="str">
        <f t="shared" si="36"/>
        <v>Noach</v>
      </c>
      <c r="C677" t="s">
        <v>3252</v>
      </c>
      <c r="D677" t="s">
        <v>3253</v>
      </c>
      <c r="E677" t="str">
        <f t="shared" si="37"/>
        <v>neamm9@independent.co.uk</v>
      </c>
      <c r="F677" t="s">
        <v>3254</v>
      </c>
      <c r="G677" t="s">
        <v>18</v>
      </c>
      <c r="H677" t="str">
        <f t="shared" si="38"/>
        <v>Male</v>
      </c>
      <c r="I677" t="str">
        <f>"+880"&amp;RIGHT(SUBSTITUTE(SUBSTITUTE($J677," ",""),"-",""),10)</f>
        <v>+8802746950956</v>
      </c>
      <c r="J677" t="s">
        <v>3255</v>
      </c>
      <c r="K677" t="s">
        <v>13</v>
      </c>
      <c r="L677" t="str">
        <f>_xlfn.XLOOKUP($K$3,K:K,K:K,$K$2)</f>
        <v>Bangladesh</v>
      </c>
      <c r="M677" t="s">
        <v>650</v>
      </c>
      <c r="N677" t="e" vm="65">
        <f>_xlfn.XLOOKUP($M677,$O:$O,$P:$P,"")</f>
        <v>#VALUE!</v>
      </c>
    </row>
    <row r="678" spans="1:14" x14ac:dyDescent="0.25">
      <c r="A678">
        <v>803</v>
      </c>
      <c r="B678" t="str">
        <f t="shared" si="36"/>
        <v>Winslow</v>
      </c>
      <c r="C678" t="s">
        <v>3256</v>
      </c>
      <c r="D678" t="s">
        <v>3257</v>
      </c>
      <c r="E678" t="str">
        <f t="shared" si="37"/>
        <v>whaslockema@de.vu</v>
      </c>
      <c r="F678" t="s">
        <v>3258</v>
      </c>
      <c r="G678" t="s">
        <v>18</v>
      </c>
      <c r="H678" t="str">
        <f t="shared" si="38"/>
        <v>Male</v>
      </c>
      <c r="I678" t="str">
        <f>"+880"&amp;RIGHT(SUBSTITUTE(SUBSTITUTE($J678," ",""),"-",""),10)</f>
        <v>+8806447124016</v>
      </c>
      <c r="J678" t="s">
        <v>3259</v>
      </c>
      <c r="K678" t="s">
        <v>13</v>
      </c>
      <c r="L678" t="str">
        <f>_xlfn.XLOOKUP($K$3,K:K,K:K,$K$2)</f>
        <v>Bangladesh</v>
      </c>
      <c r="M678" t="s">
        <v>655</v>
      </c>
      <c r="N678" t="e" vm="66">
        <f>_xlfn.XLOOKUP($M678,$O:$O,$P:$P,"")</f>
        <v>#VALUE!</v>
      </c>
    </row>
    <row r="679" spans="1:14" x14ac:dyDescent="0.25">
      <c r="A679">
        <v>804</v>
      </c>
      <c r="B679" t="str">
        <f t="shared" si="36"/>
        <v>Abbie</v>
      </c>
      <c r="C679" t="s">
        <v>3260</v>
      </c>
      <c r="D679" t="s">
        <v>3261</v>
      </c>
      <c r="E679" t="str">
        <f t="shared" si="37"/>
        <v>avoelkermb@wisc.edu</v>
      </c>
      <c r="F679" t="s">
        <v>3262</v>
      </c>
      <c r="G679" t="s">
        <v>18</v>
      </c>
      <c r="H679" t="str">
        <f t="shared" si="38"/>
        <v>Male</v>
      </c>
      <c r="I679" t="str">
        <f>"+880"&amp;RIGHT(SUBSTITUTE(SUBSTITUTE($J679," ",""),"-",""),10)</f>
        <v>+8806964730727</v>
      </c>
      <c r="J679" t="s">
        <v>3263</v>
      </c>
      <c r="K679" t="s">
        <v>13</v>
      </c>
      <c r="L679" t="str">
        <f>_xlfn.XLOOKUP($K$3,K:K,K:K,$K$2)</f>
        <v>Bangladesh</v>
      </c>
      <c r="M679" t="s">
        <v>317</v>
      </c>
      <c r="N679" t="e" vm="43">
        <f>_xlfn.XLOOKUP($M679,$O:$O,$P:$P,"")</f>
        <v>#VALUE!</v>
      </c>
    </row>
    <row r="680" spans="1:14" x14ac:dyDescent="0.25">
      <c r="A680">
        <v>806</v>
      </c>
      <c r="B680" t="str">
        <f t="shared" si="36"/>
        <v>Mikol</v>
      </c>
      <c r="C680" t="s">
        <v>3268</v>
      </c>
      <c r="D680" t="s">
        <v>3269</v>
      </c>
      <c r="E680" t="str">
        <f t="shared" si="37"/>
        <v>mmacpheemd@51.la</v>
      </c>
      <c r="F680" t="s">
        <v>3270</v>
      </c>
      <c r="G680" t="s">
        <v>18</v>
      </c>
      <c r="H680" t="str">
        <f t="shared" si="38"/>
        <v>Male</v>
      </c>
      <c r="I680" t="str">
        <f>"+880"&amp;RIGHT(SUBSTITUTE(SUBSTITUTE($J680," ",""),"-",""),10)</f>
        <v>+8801842517074</v>
      </c>
      <c r="J680" t="s">
        <v>3271</v>
      </c>
      <c r="K680" t="s">
        <v>13</v>
      </c>
      <c r="L680" t="str">
        <f>_xlfn.XLOOKUP($K$3,K:K,K:K,$K$2)</f>
        <v>Bangladesh</v>
      </c>
      <c r="M680" t="s">
        <v>687</v>
      </c>
      <c r="N680" t="e" vm="69">
        <f>_xlfn.XLOOKUP($M680,$O:$O,$P:$P,"")</f>
        <v>#VALUE!</v>
      </c>
    </row>
    <row r="681" spans="1:14" x14ac:dyDescent="0.25">
      <c r="A681">
        <v>807</v>
      </c>
      <c r="B681" t="str">
        <f t="shared" si="36"/>
        <v>Thain</v>
      </c>
      <c r="C681" t="s">
        <v>3272</v>
      </c>
      <c r="D681" t="s">
        <v>3273</v>
      </c>
      <c r="E681" t="str">
        <f t="shared" si="37"/>
        <v>tvandenbroekme@wordpress.org</v>
      </c>
      <c r="F681" t="s">
        <v>3274</v>
      </c>
      <c r="G681" t="s">
        <v>18</v>
      </c>
      <c r="H681" t="str">
        <f t="shared" si="38"/>
        <v>Male</v>
      </c>
      <c r="I681" t="str">
        <f>"+880"&amp;RIGHT(SUBSTITUTE(SUBSTITUTE($J681," ",""),"-",""),10)</f>
        <v>+8805657791088</v>
      </c>
      <c r="J681" t="s">
        <v>3275</v>
      </c>
      <c r="K681" t="s">
        <v>13</v>
      </c>
      <c r="L681" t="str">
        <f>_xlfn.XLOOKUP($K$3,K:K,K:K,$K$2)</f>
        <v>Bangladesh</v>
      </c>
      <c r="M681" t="s">
        <v>149</v>
      </c>
      <c r="N681" t="e" vm="22">
        <f>_xlfn.XLOOKUP($M681,$O:$O,$P:$P,"")</f>
        <v>#VALUE!</v>
      </c>
    </row>
    <row r="682" spans="1:14" x14ac:dyDescent="0.25">
      <c r="A682">
        <v>808</v>
      </c>
      <c r="B682" t="str">
        <f t="shared" si="36"/>
        <v>Germayne</v>
      </c>
      <c r="C682" t="s">
        <v>3276</v>
      </c>
      <c r="D682" t="s">
        <v>3277</v>
      </c>
      <c r="E682" t="str">
        <f t="shared" si="37"/>
        <v>ggergusmf@opensource.org</v>
      </c>
      <c r="F682" t="s">
        <v>3278</v>
      </c>
      <c r="G682" t="s">
        <v>18</v>
      </c>
      <c r="H682" t="str">
        <f t="shared" si="38"/>
        <v>Male</v>
      </c>
      <c r="I682" t="str">
        <f>"+880"&amp;RIGHT(SUBSTITUTE(SUBSTITUTE($J682," ",""),"-",""),10)</f>
        <v>+8807775417398</v>
      </c>
      <c r="J682" t="s">
        <v>3279</v>
      </c>
      <c r="K682" t="s">
        <v>13</v>
      </c>
      <c r="L682" t="str">
        <f>_xlfn.XLOOKUP($K$3,K:K,K:K,$K$2)</f>
        <v>Bangladesh</v>
      </c>
      <c r="M682" t="s">
        <v>308</v>
      </c>
      <c r="N682" t="e" vm="42">
        <f>_xlfn.XLOOKUP($M682,$O:$O,$P:$P,"")</f>
        <v>#VALUE!</v>
      </c>
    </row>
    <row r="683" spans="1:14" x14ac:dyDescent="0.25">
      <c r="A683">
        <v>809</v>
      </c>
      <c r="B683" t="str">
        <f t="shared" si="36"/>
        <v>Ardene</v>
      </c>
      <c r="C683" t="s">
        <v>3280</v>
      </c>
      <c r="D683" t="s">
        <v>3281</v>
      </c>
      <c r="E683" t="str">
        <f t="shared" si="37"/>
        <v>apantonmg@csmonitor.com</v>
      </c>
      <c r="F683" t="s">
        <v>3282</v>
      </c>
      <c r="G683" t="s">
        <v>11</v>
      </c>
      <c r="H683" t="str">
        <f t="shared" si="38"/>
        <v>Female</v>
      </c>
      <c r="I683" t="str">
        <f>"+880"&amp;RIGHT(SUBSTITUTE(SUBSTITUTE($J683," ",""),"-",""),10)</f>
        <v>+8806247141419</v>
      </c>
      <c r="J683" t="s">
        <v>3283</v>
      </c>
      <c r="K683" t="s">
        <v>13</v>
      </c>
      <c r="L683" t="str">
        <f>_xlfn.XLOOKUP($K$3,K:K,K:K,$K$2)</f>
        <v>Bangladesh</v>
      </c>
      <c r="M683" t="s">
        <v>317</v>
      </c>
      <c r="N683" t="e" vm="43">
        <f>_xlfn.XLOOKUP($M683,$O:$O,$P:$P,"")</f>
        <v>#VALUE!</v>
      </c>
    </row>
    <row r="684" spans="1:14" x14ac:dyDescent="0.25">
      <c r="A684">
        <v>810</v>
      </c>
      <c r="B684" t="str">
        <f t="shared" si="36"/>
        <v>Sile</v>
      </c>
      <c r="C684" t="s">
        <v>3284</v>
      </c>
      <c r="D684" t="s">
        <v>3285</v>
      </c>
      <c r="E684" t="str">
        <f t="shared" si="37"/>
        <v>smegarrellmh@abc.net.au</v>
      </c>
      <c r="F684" t="s">
        <v>3286</v>
      </c>
      <c r="G684" t="s">
        <v>11</v>
      </c>
      <c r="H684" t="str">
        <f t="shared" si="38"/>
        <v>Female</v>
      </c>
      <c r="I684" t="str">
        <f>"+880"&amp;RIGHT(SUBSTITUTE(SUBSTITUTE($J684," ",""),"-",""),10)</f>
        <v>+8809221601331</v>
      </c>
      <c r="J684" t="s">
        <v>3287</v>
      </c>
      <c r="K684" t="s">
        <v>13</v>
      </c>
      <c r="L684" t="str">
        <f>_xlfn.XLOOKUP($K$3,K:K,K:K,$K$2)</f>
        <v>Bangladesh</v>
      </c>
      <c r="M684" t="s">
        <v>20</v>
      </c>
      <c r="N684" t="e" vm="2">
        <f>_xlfn.XLOOKUP($M684,$O:$O,$P:$P,"")</f>
        <v>#VALUE!</v>
      </c>
    </row>
    <row r="685" spans="1:14" x14ac:dyDescent="0.25">
      <c r="A685">
        <v>812</v>
      </c>
      <c r="B685" t="str">
        <f t="shared" si="36"/>
        <v>Fidel</v>
      </c>
      <c r="C685" t="s">
        <v>3291</v>
      </c>
      <c r="D685" t="s">
        <v>3292</v>
      </c>
      <c r="E685" t="str">
        <f t="shared" si="37"/>
        <v>fmorrellmj@state.tx.us</v>
      </c>
      <c r="F685" t="s">
        <v>3293</v>
      </c>
      <c r="G685" t="s">
        <v>18</v>
      </c>
      <c r="H685" t="str">
        <f t="shared" si="38"/>
        <v>Male</v>
      </c>
      <c r="I685" t="str">
        <f>"+880"&amp;RIGHT(SUBSTITUTE(SUBSTITUTE($J685," ",""),"-",""),10)</f>
        <v>+8801769010845</v>
      </c>
      <c r="J685" t="s">
        <v>3294</v>
      </c>
      <c r="K685" t="s">
        <v>13</v>
      </c>
      <c r="L685" t="str">
        <f>_xlfn.XLOOKUP($K$3,K:K,K:K,$K$2)</f>
        <v>Bangladesh</v>
      </c>
      <c r="M685" t="s">
        <v>230</v>
      </c>
      <c r="N685" t="e" vm="34">
        <f>_xlfn.XLOOKUP($M685,$O:$O,$P:$P,"")</f>
        <v>#VALUE!</v>
      </c>
    </row>
    <row r="686" spans="1:14" x14ac:dyDescent="0.25">
      <c r="A686">
        <v>814</v>
      </c>
      <c r="B686" t="str">
        <f t="shared" si="36"/>
        <v>Maddy</v>
      </c>
      <c r="C686" t="s">
        <v>3299</v>
      </c>
      <c r="D686" t="s">
        <v>3300</v>
      </c>
      <c r="E686" t="str">
        <f t="shared" si="37"/>
        <v>mkoptaml@si.edu</v>
      </c>
      <c r="F686" t="s">
        <v>3301</v>
      </c>
      <c r="G686" t="s">
        <v>11</v>
      </c>
      <c r="H686" t="str">
        <f t="shared" si="38"/>
        <v>Female</v>
      </c>
      <c r="I686" t="str">
        <f>"+880"&amp;RIGHT(SUBSTITUTE(SUBSTITUTE($J686," ",""),"-",""),10)</f>
        <v>+8806239638045</v>
      </c>
      <c r="J686" t="s">
        <v>3302</v>
      </c>
      <c r="K686" t="s">
        <v>13</v>
      </c>
      <c r="L686" t="str">
        <f>_xlfn.XLOOKUP($K$3,K:K,K:K,$K$2)</f>
        <v>Bangladesh</v>
      </c>
      <c r="M686" t="s">
        <v>31</v>
      </c>
      <c r="N686" t="e" vm="4">
        <f>_xlfn.XLOOKUP($M686,$O:$O,$P:$P,"")</f>
        <v>#VALUE!</v>
      </c>
    </row>
    <row r="687" spans="1:14" x14ac:dyDescent="0.25">
      <c r="A687">
        <v>815</v>
      </c>
      <c r="B687" t="str">
        <f t="shared" si="36"/>
        <v>Adria</v>
      </c>
      <c r="C687" t="s">
        <v>3303</v>
      </c>
      <c r="D687" t="s">
        <v>3304</v>
      </c>
      <c r="E687" t="str">
        <f t="shared" si="37"/>
        <v>asushamsmm@jalbum.net</v>
      </c>
      <c r="F687" t="s">
        <v>3305</v>
      </c>
      <c r="G687" t="s">
        <v>11</v>
      </c>
      <c r="H687" t="str">
        <f t="shared" si="38"/>
        <v>Female</v>
      </c>
      <c r="I687" t="str">
        <f>"+880"&amp;RIGHT(SUBSTITUTE(SUBSTITUTE($J687," ",""),"-",""),10)</f>
        <v>+8808189417945</v>
      </c>
      <c r="J687" t="s">
        <v>3306</v>
      </c>
      <c r="K687" t="s">
        <v>13</v>
      </c>
      <c r="L687" t="str">
        <f>_xlfn.XLOOKUP($K$3,K:K,K:K,$K$2)</f>
        <v>Bangladesh</v>
      </c>
      <c r="M687" t="s">
        <v>173</v>
      </c>
      <c r="N687" t="e" vm="26">
        <f>_xlfn.XLOOKUP($M687,$O:$O,$P:$P,"")</f>
        <v>#VALUE!</v>
      </c>
    </row>
    <row r="688" spans="1:14" x14ac:dyDescent="0.25">
      <c r="A688">
        <v>816</v>
      </c>
      <c r="B688" t="str">
        <f t="shared" si="36"/>
        <v>Martita</v>
      </c>
      <c r="C688" t="s">
        <v>3307</v>
      </c>
      <c r="D688" t="s">
        <v>3308</v>
      </c>
      <c r="E688" t="str">
        <f t="shared" si="37"/>
        <v>mlukeschmn@newsvine.com</v>
      </c>
      <c r="F688" t="s">
        <v>3309</v>
      </c>
      <c r="G688" t="s">
        <v>11</v>
      </c>
      <c r="H688" t="str">
        <f t="shared" si="38"/>
        <v>Female</v>
      </c>
      <c r="I688" t="str">
        <f>"+880"&amp;RIGHT(SUBSTITUTE(SUBSTITUTE($J688," ",""),"-",""),10)</f>
        <v>+8808021625074</v>
      </c>
      <c r="J688" t="s">
        <v>3310</v>
      </c>
      <c r="K688" t="s">
        <v>13</v>
      </c>
      <c r="L688" t="str">
        <f>_xlfn.XLOOKUP($K$3,K:K,K:K,$K$2)</f>
        <v>Bangladesh</v>
      </c>
      <c r="M688" t="s">
        <v>933</v>
      </c>
      <c r="N688" t="e" vm="77">
        <f>_xlfn.XLOOKUP($M688,$O:$O,$P:$P,"")</f>
        <v>#VALUE!</v>
      </c>
    </row>
    <row r="689" spans="1:14" x14ac:dyDescent="0.25">
      <c r="A689">
        <v>817</v>
      </c>
      <c r="B689" t="str">
        <f t="shared" si="36"/>
        <v>Dori</v>
      </c>
      <c r="C689" t="s">
        <v>3311</v>
      </c>
      <c r="D689" t="s">
        <v>3312</v>
      </c>
      <c r="E689" t="str">
        <f t="shared" si="37"/>
        <v>dleathesmo@mtv.com</v>
      </c>
      <c r="F689" t="s">
        <v>3313</v>
      </c>
      <c r="G689" t="s">
        <v>11</v>
      </c>
      <c r="H689" t="str">
        <f t="shared" si="38"/>
        <v>Female</v>
      </c>
      <c r="I689" t="str">
        <f>"+880"&amp;RIGHT(SUBSTITUTE(SUBSTITUTE($J689," ",""),"-",""),10)</f>
        <v>+8804494643936</v>
      </c>
      <c r="J689" t="s">
        <v>3314</v>
      </c>
      <c r="K689" t="s">
        <v>13</v>
      </c>
      <c r="L689" t="str">
        <f>_xlfn.XLOOKUP($K$3,K:K,K:K,$K$2)</f>
        <v>Bangladesh</v>
      </c>
      <c r="M689" t="s">
        <v>839</v>
      </c>
      <c r="N689" t="e" vm="76">
        <f>_xlfn.XLOOKUP($M689,$O:$O,$P:$P,"")</f>
        <v>#VALUE!</v>
      </c>
    </row>
    <row r="690" spans="1:14" x14ac:dyDescent="0.25">
      <c r="A690">
        <v>818</v>
      </c>
      <c r="B690" t="str">
        <f t="shared" si="36"/>
        <v>Sayer</v>
      </c>
      <c r="C690" t="s">
        <v>3315</v>
      </c>
      <c r="D690" t="s">
        <v>3316</v>
      </c>
      <c r="E690" t="str">
        <f t="shared" si="37"/>
        <v>smickanmp@google.com.hk</v>
      </c>
      <c r="F690" t="s">
        <v>3317</v>
      </c>
      <c r="G690" t="s">
        <v>18</v>
      </c>
      <c r="H690" t="str">
        <f t="shared" si="38"/>
        <v>Male</v>
      </c>
      <c r="I690" t="str">
        <f>"+880"&amp;RIGHT(SUBSTITUTE(SUBSTITUTE($J690," ",""),"-",""),10)</f>
        <v>+8806207205154</v>
      </c>
      <c r="J690" t="s">
        <v>3318</v>
      </c>
      <c r="K690" t="s">
        <v>13</v>
      </c>
      <c r="L690" t="str">
        <f>_xlfn.XLOOKUP($K$3,K:K,K:K,$K$2)</f>
        <v>Bangladesh</v>
      </c>
      <c r="M690" t="s">
        <v>687</v>
      </c>
      <c r="N690" t="e" vm="69">
        <f>_xlfn.XLOOKUP($M690,$O:$O,$P:$P,"")</f>
        <v>#VALUE!</v>
      </c>
    </row>
    <row r="691" spans="1:14" x14ac:dyDescent="0.25">
      <c r="A691">
        <v>819</v>
      </c>
      <c r="B691" t="str">
        <f t="shared" si="36"/>
        <v>Rania</v>
      </c>
      <c r="C691" t="s">
        <v>3319</v>
      </c>
      <c r="D691" t="s">
        <v>3320</v>
      </c>
      <c r="E691" t="str">
        <f t="shared" si="37"/>
        <v>rhamblinmq@dyndns.org</v>
      </c>
      <c r="F691" t="s">
        <v>3321</v>
      </c>
      <c r="G691" t="s">
        <v>11</v>
      </c>
      <c r="H691" t="str">
        <f t="shared" si="38"/>
        <v>Female</v>
      </c>
      <c r="I691" t="str">
        <f>"+880"&amp;RIGHT(SUBSTITUTE(SUBSTITUTE($J691," ",""),"-",""),10)</f>
        <v>+8804029297001</v>
      </c>
      <c r="J691" t="s">
        <v>3322</v>
      </c>
      <c r="K691" t="s">
        <v>13</v>
      </c>
      <c r="L691" t="str">
        <f>_xlfn.XLOOKUP($K$3,K:K,K:K,$K$2)</f>
        <v>Bangladesh</v>
      </c>
      <c r="M691" t="s">
        <v>115</v>
      </c>
      <c r="N691" t="e" vm="17">
        <f>_xlfn.XLOOKUP($M691,$O:$O,$P:$P,"")</f>
        <v>#VALUE!</v>
      </c>
    </row>
    <row r="692" spans="1:14" x14ac:dyDescent="0.25">
      <c r="A692">
        <v>820</v>
      </c>
      <c r="B692" t="str">
        <f t="shared" si="36"/>
        <v>Agathe</v>
      </c>
      <c r="C692" t="s">
        <v>3323</v>
      </c>
      <c r="D692" t="s">
        <v>3324</v>
      </c>
      <c r="E692" t="str">
        <f t="shared" si="37"/>
        <v>agettymr@issuu.com</v>
      </c>
      <c r="F692" t="s">
        <v>3325</v>
      </c>
      <c r="G692" t="s">
        <v>11</v>
      </c>
      <c r="H692" t="str">
        <f t="shared" si="38"/>
        <v>Female</v>
      </c>
      <c r="I692" t="str">
        <f>"+880"&amp;RIGHT(SUBSTITUTE(SUBSTITUTE($J692," ",""),"-",""),10)</f>
        <v>+8802298205066</v>
      </c>
      <c r="J692" t="s">
        <v>3326</v>
      </c>
      <c r="K692" t="s">
        <v>13</v>
      </c>
      <c r="L692" t="str">
        <f>_xlfn.XLOOKUP($K$3,K:K,K:K,$K$2)</f>
        <v>Bangladesh</v>
      </c>
      <c r="M692" t="s">
        <v>168</v>
      </c>
      <c r="N692" t="e" vm="25">
        <f>_xlfn.XLOOKUP($M692,$O:$O,$P:$P,"")</f>
        <v>#VALUE!</v>
      </c>
    </row>
    <row r="693" spans="1:14" x14ac:dyDescent="0.25">
      <c r="A693">
        <v>821</v>
      </c>
      <c r="B693" t="str">
        <f t="shared" si="36"/>
        <v>Hetti</v>
      </c>
      <c r="C693" t="s">
        <v>3327</v>
      </c>
      <c r="D693" t="s">
        <v>3328</v>
      </c>
      <c r="E693" t="str">
        <f t="shared" si="37"/>
        <v>hnicolms@zimbio.com</v>
      </c>
      <c r="F693" t="s">
        <v>3329</v>
      </c>
      <c r="G693" t="s">
        <v>11</v>
      </c>
      <c r="H693" t="str">
        <f t="shared" si="38"/>
        <v>Female</v>
      </c>
      <c r="I693" t="str">
        <f>"+880"&amp;RIGHT(SUBSTITUTE(SUBSTITUTE($J693," ",""),"-",""),10)</f>
        <v>+8806793552724</v>
      </c>
      <c r="J693" t="s">
        <v>3330</v>
      </c>
      <c r="K693" t="s">
        <v>13</v>
      </c>
      <c r="L693" t="str">
        <f>_xlfn.XLOOKUP($K$3,K:K,K:K,$K$2)</f>
        <v>Bangladesh</v>
      </c>
      <c r="M693" t="s">
        <v>20</v>
      </c>
      <c r="N693" t="e" vm="2">
        <f>_xlfn.XLOOKUP($M693,$O:$O,$P:$P,"")</f>
        <v>#VALUE!</v>
      </c>
    </row>
    <row r="694" spans="1:14" x14ac:dyDescent="0.25">
      <c r="A694">
        <v>822</v>
      </c>
      <c r="B694" t="str">
        <f t="shared" si="36"/>
        <v>Klarrisa</v>
      </c>
      <c r="C694" t="s">
        <v>3331</v>
      </c>
      <c r="D694" t="s">
        <v>3332</v>
      </c>
      <c r="E694" t="str">
        <f t="shared" si="37"/>
        <v>krickersymt@unblog.fr</v>
      </c>
      <c r="F694" t="s">
        <v>3333</v>
      </c>
      <c r="G694" t="s">
        <v>11</v>
      </c>
      <c r="H694" t="str">
        <f t="shared" si="38"/>
        <v>Female</v>
      </c>
      <c r="I694" t="str">
        <f>"+880"&amp;RIGHT(SUBSTITUTE(SUBSTITUTE($J694," ",""),"-",""),10)</f>
        <v>+8806177863572</v>
      </c>
      <c r="J694" t="s">
        <v>3334</v>
      </c>
      <c r="K694" t="s">
        <v>13</v>
      </c>
      <c r="L694" t="str">
        <f>_xlfn.XLOOKUP($K$3,K:K,K:K,$K$2)</f>
        <v>Bangladesh</v>
      </c>
      <c r="M694" t="s">
        <v>120</v>
      </c>
      <c r="N694" t="str">
        <f>_xlfn.XLOOKUP($M694,$O:$O,$P:$P,"")</f>
        <v>Bhatpara Abhaynagar</v>
      </c>
    </row>
    <row r="695" spans="1:14" x14ac:dyDescent="0.25">
      <c r="A695">
        <v>823</v>
      </c>
      <c r="B695" t="str">
        <f t="shared" si="36"/>
        <v>Giulia</v>
      </c>
      <c r="C695" t="s">
        <v>3335</v>
      </c>
      <c r="D695" t="s">
        <v>3336</v>
      </c>
      <c r="E695" t="str">
        <f t="shared" si="37"/>
        <v>gibbsmu@about.com</v>
      </c>
      <c r="F695" t="s">
        <v>3337</v>
      </c>
      <c r="G695" t="s">
        <v>11</v>
      </c>
      <c r="H695" t="str">
        <f t="shared" si="38"/>
        <v>Female</v>
      </c>
      <c r="I695" t="str">
        <f>"+880"&amp;RIGHT(SUBSTITUTE(SUBSTITUTE($J695," ",""),"-",""),10)</f>
        <v>+8809477197388</v>
      </c>
      <c r="J695" t="s">
        <v>3338</v>
      </c>
      <c r="K695" t="s">
        <v>13</v>
      </c>
      <c r="L695" t="str">
        <f>_xlfn.XLOOKUP($K$3,K:K,K:K,$K$2)</f>
        <v>Bangladesh</v>
      </c>
      <c r="M695" t="s">
        <v>96</v>
      </c>
      <c r="N695" t="e" vm="14">
        <f>_xlfn.XLOOKUP($M695,$O:$O,$P:$P,"")</f>
        <v>#VALUE!</v>
      </c>
    </row>
    <row r="696" spans="1:14" x14ac:dyDescent="0.25">
      <c r="A696">
        <v>824</v>
      </c>
      <c r="B696" t="str">
        <f t="shared" si="36"/>
        <v>Chucho</v>
      </c>
      <c r="C696" t="s">
        <v>3339</v>
      </c>
      <c r="D696" t="s">
        <v>3340</v>
      </c>
      <c r="E696" t="str">
        <f t="shared" si="37"/>
        <v>cpuckeymv@bandcamp.com</v>
      </c>
      <c r="F696" t="s">
        <v>3341</v>
      </c>
      <c r="G696" t="s">
        <v>18</v>
      </c>
      <c r="H696" t="str">
        <f t="shared" si="38"/>
        <v>Male</v>
      </c>
      <c r="I696" t="str">
        <f>"+880"&amp;RIGHT(SUBSTITUTE(SUBSTITUTE($J696," ",""),"-",""),10)</f>
        <v>+8809362522555</v>
      </c>
      <c r="J696" t="s">
        <v>3342</v>
      </c>
      <c r="K696" t="s">
        <v>13</v>
      </c>
      <c r="L696" t="str">
        <f>_xlfn.XLOOKUP($K$3,K:K,K:K,$K$2)</f>
        <v>Bangladesh</v>
      </c>
      <c r="M696" t="s">
        <v>125</v>
      </c>
      <c r="N696" t="e" vm="18">
        <f>_xlfn.XLOOKUP($M696,$O:$O,$P:$P,"")</f>
        <v>#VALUE!</v>
      </c>
    </row>
    <row r="697" spans="1:14" x14ac:dyDescent="0.25">
      <c r="A697">
        <v>827</v>
      </c>
      <c r="B697" t="str">
        <f t="shared" si="36"/>
        <v>Yuri</v>
      </c>
      <c r="C697" t="s">
        <v>3351</v>
      </c>
      <c r="D697" t="s">
        <v>3352</v>
      </c>
      <c r="E697" t="str">
        <f t="shared" si="37"/>
        <v>ystilesmy@alexa.com</v>
      </c>
      <c r="F697" t="s">
        <v>3353</v>
      </c>
      <c r="G697" t="s">
        <v>228</v>
      </c>
      <c r="H697" t="str">
        <f t="shared" si="38"/>
        <v>Other</v>
      </c>
      <c r="I697" t="str">
        <f>"+880"&amp;RIGHT(SUBSTITUTE(SUBSTITUTE($J697," ",""),"-",""),10)</f>
        <v>+8806178475184</v>
      </c>
      <c r="J697" t="s">
        <v>3354</v>
      </c>
      <c r="K697" t="s">
        <v>13</v>
      </c>
      <c r="L697" t="str">
        <f>_xlfn.XLOOKUP($K$3,K:K,K:K,$K$2)</f>
        <v>Bangladesh</v>
      </c>
      <c r="M697" t="s">
        <v>14</v>
      </c>
      <c r="N697" t="e" vm="1">
        <f>_xlfn.XLOOKUP($M697,$O:$O,$P:$P,"")</f>
        <v>#VALUE!</v>
      </c>
    </row>
    <row r="698" spans="1:14" x14ac:dyDescent="0.25">
      <c r="A698">
        <v>828</v>
      </c>
      <c r="B698" t="str">
        <f t="shared" si="36"/>
        <v>Ceil</v>
      </c>
      <c r="C698" t="s">
        <v>3355</v>
      </c>
      <c r="D698" t="s">
        <v>3356</v>
      </c>
      <c r="E698" t="str">
        <f t="shared" si="37"/>
        <v>cdaulbymz@squarespace.com</v>
      </c>
      <c r="F698" t="s">
        <v>3357</v>
      </c>
      <c r="G698" t="s">
        <v>11</v>
      </c>
      <c r="H698" t="str">
        <f t="shared" si="38"/>
        <v>Female</v>
      </c>
      <c r="I698" t="str">
        <f>"+880"&amp;RIGHT(SUBSTITUTE(SUBSTITUTE($J698," ",""),"-",""),10)</f>
        <v>+8805714747490</v>
      </c>
      <c r="J698" t="s">
        <v>3358</v>
      </c>
      <c r="K698" t="s">
        <v>13</v>
      </c>
      <c r="L698" t="str">
        <f>_xlfn.XLOOKUP($K$3,K:K,K:K,$K$2)</f>
        <v>Bangladesh</v>
      </c>
      <c r="M698" t="s">
        <v>588</v>
      </c>
      <c r="N698" t="e" vm="57">
        <f>_xlfn.XLOOKUP($M698,$O:$O,$P:$P,"")</f>
        <v>#VALUE!</v>
      </c>
    </row>
    <row r="699" spans="1:14" x14ac:dyDescent="0.25">
      <c r="A699">
        <v>829</v>
      </c>
      <c r="B699" t="str">
        <f t="shared" si="36"/>
        <v>Byron</v>
      </c>
      <c r="C699" t="s">
        <v>3359</v>
      </c>
      <c r="D699" t="s">
        <v>3360</v>
      </c>
      <c r="E699" t="str">
        <f t="shared" si="37"/>
        <v>bplankn0@cornell.edu</v>
      </c>
      <c r="F699" t="s">
        <v>3361</v>
      </c>
      <c r="G699" t="s">
        <v>18</v>
      </c>
      <c r="H699" t="str">
        <f t="shared" si="38"/>
        <v>Male</v>
      </c>
      <c r="I699" t="str">
        <f>"+880"&amp;RIGHT(SUBSTITUTE(SUBSTITUTE($J699," ",""),"-",""),10)</f>
        <v>+8809062040440</v>
      </c>
      <c r="J699" t="s">
        <v>3362</v>
      </c>
      <c r="K699" t="s">
        <v>13</v>
      </c>
      <c r="L699" t="str">
        <f>_xlfn.XLOOKUP($K$3,K:K,K:K,$K$2)</f>
        <v>Bangladesh</v>
      </c>
      <c r="M699" t="s">
        <v>558</v>
      </c>
      <c r="N699" t="e" vm="53">
        <f>_xlfn.XLOOKUP($M699,$O:$O,$P:$P,"")</f>
        <v>#VALUE!</v>
      </c>
    </row>
    <row r="700" spans="1:14" x14ac:dyDescent="0.25">
      <c r="A700">
        <v>830</v>
      </c>
      <c r="B700" t="str">
        <f t="shared" si="36"/>
        <v>Valera</v>
      </c>
      <c r="C700" t="s">
        <v>2800</v>
      </c>
      <c r="D700" t="s">
        <v>3363</v>
      </c>
      <c r="E700" t="str">
        <f t="shared" si="37"/>
        <v>vsauntonn1@xrea.com</v>
      </c>
      <c r="F700" t="s">
        <v>3364</v>
      </c>
      <c r="G700" t="s">
        <v>11</v>
      </c>
      <c r="H700" t="str">
        <f t="shared" si="38"/>
        <v>Female</v>
      </c>
      <c r="I700" t="str">
        <f>"+880"&amp;RIGHT(SUBSTITUTE(SUBSTITUTE($J700," ",""),"-",""),10)</f>
        <v>+8804091911054</v>
      </c>
      <c r="J700" t="s">
        <v>3365</v>
      </c>
      <c r="K700" t="s">
        <v>13</v>
      </c>
      <c r="L700" t="str">
        <f>_xlfn.XLOOKUP($K$3,K:K,K:K,$K$2)</f>
        <v>Bangladesh</v>
      </c>
      <c r="M700" t="s">
        <v>61</v>
      </c>
      <c r="N700" t="e" vm="7">
        <f>_xlfn.XLOOKUP($M700,$O:$O,$P:$P,"")</f>
        <v>#VALUE!</v>
      </c>
    </row>
    <row r="701" spans="1:14" x14ac:dyDescent="0.25">
      <c r="A701">
        <v>831</v>
      </c>
      <c r="B701" t="str">
        <f t="shared" si="36"/>
        <v>Harlen</v>
      </c>
      <c r="C701" t="s">
        <v>3366</v>
      </c>
      <c r="D701" t="s">
        <v>3367</v>
      </c>
      <c r="E701" t="str">
        <f t="shared" si="37"/>
        <v>hjagsonn2@skype.com</v>
      </c>
      <c r="F701" t="s">
        <v>3368</v>
      </c>
      <c r="G701" t="s">
        <v>18</v>
      </c>
      <c r="H701" t="str">
        <f t="shared" si="38"/>
        <v>Male</v>
      </c>
      <c r="I701" t="str">
        <f>"+880"&amp;RIGHT(SUBSTITUTE(SUBSTITUTE($J701," ",""),"-",""),10)</f>
        <v>+8807228178067</v>
      </c>
      <c r="J701" t="s">
        <v>3369</v>
      </c>
      <c r="K701" t="s">
        <v>13</v>
      </c>
      <c r="L701" t="str">
        <f>_xlfn.XLOOKUP($K$3,K:K,K:K,$K$2)</f>
        <v>Bangladesh</v>
      </c>
      <c r="M701" t="s">
        <v>504</v>
      </c>
      <c r="N701" t="e" vm="54">
        <f>_xlfn.XLOOKUP($M701,$O:$O,$P:$P,"")</f>
        <v>#VALUE!</v>
      </c>
    </row>
    <row r="702" spans="1:14" x14ac:dyDescent="0.25">
      <c r="A702">
        <v>832</v>
      </c>
      <c r="B702" t="str">
        <f t="shared" si="36"/>
        <v>Barn</v>
      </c>
      <c r="C702" t="s">
        <v>3370</v>
      </c>
      <c r="D702" t="s">
        <v>3371</v>
      </c>
      <c r="E702" t="str">
        <f t="shared" si="37"/>
        <v>bdaneletn3@unblog.fr</v>
      </c>
      <c r="F702" t="s">
        <v>3372</v>
      </c>
      <c r="G702" t="s">
        <v>18</v>
      </c>
      <c r="H702" t="str">
        <f t="shared" si="38"/>
        <v>Male</v>
      </c>
      <c r="I702" t="str">
        <f>"+880"&amp;RIGHT(SUBSTITUTE(SUBSTITUTE($J702," ",""),"-",""),10)</f>
        <v>+8808615742710</v>
      </c>
      <c r="J702" t="s">
        <v>3373</v>
      </c>
      <c r="K702" t="s">
        <v>13</v>
      </c>
      <c r="L702" t="str">
        <f>_xlfn.XLOOKUP($K$3,K:K,K:K,$K$2)</f>
        <v>Bangladesh</v>
      </c>
      <c r="M702" t="s">
        <v>110</v>
      </c>
      <c r="N702" t="e" vm="16">
        <f>_xlfn.XLOOKUP($M702,$O:$O,$P:$P,"")</f>
        <v>#VALUE!</v>
      </c>
    </row>
    <row r="703" spans="1:14" x14ac:dyDescent="0.25">
      <c r="A703">
        <v>833</v>
      </c>
      <c r="B703" t="str">
        <f t="shared" si="36"/>
        <v>Norma</v>
      </c>
      <c r="C703" t="s">
        <v>3374</v>
      </c>
      <c r="D703" t="s">
        <v>3375</v>
      </c>
      <c r="E703" t="str">
        <f t="shared" si="37"/>
        <v>nmonksfieldn4@unicef.org</v>
      </c>
      <c r="F703" t="s">
        <v>3376</v>
      </c>
      <c r="G703" t="s">
        <v>11</v>
      </c>
      <c r="H703" t="str">
        <f t="shared" si="38"/>
        <v>Female</v>
      </c>
      <c r="I703" t="str">
        <f>"+880"&amp;RIGHT(SUBSTITUTE(SUBSTITUTE($J703," ",""),"-",""),10)</f>
        <v>+8803051978692</v>
      </c>
      <c r="J703" t="s">
        <v>3377</v>
      </c>
      <c r="K703" t="s">
        <v>13</v>
      </c>
      <c r="L703" t="str">
        <f>_xlfn.XLOOKUP($K$3,K:K,K:K,$K$2)</f>
        <v>Bangladesh</v>
      </c>
      <c r="M703" t="s">
        <v>705</v>
      </c>
      <c r="N703" t="e" vm="71">
        <f>_xlfn.XLOOKUP($M703,$O:$O,$P:$P,"")</f>
        <v>#VALUE!</v>
      </c>
    </row>
    <row r="704" spans="1:14" x14ac:dyDescent="0.25">
      <c r="A704">
        <v>834</v>
      </c>
      <c r="B704" t="str">
        <f t="shared" ref="B704:B758" si="39">PROPER(TRIM($C704))</f>
        <v>Vincenty</v>
      </c>
      <c r="C704" t="s">
        <v>3378</v>
      </c>
      <c r="D704" t="s">
        <v>3379</v>
      </c>
      <c r="E704" t="str">
        <f t="shared" ref="E704:E758" si="40">LOWER(TRIM($F704))</f>
        <v>vdelayglesiasn5@spiegel.de</v>
      </c>
      <c r="F704" t="s">
        <v>3380</v>
      </c>
      <c r="G704" t="s">
        <v>18</v>
      </c>
      <c r="H704" t="str">
        <f t="shared" ref="H704:H758" si="41">IF(OR($G704="M",LOWER($G704)="male"),"Male",
IF(OR($G704="F",LOWER($G704)="female"),"Female","Other"))</f>
        <v>Male</v>
      </c>
      <c r="I704" t="str">
        <f>"+880"&amp;RIGHT(SUBSTITUTE(SUBSTITUTE($J704," ",""),"-",""),10)</f>
        <v>+8804742344983</v>
      </c>
      <c r="J704" t="s">
        <v>3381</v>
      </c>
      <c r="K704" t="s">
        <v>13</v>
      </c>
      <c r="L704" t="str">
        <f>_xlfn.XLOOKUP($K$3,K:K,K:K,$K$2)</f>
        <v>Bangladesh</v>
      </c>
      <c r="M704" t="s">
        <v>96</v>
      </c>
      <c r="N704" t="e" vm="14">
        <f>_xlfn.XLOOKUP($M704,$O:$O,$P:$P,"")</f>
        <v>#VALUE!</v>
      </c>
    </row>
    <row r="705" spans="1:14" x14ac:dyDescent="0.25">
      <c r="A705">
        <v>835</v>
      </c>
      <c r="B705" t="str">
        <f t="shared" si="39"/>
        <v>Odell</v>
      </c>
      <c r="C705" t="s">
        <v>393</v>
      </c>
      <c r="D705" t="s">
        <v>3382</v>
      </c>
      <c r="E705" t="str">
        <f t="shared" si="40"/>
        <v>ohealen6@meetup.com</v>
      </c>
      <c r="F705" t="s">
        <v>3383</v>
      </c>
      <c r="G705" t="s">
        <v>18</v>
      </c>
      <c r="H705" t="str">
        <f t="shared" si="41"/>
        <v>Male</v>
      </c>
      <c r="I705" t="str">
        <f>"+880"&amp;RIGHT(SUBSTITUTE(SUBSTITUTE($J705," ",""),"-",""),10)</f>
        <v>+8804003905543</v>
      </c>
      <c r="J705" t="s">
        <v>3384</v>
      </c>
      <c r="K705" t="s">
        <v>13</v>
      </c>
      <c r="L705" t="str">
        <f>_xlfn.XLOOKUP($K$3,K:K,K:K,$K$2)</f>
        <v>Bangladesh</v>
      </c>
      <c r="M705" t="s">
        <v>588</v>
      </c>
      <c r="N705" t="e" vm="57">
        <f>_xlfn.XLOOKUP($M705,$O:$O,$P:$P,"")</f>
        <v>#VALUE!</v>
      </c>
    </row>
    <row r="706" spans="1:14" x14ac:dyDescent="0.25">
      <c r="A706">
        <v>836</v>
      </c>
      <c r="B706" t="str">
        <f t="shared" si="39"/>
        <v>Joelle</v>
      </c>
      <c r="C706" t="s">
        <v>3223</v>
      </c>
      <c r="D706" t="s">
        <v>3385</v>
      </c>
      <c r="E706" t="str">
        <f t="shared" si="40"/>
        <v>jtolemann7@surveymonkey.com</v>
      </c>
      <c r="F706" t="s">
        <v>3386</v>
      </c>
      <c r="G706" t="s">
        <v>11</v>
      </c>
      <c r="H706" t="str">
        <f t="shared" si="41"/>
        <v>Female</v>
      </c>
      <c r="I706" t="str">
        <f>"+880"&amp;RIGHT(SUBSTITUTE(SUBSTITUTE($J706," ",""),"-",""),10)</f>
        <v>+8806373088294</v>
      </c>
      <c r="J706" t="s">
        <v>3387</v>
      </c>
      <c r="K706" t="s">
        <v>13</v>
      </c>
      <c r="L706" t="str">
        <f>_xlfn.XLOOKUP($K$3,K:K,K:K,$K$2)</f>
        <v>Bangladesh</v>
      </c>
      <c r="M706" t="s">
        <v>224</v>
      </c>
      <c r="N706" t="e" vm="33">
        <f>_xlfn.XLOOKUP($M706,$O:$O,$P:$P,"")</f>
        <v>#VALUE!</v>
      </c>
    </row>
    <row r="707" spans="1:14" x14ac:dyDescent="0.25">
      <c r="A707">
        <v>837</v>
      </c>
      <c r="B707" t="str">
        <f t="shared" si="39"/>
        <v>Marysa</v>
      </c>
      <c r="C707" t="s">
        <v>3388</v>
      </c>
      <c r="D707" t="s">
        <v>3389</v>
      </c>
      <c r="E707" t="str">
        <f t="shared" si="40"/>
        <v>mhounihann8@nba.com</v>
      </c>
      <c r="F707" t="s">
        <v>3390</v>
      </c>
      <c r="G707" t="s">
        <v>11</v>
      </c>
      <c r="H707" t="str">
        <f t="shared" si="41"/>
        <v>Female</v>
      </c>
      <c r="I707" t="str">
        <f>"+880"&amp;RIGHT(SUBSTITUTE(SUBSTITUTE($J707," ",""),"-",""),10)</f>
        <v>+8807127009216</v>
      </c>
      <c r="J707" t="s">
        <v>3391</v>
      </c>
      <c r="K707" t="s">
        <v>13</v>
      </c>
      <c r="L707" t="str">
        <f>_xlfn.XLOOKUP($K$3,K:K,K:K,$K$2)</f>
        <v>Bangladesh</v>
      </c>
      <c r="M707" t="s">
        <v>597</v>
      </c>
      <c r="N707" t="e" vm="59">
        <f>_xlfn.XLOOKUP($M707,$O:$O,$P:$P,"")</f>
        <v>#VALUE!</v>
      </c>
    </row>
    <row r="708" spans="1:14" x14ac:dyDescent="0.25">
      <c r="A708">
        <v>838</v>
      </c>
      <c r="B708" t="str">
        <f t="shared" si="39"/>
        <v>Walsh</v>
      </c>
      <c r="C708" t="s">
        <v>3392</v>
      </c>
      <c r="D708" t="s">
        <v>3393</v>
      </c>
      <c r="E708" t="str">
        <f t="shared" si="40"/>
        <v>worhtn9@slashdot.org</v>
      </c>
      <c r="F708" t="s">
        <v>3394</v>
      </c>
      <c r="G708" t="s">
        <v>18</v>
      </c>
      <c r="H708" t="str">
        <f t="shared" si="41"/>
        <v>Male</v>
      </c>
      <c r="I708" t="str">
        <f>"+880"&amp;RIGHT(SUBSTITUTE(SUBSTITUTE($J708," ",""),"-",""),10)</f>
        <v>+8805355666341</v>
      </c>
      <c r="J708" t="s">
        <v>3395</v>
      </c>
      <c r="K708" t="s">
        <v>13</v>
      </c>
      <c r="L708" t="str">
        <f>_xlfn.XLOOKUP($K$3,K:K,K:K,$K$2)</f>
        <v>Bangladesh</v>
      </c>
      <c r="M708" t="s">
        <v>261</v>
      </c>
      <c r="N708" t="e" vm="37">
        <f>_xlfn.XLOOKUP($M708,$O:$O,$P:$P,"")</f>
        <v>#VALUE!</v>
      </c>
    </row>
    <row r="709" spans="1:14" x14ac:dyDescent="0.25">
      <c r="A709">
        <v>841</v>
      </c>
      <c r="B709" t="str">
        <f t="shared" si="39"/>
        <v>Barde</v>
      </c>
      <c r="C709" t="s">
        <v>3404</v>
      </c>
      <c r="D709" t="s">
        <v>3405</v>
      </c>
      <c r="E709" t="str">
        <f t="shared" si="40"/>
        <v>bbaseknc@comsenz.com</v>
      </c>
      <c r="F709" t="s">
        <v>3406</v>
      </c>
      <c r="G709" t="s">
        <v>18</v>
      </c>
      <c r="H709" t="str">
        <f t="shared" si="41"/>
        <v>Male</v>
      </c>
      <c r="I709" t="str">
        <f>"+880"&amp;RIGHT(SUBSTITUTE(SUBSTITUTE($J709," ",""),"-",""),10)</f>
        <v>+8806567659324</v>
      </c>
      <c r="J709" t="s">
        <v>3407</v>
      </c>
      <c r="K709" t="s">
        <v>13</v>
      </c>
      <c r="L709" t="str">
        <f>_xlfn.XLOOKUP($K$3,K:K,K:K,$K$2)</f>
        <v>Bangladesh</v>
      </c>
      <c r="M709" t="s">
        <v>804</v>
      </c>
      <c r="N709" t="e" vm="73">
        <f>_xlfn.XLOOKUP($M709,$O:$O,$P:$P,"")</f>
        <v>#VALUE!</v>
      </c>
    </row>
    <row r="710" spans="1:14" x14ac:dyDescent="0.25">
      <c r="A710">
        <v>842</v>
      </c>
      <c r="B710" t="str">
        <f t="shared" si="39"/>
        <v>Sapphira</v>
      </c>
      <c r="C710" t="s">
        <v>3408</v>
      </c>
      <c r="D710" t="s">
        <v>3409</v>
      </c>
      <c r="E710" t="str">
        <f t="shared" si="40"/>
        <v>schappellnd@csmonitor.com</v>
      </c>
      <c r="F710" t="s">
        <v>3410</v>
      </c>
      <c r="G710" t="s">
        <v>11</v>
      </c>
      <c r="H710" t="str">
        <f t="shared" si="41"/>
        <v>Female</v>
      </c>
      <c r="I710" t="str">
        <f>"+880"&amp;RIGHT(SUBSTITUTE(SUBSTITUTE($J710," ",""),"-",""),10)</f>
        <v>+8805419545814</v>
      </c>
      <c r="J710" t="s">
        <v>3411</v>
      </c>
      <c r="K710" t="s">
        <v>13</v>
      </c>
      <c r="L710" t="str">
        <f>_xlfn.XLOOKUP($K$3,K:K,K:K,$K$2)</f>
        <v>Bangladesh</v>
      </c>
      <c r="M710" t="s">
        <v>120</v>
      </c>
      <c r="N710" t="str">
        <f>_xlfn.XLOOKUP($M710,$O:$O,$P:$P,"")</f>
        <v>Bhatpara Abhaynagar</v>
      </c>
    </row>
    <row r="711" spans="1:14" x14ac:dyDescent="0.25">
      <c r="A711">
        <v>844</v>
      </c>
      <c r="B711" t="str">
        <f t="shared" si="39"/>
        <v>Renault</v>
      </c>
      <c r="C711" t="s">
        <v>3416</v>
      </c>
      <c r="D711" t="s">
        <v>3417</v>
      </c>
      <c r="E711" t="str">
        <f t="shared" si="40"/>
        <v>rcarlawnf@furl.net</v>
      </c>
      <c r="F711" t="s">
        <v>3418</v>
      </c>
      <c r="G711" t="s">
        <v>18</v>
      </c>
      <c r="H711" t="str">
        <f t="shared" si="41"/>
        <v>Male</v>
      </c>
      <c r="I711" t="str">
        <f>"+880"&amp;RIGHT(SUBSTITUTE(SUBSTITUTE($J711," ",""),"-",""),10)</f>
        <v>+8807181157919</v>
      </c>
      <c r="J711" t="s">
        <v>3419</v>
      </c>
      <c r="K711" t="s">
        <v>13</v>
      </c>
      <c r="L711" t="str">
        <f>_xlfn.XLOOKUP($K$3,K:K,K:K,$K$2)</f>
        <v>Bangladesh</v>
      </c>
      <c r="M711" t="s">
        <v>41</v>
      </c>
      <c r="N711" t="e" vm="58">
        <f>_xlfn.XLOOKUP($M711,$O:$O,$P:$P,"")</f>
        <v>#VALUE!</v>
      </c>
    </row>
    <row r="712" spans="1:14" x14ac:dyDescent="0.25">
      <c r="A712">
        <v>845</v>
      </c>
      <c r="B712" t="str">
        <f t="shared" si="39"/>
        <v>Willi</v>
      </c>
      <c r="C712" t="s">
        <v>3420</v>
      </c>
      <c r="D712" t="s">
        <v>3421</v>
      </c>
      <c r="E712" t="str">
        <f t="shared" si="40"/>
        <v>wboltng@wikipedia.org</v>
      </c>
      <c r="F712" t="s">
        <v>3422</v>
      </c>
      <c r="G712" t="s">
        <v>18</v>
      </c>
      <c r="H712" t="str">
        <f t="shared" si="41"/>
        <v>Male</v>
      </c>
      <c r="I712" t="str">
        <f>"+880"&amp;RIGHT(SUBSTITUTE(SUBSTITUTE($J712," ",""),"-",""),10)</f>
        <v>+8801996413187</v>
      </c>
      <c r="J712" t="s">
        <v>3423</v>
      </c>
      <c r="K712" t="s">
        <v>13</v>
      </c>
      <c r="L712" t="str">
        <f>_xlfn.XLOOKUP($K$3,K:K,K:K,$K$2)</f>
        <v>Bangladesh</v>
      </c>
      <c r="M712" t="s">
        <v>66</v>
      </c>
      <c r="N712" t="e" vm="8">
        <f>_xlfn.XLOOKUP($M712,$O:$O,$P:$P,"")</f>
        <v>#VALUE!</v>
      </c>
    </row>
    <row r="713" spans="1:14" x14ac:dyDescent="0.25">
      <c r="A713">
        <v>846</v>
      </c>
      <c r="B713" t="str">
        <f t="shared" si="39"/>
        <v>Pippa</v>
      </c>
      <c r="C713" t="s">
        <v>3424</v>
      </c>
      <c r="D713" t="s">
        <v>3425</v>
      </c>
      <c r="E713" t="str">
        <f t="shared" si="40"/>
        <v>pwaleworkenh@netscape.com</v>
      </c>
      <c r="F713" t="s">
        <v>3426</v>
      </c>
      <c r="G713" t="s">
        <v>11</v>
      </c>
      <c r="H713" t="str">
        <f t="shared" si="41"/>
        <v>Female</v>
      </c>
      <c r="I713" t="str">
        <f>"+880"&amp;RIGHT(SUBSTITUTE(SUBSTITUTE($J713," ",""),"-",""),10)</f>
        <v>+8807079439571</v>
      </c>
      <c r="J713" t="s">
        <v>3427</v>
      </c>
      <c r="K713" t="s">
        <v>13</v>
      </c>
      <c r="L713" t="str">
        <f>_xlfn.XLOOKUP($K$3,K:K,K:K,$K$2)</f>
        <v>Bangladesh</v>
      </c>
      <c r="M713" t="s">
        <v>243</v>
      </c>
      <c r="N713" t="e" vm="35">
        <f>_xlfn.XLOOKUP($M713,$O:$O,$P:$P,"")</f>
        <v>#VALUE!</v>
      </c>
    </row>
    <row r="714" spans="1:14" x14ac:dyDescent="0.25">
      <c r="A714">
        <v>847</v>
      </c>
      <c r="B714" t="str">
        <f t="shared" si="39"/>
        <v>Neil</v>
      </c>
      <c r="C714" t="s">
        <v>3428</v>
      </c>
      <c r="D714" t="s">
        <v>3429</v>
      </c>
      <c r="E714" t="str">
        <f t="shared" si="40"/>
        <v>nwarriorni@latimes.com</v>
      </c>
      <c r="F714" t="s">
        <v>3430</v>
      </c>
      <c r="G714" t="s">
        <v>18</v>
      </c>
      <c r="H714" t="str">
        <f t="shared" si="41"/>
        <v>Male</v>
      </c>
      <c r="I714" t="str">
        <f>"+880"&amp;RIGHT(SUBSTITUTE(SUBSTITUTE($J714," ",""),"-",""),10)</f>
        <v>+8801243829749</v>
      </c>
      <c r="J714" t="s">
        <v>3431</v>
      </c>
      <c r="K714" t="s">
        <v>13</v>
      </c>
      <c r="L714" t="str">
        <f>_xlfn.XLOOKUP($K$3,K:K,K:K,$K$2)</f>
        <v>Bangladesh</v>
      </c>
      <c r="M714" t="s">
        <v>31</v>
      </c>
      <c r="N714" t="e" vm="4">
        <f>_xlfn.XLOOKUP($M714,$O:$O,$P:$P,"")</f>
        <v>#VALUE!</v>
      </c>
    </row>
    <row r="715" spans="1:14" x14ac:dyDescent="0.25">
      <c r="A715">
        <v>848</v>
      </c>
      <c r="B715" t="str">
        <f t="shared" si="39"/>
        <v>Harmony</v>
      </c>
      <c r="C715" t="s">
        <v>3432</v>
      </c>
      <c r="D715" t="s">
        <v>3433</v>
      </c>
      <c r="E715" t="str">
        <f t="shared" si="40"/>
        <v>hribchesternj@google.es</v>
      </c>
      <c r="F715" t="s">
        <v>3434</v>
      </c>
      <c r="G715" t="s">
        <v>11</v>
      </c>
      <c r="H715" t="str">
        <f t="shared" si="41"/>
        <v>Female</v>
      </c>
      <c r="I715" t="str">
        <f>"+880"&amp;RIGHT(SUBSTITUTE(SUBSTITUTE($J715," ",""),"-",""),10)</f>
        <v>+8804895814385</v>
      </c>
      <c r="J715" t="s">
        <v>3435</v>
      </c>
      <c r="K715" t="s">
        <v>13</v>
      </c>
      <c r="L715" t="str">
        <f>_xlfn.XLOOKUP($K$3,K:K,K:K,$K$2)</f>
        <v>Bangladesh</v>
      </c>
      <c r="M715" t="s">
        <v>76</v>
      </c>
      <c r="N715" t="e" vm="10">
        <f>_xlfn.XLOOKUP($M715,$O:$O,$P:$P,"")</f>
        <v>#VALUE!</v>
      </c>
    </row>
    <row r="716" spans="1:14" x14ac:dyDescent="0.25">
      <c r="A716">
        <v>849</v>
      </c>
      <c r="B716" t="str">
        <f t="shared" si="39"/>
        <v>Emory</v>
      </c>
      <c r="C716" t="s">
        <v>3436</v>
      </c>
      <c r="D716" t="s">
        <v>3437</v>
      </c>
      <c r="E716" t="str">
        <f t="shared" si="40"/>
        <v>ecabelnk@plala.or.jp</v>
      </c>
      <c r="F716" t="s">
        <v>3438</v>
      </c>
      <c r="G716" t="s">
        <v>18</v>
      </c>
      <c r="H716" t="str">
        <f t="shared" si="41"/>
        <v>Male</v>
      </c>
      <c r="I716" t="str">
        <f>"+880"&amp;RIGHT(SUBSTITUTE(SUBSTITUTE($J716," ",""),"-",""),10)</f>
        <v>+8808571609429</v>
      </c>
      <c r="J716" t="s">
        <v>3439</v>
      </c>
      <c r="K716" t="s">
        <v>13</v>
      </c>
      <c r="L716" t="str">
        <f>_xlfn.XLOOKUP($K$3,K:K,K:K,$K$2)</f>
        <v>Bangladesh</v>
      </c>
      <c r="M716" t="s">
        <v>76</v>
      </c>
      <c r="N716" t="e" vm="10">
        <f>_xlfn.XLOOKUP($M716,$O:$O,$P:$P,"")</f>
        <v>#VALUE!</v>
      </c>
    </row>
    <row r="717" spans="1:14" x14ac:dyDescent="0.25">
      <c r="A717">
        <v>850</v>
      </c>
      <c r="B717" t="str">
        <f t="shared" si="39"/>
        <v>Fax</v>
      </c>
      <c r="C717" t="s">
        <v>3440</v>
      </c>
      <c r="D717" t="s">
        <v>3441</v>
      </c>
      <c r="E717" t="str">
        <f t="shared" si="40"/>
        <v>fsouthernsnl@imageshack.us</v>
      </c>
      <c r="F717" t="s">
        <v>3442</v>
      </c>
      <c r="G717" t="s">
        <v>18</v>
      </c>
      <c r="H717" t="str">
        <f t="shared" si="41"/>
        <v>Male</v>
      </c>
      <c r="I717" t="str">
        <f>"+880"&amp;RIGHT(SUBSTITUTE(SUBSTITUTE($J717," ",""),"-",""),10)</f>
        <v>+8805658901305</v>
      </c>
      <c r="J717" t="s">
        <v>3443</v>
      </c>
      <c r="K717" t="s">
        <v>13</v>
      </c>
      <c r="L717" t="str">
        <f>_xlfn.XLOOKUP($K$3,K:K,K:K,$K$2)</f>
        <v>Bangladesh</v>
      </c>
      <c r="M717" t="s">
        <v>365</v>
      </c>
      <c r="N717" t="e" vm="47">
        <f>_xlfn.XLOOKUP($M717,$O:$O,$P:$P,"")</f>
        <v>#VALUE!</v>
      </c>
    </row>
    <row r="718" spans="1:14" x14ac:dyDescent="0.25">
      <c r="A718">
        <v>851</v>
      </c>
      <c r="B718" t="str">
        <f t="shared" si="39"/>
        <v>Georgianne</v>
      </c>
      <c r="C718" t="s">
        <v>3444</v>
      </c>
      <c r="D718" t="s">
        <v>3445</v>
      </c>
      <c r="E718" t="str">
        <f t="shared" si="40"/>
        <v>glahrsnm@skype.com</v>
      </c>
      <c r="F718" t="s">
        <v>3446</v>
      </c>
      <c r="G718" t="s">
        <v>11</v>
      </c>
      <c r="H718" t="str">
        <f t="shared" si="41"/>
        <v>Female</v>
      </c>
      <c r="I718" t="str">
        <f>"+880"&amp;RIGHT(SUBSTITUTE(SUBSTITUTE($J718," ",""),"-",""),10)</f>
        <v>+8801973111036</v>
      </c>
      <c r="J718" t="s">
        <v>3447</v>
      </c>
      <c r="K718" t="s">
        <v>13</v>
      </c>
      <c r="L718" t="str">
        <f>_xlfn.XLOOKUP($K$3,K:K,K:K,$K$2)</f>
        <v>Bangladesh</v>
      </c>
      <c r="M718" t="s">
        <v>933</v>
      </c>
      <c r="N718" t="e" vm="77">
        <f>_xlfn.XLOOKUP($M718,$O:$O,$P:$P,"")</f>
        <v>#VALUE!</v>
      </c>
    </row>
    <row r="719" spans="1:14" x14ac:dyDescent="0.25">
      <c r="A719">
        <v>852</v>
      </c>
      <c r="B719" t="str">
        <f t="shared" si="39"/>
        <v>Kayne</v>
      </c>
      <c r="C719" t="s">
        <v>3448</v>
      </c>
      <c r="D719" t="s">
        <v>3449</v>
      </c>
      <c r="E719" t="str">
        <f t="shared" si="40"/>
        <v>karnefieldnn@eventbrite.com</v>
      </c>
      <c r="F719" t="s">
        <v>3450</v>
      </c>
      <c r="G719" t="s">
        <v>18</v>
      </c>
      <c r="H719" t="str">
        <f t="shared" si="41"/>
        <v>Male</v>
      </c>
      <c r="I719" t="str">
        <f>"+880"&amp;RIGHT(SUBSTITUTE(SUBSTITUTE($J719," ",""),"-",""),10)</f>
        <v>+8805917650989</v>
      </c>
      <c r="J719" t="s">
        <v>3451</v>
      </c>
      <c r="K719" t="s">
        <v>13</v>
      </c>
      <c r="L719" t="str">
        <f>_xlfn.XLOOKUP($K$3,K:K,K:K,$K$2)</f>
        <v>Bangladesh</v>
      </c>
      <c r="M719" t="s">
        <v>282</v>
      </c>
      <c r="N719" t="e" vm="40">
        <f>_xlfn.XLOOKUP($M719,$O:$O,$P:$P,"")</f>
        <v>#VALUE!</v>
      </c>
    </row>
    <row r="720" spans="1:14" x14ac:dyDescent="0.25">
      <c r="A720">
        <v>853</v>
      </c>
      <c r="B720" t="str">
        <f t="shared" si="39"/>
        <v>Neron</v>
      </c>
      <c r="C720" t="s">
        <v>3452</v>
      </c>
      <c r="D720" t="s">
        <v>3453</v>
      </c>
      <c r="E720" t="str">
        <f t="shared" si="40"/>
        <v>nmohringno@utexas.edu</v>
      </c>
      <c r="F720" t="s">
        <v>3454</v>
      </c>
      <c r="G720" t="s">
        <v>18</v>
      </c>
      <c r="H720" t="str">
        <f t="shared" si="41"/>
        <v>Male</v>
      </c>
      <c r="I720" t="str">
        <f>"+880"&amp;RIGHT(SUBSTITUTE(SUBSTITUTE($J720," ",""),"-",""),10)</f>
        <v>+8809724472234</v>
      </c>
      <c r="J720" t="s">
        <v>3455</v>
      </c>
      <c r="K720" t="s">
        <v>13</v>
      </c>
      <c r="L720" t="str">
        <f>_xlfn.XLOOKUP($K$3,K:K,K:K,$K$2)</f>
        <v>Bangladesh</v>
      </c>
      <c r="M720" t="s">
        <v>374</v>
      </c>
      <c r="N720" t="e" vm="48">
        <f>_xlfn.XLOOKUP($M720,$O:$O,$P:$P,"")</f>
        <v>#VALUE!</v>
      </c>
    </row>
    <row r="721" spans="1:14" x14ac:dyDescent="0.25">
      <c r="A721">
        <v>854</v>
      </c>
      <c r="B721" t="str">
        <f t="shared" si="39"/>
        <v>Lenee</v>
      </c>
      <c r="C721" t="s">
        <v>3456</v>
      </c>
      <c r="D721" t="s">
        <v>3457</v>
      </c>
      <c r="E721" t="str">
        <f t="shared" si="40"/>
        <v>lseabournenp@ft.com</v>
      </c>
      <c r="F721" t="s">
        <v>3458</v>
      </c>
      <c r="G721" t="s">
        <v>11</v>
      </c>
      <c r="H721" t="str">
        <f t="shared" si="41"/>
        <v>Female</v>
      </c>
      <c r="I721" t="str">
        <f>"+880"&amp;RIGHT(SUBSTITUTE(SUBSTITUTE($J721," ",""),"-",""),10)</f>
        <v>+8802774981165</v>
      </c>
      <c r="J721" t="s">
        <v>3459</v>
      </c>
      <c r="K721" t="s">
        <v>13</v>
      </c>
      <c r="L721" t="str">
        <f>_xlfn.XLOOKUP($K$3,K:K,K:K,$K$2)</f>
        <v>Bangladesh</v>
      </c>
      <c r="M721" t="s">
        <v>163</v>
      </c>
      <c r="N721" t="e" vm="24">
        <f>_xlfn.XLOOKUP($M721,$O:$O,$P:$P,"")</f>
        <v>#VALUE!</v>
      </c>
    </row>
    <row r="722" spans="1:14" x14ac:dyDescent="0.25">
      <c r="A722">
        <v>855</v>
      </c>
      <c r="B722" t="str">
        <f t="shared" si="39"/>
        <v>Grantley</v>
      </c>
      <c r="C722" t="s">
        <v>3460</v>
      </c>
      <c r="D722" t="s">
        <v>3461</v>
      </c>
      <c r="E722" t="str">
        <f t="shared" si="40"/>
        <v>gorrnq@cdbaby.com</v>
      </c>
      <c r="F722" t="s">
        <v>3462</v>
      </c>
      <c r="G722" t="s">
        <v>29</v>
      </c>
      <c r="H722" t="str">
        <f t="shared" si="41"/>
        <v>Other</v>
      </c>
      <c r="I722" t="str">
        <f>"+880"&amp;RIGHT(SUBSTITUTE(SUBSTITUTE($J722," ",""),"-",""),10)</f>
        <v>+8808019433047</v>
      </c>
      <c r="J722" t="s">
        <v>3463</v>
      </c>
      <c r="K722" t="s">
        <v>13</v>
      </c>
      <c r="L722" t="str">
        <f>_xlfn.XLOOKUP($K$3,K:K,K:K,$K$2)</f>
        <v>Bangladesh</v>
      </c>
      <c r="M722" t="s">
        <v>687</v>
      </c>
      <c r="N722" t="e" vm="69">
        <f>_xlfn.XLOOKUP($M722,$O:$O,$P:$P,"")</f>
        <v>#VALUE!</v>
      </c>
    </row>
    <row r="723" spans="1:14" x14ac:dyDescent="0.25">
      <c r="A723">
        <v>856</v>
      </c>
      <c r="B723" t="str">
        <f t="shared" si="39"/>
        <v>Rhodie</v>
      </c>
      <c r="C723" t="s">
        <v>3464</v>
      </c>
      <c r="D723" t="s">
        <v>2699</v>
      </c>
      <c r="E723" t="str">
        <f t="shared" si="40"/>
        <v>rbartolicnr@shutterfly.com</v>
      </c>
      <c r="F723" t="s">
        <v>3465</v>
      </c>
      <c r="G723" t="s">
        <v>11</v>
      </c>
      <c r="H723" t="str">
        <f t="shared" si="41"/>
        <v>Female</v>
      </c>
      <c r="I723" t="str">
        <f>"+880"&amp;RIGHT(SUBSTITUTE(SUBSTITUTE($J723," ",""),"-",""),10)</f>
        <v>+8806802376538</v>
      </c>
      <c r="J723" t="s">
        <v>3466</v>
      </c>
      <c r="K723" t="s">
        <v>13</v>
      </c>
      <c r="L723" t="str">
        <f>_xlfn.XLOOKUP($K$3,K:K,K:K,$K$2)</f>
        <v>Bangladesh</v>
      </c>
      <c r="M723" t="s">
        <v>345</v>
      </c>
      <c r="N723" t="e" vm="46">
        <f>_xlfn.XLOOKUP($M723,$O:$O,$P:$P,"")</f>
        <v>#VALUE!</v>
      </c>
    </row>
    <row r="724" spans="1:14" x14ac:dyDescent="0.25">
      <c r="A724">
        <v>857</v>
      </c>
      <c r="B724" t="str">
        <f t="shared" si="39"/>
        <v>Christiana</v>
      </c>
      <c r="C724" t="s">
        <v>2635</v>
      </c>
      <c r="D724" t="s">
        <v>3467</v>
      </c>
      <c r="E724" t="str">
        <f t="shared" si="40"/>
        <v>cfairburnns@themeforest.net</v>
      </c>
      <c r="F724" t="s">
        <v>3468</v>
      </c>
      <c r="G724" t="s">
        <v>11</v>
      </c>
      <c r="H724" t="str">
        <f t="shared" si="41"/>
        <v>Female</v>
      </c>
      <c r="I724" t="str">
        <f>"+880"&amp;RIGHT(SUBSTITUTE(SUBSTITUTE($J724," ",""),"-",""),10)</f>
        <v>+8807405245952</v>
      </c>
      <c r="J724" t="s">
        <v>3469</v>
      </c>
      <c r="K724" t="s">
        <v>13</v>
      </c>
      <c r="L724" t="str">
        <f>_xlfn.XLOOKUP($K$3,K:K,K:K,$K$2)</f>
        <v>Bangladesh</v>
      </c>
      <c r="M724" t="s">
        <v>916</v>
      </c>
      <c r="N724" t="e" vm="79">
        <f>_xlfn.XLOOKUP($M724,$O:$O,$P:$P,"")</f>
        <v>#VALUE!</v>
      </c>
    </row>
    <row r="725" spans="1:14" x14ac:dyDescent="0.25">
      <c r="A725">
        <v>859</v>
      </c>
      <c r="B725" t="str">
        <f t="shared" si="39"/>
        <v>Isidor</v>
      </c>
      <c r="C725" t="s">
        <v>3473</v>
      </c>
      <c r="D725" t="s">
        <v>3474</v>
      </c>
      <c r="E725" t="str">
        <f t="shared" si="40"/>
        <v>icrosennu@over-blog.com</v>
      </c>
      <c r="F725" t="s">
        <v>3475</v>
      </c>
      <c r="G725" t="s">
        <v>18</v>
      </c>
      <c r="H725" t="str">
        <f t="shared" si="41"/>
        <v>Male</v>
      </c>
      <c r="I725" t="str">
        <f>"+880"&amp;RIGHT(SUBSTITUTE(SUBSTITUTE($J725," ",""),"-",""),10)</f>
        <v>+8803652273347</v>
      </c>
      <c r="J725" t="s">
        <v>3476</v>
      </c>
      <c r="K725" t="s">
        <v>13</v>
      </c>
      <c r="L725" t="str">
        <f>_xlfn.XLOOKUP($K$3,K:K,K:K,$K$2)</f>
        <v>Bangladesh</v>
      </c>
      <c r="M725" t="s">
        <v>20</v>
      </c>
      <c r="N725" t="e" vm="2">
        <f>_xlfn.XLOOKUP($M725,$O:$O,$P:$P,"")</f>
        <v>#VALUE!</v>
      </c>
    </row>
    <row r="726" spans="1:14" x14ac:dyDescent="0.25">
      <c r="A726">
        <v>860</v>
      </c>
      <c r="B726" t="str">
        <f t="shared" si="39"/>
        <v>Sherm</v>
      </c>
      <c r="C726" t="s">
        <v>3477</v>
      </c>
      <c r="D726" t="s">
        <v>3478</v>
      </c>
      <c r="E726" t="str">
        <f t="shared" si="40"/>
        <v>scastellaninv@marriott.com</v>
      </c>
      <c r="F726" t="s">
        <v>3479</v>
      </c>
      <c r="G726" t="s">
        <v>18</v>
      </c>
      <c r="H726" t="str">
        <f t="shared" si="41"/>
        <v>Male</v>
      </c>
      <c r="I726" t="str">
        <f>"+880"&amp;RIGHT(SUBSTITUTE(SUBSTITUTE($J726," ",""),"-",""),10)</f>
        <v>+8802112947560</v>
      </c>
      <c r="J726" t="s">
        <v>3480</v>
      </c>
      <c r="K726" t="s">
        <v>13</v>
      </c>
      <c r="L726" t="str">
        <f>_xlfn.XLOOKUP($K$3,K:K,K:K,$K$2)</f>
        <v>Bangladesh</v>
      </c>
      <c r="M726" t="s">
        <v>14</v>
      </c>
      <c r="N726" t="e" vm="1">
        <f>_xlfn.XLOOKUP($M726,$O:$O,$P:$P,"")</f>
        <v>#VALUE!</v>
      </c>
    </row>
    <row r="727" spans="1:14" x14ac:dyDescent="0.25">
      <c r="A727">
        <v>861</v>
      </c>
      <c r="B727" t="str">
        <f t="shared" si="39"/>
        <v>Celestine</v>
      </c>
      <c r="C727" t="s">
        <v>3481</v>
      </c>
      <c r="D727" t="s">
        <v>3482</v>
      </c>
      <c r="E727" t="str">
        <f t="shared" si="40"/>
        <v>cgiacovazzonw@buzzfeed.com</v>
      </c>
      <c r="F727" t="s">
        <v>3483</v>
      </c>
      <c r="G727" t="s">
        <v>11</v>
      </c>
      <c r="H727" t="str">
        <f t="shared" si="41"/>
        <v>Female</v>
      </c>
      <c r="I727" t="str">
        <f>"+880"&amp;RIGHT(SUBSTITUTE(SUBSTITUTE($J727," ",""),"-",""),10)</f>
        <v>+8803992255198</v>
      </c>
      <c r="J727" t="s">
        <v>3484</v>
      </c>
      <c r="K727" t="s">
        <v>13</v>
      </c>
      <c r="L727" t="str">
        <f>_xlfn.XLOOKUP($K$3,K:K,K:K,$K$2)</f>
        <v>Bangladesh</v>
      </c>
      <c r="M727" t="s">
        <v>660</v>
      </c>
      <c r="N727" t="e" vm="67">
        <f>_xlfn.XLOOKUP($M727,$O:$O,$P:$P,"")</f>
        <v>#VALUE!</v>
      </c>
    </row>
    <row r="728" spans="1:14" x14ac:dyDescent="0.25">
      <c r="A728">
        <v>862</v>
      </c>
      <c r="B728" t="str">
        <f t="shared" si="39"/>
        <v>Anthony</v>
      </c>
      <c r="C728" t="s">
        <v>3485</v>
      </c>
      <c r="D728" t="s">
        <v>3486</v>
      </c>
      <c r="E728" t="str">
        <f t="shared" si="40"/>
        <v>atuillernx@bing.com</v>
      </c>
      <c r="F728" t="s">
        <v>3487</v>
      </c>
      <c r="G728" t="s">
        <v>18</v>
      </c>
      <c r="H728" t="str">
        <f t="shared" si="41"/>
        <v>Male</v>
      </c>
      <c r="I728" t="str">
        <f>"+880"&amp;RIGHT(SUBSTITUTE(SUBSTITUTE($J728," ",""),"-",""),10)</f>
        <v>+8802728732841</v>
      </c>
      <c r="J728" t="s">
        <v>3488</v>
      </c>
      <c r="K728" t="s">
        <v>13</v>
      </c>
      <c r="L728" t="str">
        <f>_xlfn.XLOOKUP($K$3,K:K,K:K,$K$2)</f>
        <v>Bangladesh</v>
      </c>
      <c r="M728" t="s">
        <v>628</v>
      </c>
      <c r="N728" t="e" vm="62">
        <f>_xlfn.XLOOKUP($M728,$O:$O,$P:$P,"")</f>
        <v>#VALUE!</v>
      </c>
    </row>
    <row r="729" spans="1:14" x14ac:dyDescent="0.25">
      <c r="A729">
        <v>863</v>
      </c>
      <c r="B729" t="str">
        <f t="shared" si="39"/>
        <v>Zacharie</v>
      </c>
      <c r="C729" t="s">
        <v>3489</v>
      </c>
      <c r="D729" t="s">
        <v>3490</v>
      </c>
      <c r="E729" t="str">
        <f t="shared" si="40"/>
        <v>zmacvaghny@wisc.edu</v>
      </c>
      <c r="F729" t="s">
        <v>3491</v>
      </c>
      <c r="G729" t="s">
        <v>18</v>
      </c>
      <c r="H729" t="str">
        <f t="shared" si="41"/>
        <v>Male</v>
      </c>
      <c r="I729" t="str">
        <f>"+880"&amp;RIGHT(SUBSTITUTE(SUBSTITUTE($J729," ",""),"-",""),10)</f>
        <v>+8804896238960</v>
      </c>
      <c r="J729" t="s">
        <v>3492</v>
      </c>
      <c r="K729" t="s">
        <v>13</v>
      </c>
      <c r="L729" t="str">
        <f>_xlfn.XLOOKUP($K$3,K:K,K:K,$K$2)</f>
        <v>Bangladesh</v>
      </c>
      <c r="M729" t="s">
        <v>210</v>
      </c>
      <c r="N729" t="e" vm="31">
        <f>_xlfn.XLOOKUP($M729,$O:$O,$P:$P,"")</f>
        <v>#VALUE!</v>
      </c>
    </row>
    <row r="730" spans="1:14" x14ac:dyDescent="0.25">
      <c r="A730">
        <v>864</v>
      </c>
      <c r="B730" t="str">
        <f t="shared" si="39"/>
        <v>Leslie</v>
      </c>
      <c r="C730" t="s">
        <v>3493</v>
      </c>
      <c r="D730" t="s">
        <v>3494</v>
      </c>
      <c r="E730" t="str">
        <f t="shared" si="40"/>
        <v>lsnarnz@cornell.edu</v>
      </c>
      <c r="F730" t="s">
        <v>3495</v>
      </c>
      <c r="G730" t="s">
        <v>11</v>
      </c>
      <c r="H730" t="str">
        <f t="shared" si="41"/>
        <v>Female</v>
      </c>
      <c r="I730" t="str">
        <f>"+880"&amp;RIGHT(SUBSTITUTE(SUBSTITUTE($J730," ",""),"-",""),10)</f>
        <v>+8805793021277</v>
      </c>
      <c r="J730" t="s">
        <v>3496</v>
      </c>
      <c r="K730" t="s">
        <v>13</v>
      </c>
      <c r="L730" t="str">
        <f>_xlfn.XLOOKUP($K$3,K:K,K:K,$K$2)</f>
        <v>Bangladesh</v>
      </c>
      <c r="M730" t="s">
        <v>567</v>
      </c>
      <c r="N730" t="e" vm="55">
        <f>_xlfn.XLOOKUP($M730,$O:$O,$P:$P,"")</f>
        <v>#VALUE!</v>
      </c>
    </row>
    <row r="731" spans="1:14" x14ac:dyDescent="0.25">
      <c r="A731">
        <v>866</v>
      </c>
      <c r="B731" t="str">
        <f t="shared" si="39"/>
        <v>Heinrick</v>
      </c>
      <c r="C731" t="s">
        <v>3501</v>
      </c>
      <c r="D731" t="s">
        <v>3502</v>
      </c>
      <c r="E731" t="str">
        <f t="shared" si="40"/>
        <v>hmulqueeno1@github.com</v>
      </c>
      <c r="F731" t="s">
        <v>3503</v>
      </c>
      <c r="G731" t="s">
        <v>18</v>
      </c>
      <c r="H731" t="str">
        <f t="shared" si="41"/>
        <v>Male</v>
      </c>
      <c r="I731" t="str">
        <f>"+880"&amp;RIGHT(SUBSTITUTE(SUBSTITUTE($J731," ",""),"-",""),10)</f>
        <v>+8801188175600</v>
      </c>
      <c r="J731" t="s">
        <v>3504</v>
      </c>
      <c r="K731" t="s">
        <v>13</v>
      </c>
      <c r="L731" t="str">
        <f>_xlfn.XLOOKUP($K$3,K:K,K:K,$K$2)</f>
        <v>Bangladesh</v>
      </c>
      <c r="M731" t="s">
        <v>36</v>
      </c>
      <c r="N731" t="str">
        <f>_xlfn.XLOOKUP($M731,$O:$O,$P:$P,"")</f>
        <v>Lakshmapur</v>
      </c>
    </row>
    <row r="732" spans="1:14" x14ac:dyDescent="0.25">
      <c r="A732">
        <v>867</v>
      </c>
      <c r="B732" t="str">
        <f t="shared" si="39"/>
        <v>Georas</v>
      </c>
      <c r="C732" t="s">
        <v>3505</v>
      </c>
      <c r="D732" t="s">
        <v>3506</v>
      </c>
      <c r="E732" t="str">
        <f t="shared" si="40"/>
        <v>gmatiaso2@sitemeter.com</v>
      </c>
      <c r="F732" t="s">
        <v>3507</v>
      </c>
      <c r="G732" t="s">
        <v>18</v>
      </c>
      <c r="H732" t="str">
        <f t="shared" si="41"/>
        <v>Male</v>
      </c>
      <c r="I732" t="str">
        <f>"+880"&amp;RIGHT(SUBSTITUTE(SUBSTITUTE($J732," ",""),"-",""),10)</f>
        <v>+8805064531921</v>
      </c>
      <c r="J732" t="s">
        <v>3508</v>
      </c>
      <c r="K732" t="s">
        <v>13</v>
      </c>
      <c r="L732" t="str">
        <f>_xlfn.XLOOKUP($K$3,K:K,K:K,$K$2)</f>
        <v>Bangladesh</v>
      </c>
      <c r="M732" t="s">
        <v>120</v>
      </c>
      <c r="N732" t="str">
        <f>_xlfn.XLOOKUP($M732,$O:$O,$P:$P,"")</f>
        <v>Bhatpara Abhaynagar</v>
      </c>
    </row>
    <row r="733" spans="1:14" x14ac:dyDescent="0.25">
      <c r="A733">
        <v>868</v>
      </c>
      <c r="B733" t="str">
        <f t="shared" si="39"/>
        <v>Romonda</v>
      </c>
      <c r="C733" t="s">
        <v>3509</v>
      </c>
      <c r="D733" t="s">
        <v>3510</v>
      </c>
      <c r="E733" t="str">
        <f t="shared" si="40"/>
        <v>rpedrio3@ucoz.com</v>
      </c>
      <c r="F733" t="s">
        <v>3511</v>
      </c>
      <c r="G733" t="s">
        <v>11</v>
      </c>
      <c r="H733" t="str">
        <f t="shared" si="41"/>
        <v>Female</v>
      </c>
      <c r="I733" t="str">
        <f>"+880"&amp;RIGHT(SUBSTITUTE(SUBSTITUTE($J733," ",""),"-",""),10)</f>
        <v>+8805907629182</v>
      </c>
      <c r="J733" t="s">
        <v>3512</v>
      </c>
      <c r="K733" t="s">
        <v>13</v>
      </c>
      <c r="L733" t="str">
        <f>_xlfn.XLOOKUP($K$3,K:K,K:K,$K$2)</f>
        <v>Bangladesh</v>
      </c>
      <c r="M733" t="s">
        <v>628</v>
      </c>
      <c r="N733" t="e" vm="62">
        <f>_xlfn.XLOOKUP($M733,$O:$O,$P:$P,"")</f>
        <v>#VALUE!</v>
      </c>
    </row>
    <row r="734" spans="1:14" x14ac:dyDescent="0.25">
      <c r="A734">
        <v>869</v>
      </c>
      <c r="B734" t="str">
        <f t="shared" si="39"/>
        <v>Minne</v>
      </c>
      <c r="C734" t="s">
        <v>3513</v>
      </c>
      <c r="D734" t="s">
        <v>3514</v>
      </c>
      <c r="E734" t="str">
        <f t="shared" si="40"/>
        <v>mthurlowo4@disqus.com</v>
      </c>
      <c r="F734" t="s">
        <v>3515</v>
      </c>
      <c r="G734" t="s">
        <v>11</v>
      </c>
      <c r="H734" t="str">
        <f t="shared" si="41"/>
        <v>Female</v>
      </c>
      <c r="I734" t="str">
        <f>"+880"&amp;RIGHT(SUBSTITUTE(SUBSTITUTE($J734," ",""),"-",""),10)</f>
        <v>+8804974213735</v>
      </c>
      <c r="J734" t="s">
        <v>3516</v>
      </c>
      <c r="K734" t="s">
        <v>13</v>
      </c>
      <c r="L734" t="str">
        <f>_xlfn.XLOOKUP($K$3,K:K,K:K,$K$2)</f>
        <v>Bangladesh</v>
      </c>
      <c r="M734" t="s">
        <v>558</v>
      </c>
      <c r="N734" t="e" vm="53">
        <f>_xlfn.XLOOKUP($M734,$O:$O,$P:$P,"")</f>
        <v>#VALUE!</v>
      </c>
    </row>
    <row r="735" spans="1:14" x14ac:dyDescent="0.25">
      <c r="A735">
        <v>870</v>
      </c>
      <c r="B735" t="str">
        <f t="shared" si="39"/>
        <v>Annissa</v>
      </c>
      <c r="C735" t="s">
        <v>3517</v>
      </c>
      <c r="D735" t="s">
        <v>3518</v>
      </c>
      <c r="E735" t="str">
        <f t="shared" si="40"/>
        <v>aemburyo5@facebook.com</v>
      </c>
      <c r="F735" t="s">
        <v>3519</v>
      </c>
      <c r="G735" t="s">
        <v>11</v>
      </c>
      <c r="H735" t="str">
        <f t="shared" si="41"/>
        <v>Female</v>
      </c>
      <c r="I735" t="str">
        <f>"+880"&amp;RIGHT(SUBSTITUTE(SUBSTITUTE($J735," ",""),"-",""),10)</f>
        <v>+8809842072875</v>
      </c>
      <c r="J735" t="s">
        <v>3520</v>
      </c>
      <c r="K735" t="s">
        <v>13</v>
      </c>
      <c r="L735" t="str">
        <f>_xlfn.XLOOKUP($K$3,K:K,K:K,$K$2)</f>
        <v>Bangladesh</v>
      </c>
      <c r="M735" t="s">
        <v>224</v>
      </c>
      <c r="N735" t="e" vm="33">
        <f>_xlfn.XLOOKUP($M735,$O:$O,$P:$P,"")</f>
        <v>#VALUE!</v>
      </c>
    </row>
    <row r="736" spans="1:14" x14ac:dyDescent="0.25">
      <c r="A736">
        <v>872</v>
      </c>
      <c r="B736" t="str">
        <f t="shared" si="39"/>
        <v>Perl</v>
      </c>
      <c r="C736" t="s">
        <v>3525</v>
      </c>
      <c r="D736" t="s">
        <v>3526</v>
      </c>
      <c r="E736" t="str">
        <f t="shared" si="40"/>
        <v>pfelminghamo7@plala.or.jp</v>
      </c>
      <c r="F736" t="s">
        <v>3527</v>
      </c>
      <c r="G736" t="s">
        <v>11</v>
      </c>
      <c r="H736" t="str">
        <f t="shared" si="41"/>
        <v>Female</v>
      </c>
      <c r="I736" t="str">
        <f>"+880"&amp;RIGHT(SUBSTITUTE(SUBSTITUTE($J736," ",""),"-",""),10)</f>
        <v>+8803268319033</v>
      </c>
      <c r="J736" t="s">
        <v>3528</v>
      </c>
      <c r="K736" t="s">
        <v>13</v>
      </c>
      <c r="L736" t="str">
        <f>_xlfn.XLOOKUP($K$3,K:K,K:K,$K$2)</f>
        <v>Bangladesh</v>
      </c>
      <c r="M736" t="s">
        <v>641</v>
      </c>
      <c r="N736" t="e" vm="63">
        <f>_xlfn.XLOOKUP($M736,$O:$O,$P:$P,"")</f>
        <v>#VALUE!</v>
      </c>
    </row>
    <row r="737" spans="1:14" x14ac:dyDescent="0.25">
      <c r="A737">
        <v>873</v>
      </c>
      <c r="B737" t="str">
        <f t="shared" si="39"/>
        <v>Seumas</v>
      </c>
      <c r="C737" t="s">
        <v>3529</v>
      </c>
      <c r="D737" t="s">
        <v>3530</v>
      </c>
      <c r="E737" t="str">
        <f t="shared" si="40"/>
        <v>srayneo8@mapquest.com</v>
      </c>
      <c r="F737" t="s">
        <v>3531</v>
      </c>
      <c r="G737" t="s">
        <v>18</v>
      </c>
      <c r="H737" t="str">
        <f t="shared" si="41"/>
        <v>Male</v>
      </c>
      <c r="I737" t="str">
        <f>"+880"&amp;RIGHT(SUBSTITUTE(SUBSTITUTE($J737," ",""),"-",""),10)</f>
        <v>+8803887898299</v>
      </c>
      <c r="J737" t="s">
        <v>3532</v>
      </c>
      <c r="K737" t="s">
        <v>13</v>
      </c>
      <c r="L737" t="str">
        <f>_xlfn.XLOOKUP($K$3,K:K,K:K,$K$2)</f>
        <v>Bangladesh</v>
      </c>
      <c r="M737" t="s">
        <v>135</v>
      </c>
      <c r="N737" t="e" vm="20">
        <f>_xlfn.XLOOKUP($M737,$O:$O,$P:$P,"")</f>
        <v>#VALUE!</v>
      </c>
    </row>
    <row r="738" spans="1:14" x14ac:dyDescent="0.25">
      <c r="A738">
        <v>874</v>
      </c>
      <c r="B738" t="str">
        <f t="shared" si="39"/>
        <v>Anastasie</v>
      </c>
      <c r="C738" t="s">
        <v>3533</v>
      </c>
      <c r="D738" t="s">
        <v>3534</v>
      </c>
      <c r="E738" t="str">
        <f t="shared" si="40"/>
        <v>acrowcrofto9@google.fr</v>
      </c>
      <c r="F738" t="s">
        <v>3535</v>
      </c>
      <c r="G738" t="s">
        <v>11</v>
      </c>
      <c r="H738" t="str">
        <f t="shared" si="41"/>
        <v>Female</v>
      </c>
      <c r="I738" t="str">
        <f>"+880"&amp;RIGHT(SUBSTITUTE(SUBSTITUTE($J738," ",""),"-",""),10)</f>
        <v>+8806533505708</v>
      </c>
      <c r="J738" t="s">
        <v>3536</v>
      </c>
      <c r="K738" t="s">
        <v>13</v>
      </c>
      <c r="L738" t="str">
        <f>_xlfn.XLOOKUP($K$3,K:K,K:K,$K$2)</f>
        <v>Bangladesh</v>
      </c>
      <c r="M738" t="s">
        <v>154</v>
      </c>
      <c r="N738" t="e" vm="23">
        <f>_xlfn.XLOOKUP($M738,$O:$O,$P:$P,"")</f>
        <v>#VALUE!</v>
      </c>
    </row>
    <row r="739" spans="1:14" x14ac:dyDescent="0.25">
      <c r="A739">
        <v>875</v>
      </c>
      <c r="B739" t="str">
        <f t="shared" si="39"/>
        <v>Charita</v>
      </c>
      <c r="C739" t="s">
        <v>3537</v>
      </c>
      <c r="D739" t="s">
        <v>3538</v>
      </c>
      <c r="E739" t="str">
        <f t="shared" si="40"/>
        <v>cbaynsoa@telegraph.co.uk</v>
      </c>
      <c r="F739" t="s">
        <v>3539</v>
      </c>
      <c r="G739" t="s">
        <v>11</v>
      </c>
      <c r="H739" t="str">
        <f t="shared" si="41"/>
        <v>Female</v>
      </c>
      <c r="I739" t="str">
        <f>"+880"&amp;RIGHT(SUBSTITUTE(SUBSTITUTE($J739," ",""),"-",""),10)</f>
        <v>+8805747087486</v>
      </c>
      <c r="J739" t="s">
        <v>3540</v>
      </c>
      <c r="K739" t="s">
        <v>13</v>
      </c>
      <c r="L739" t="str">
        <f>_xlfn.XLOOKUP($K$3,K:K,K:K,$K$2)</f>
        <v>Bangladesh</v>
      </c>
      <c r="M739" t="s">
        <v>317</v>
      </c>
      <c r="N739" t="e" vm="43">
        <f>_xlfn.XLOOKUP($M739,$O:$O,$P:$P,"")</f>
        <v>#VALUE!</v>
      </c>
    </row>
    <row r="740" spans="1:14" x14ac:dyDescent="0.25">
      <c r="A740">
        <v>876</v>
      </c>
      <c r="B740" t="str">
        <f t="shared" si="39"/>
        <v>Britt</v>
      </c>
      <c r="C740" t="s">
        <v>3541</v>
      </c>
      <c r="D740" t="s">
        <v>1014</v>
      </c>
      <c r="E740" t="str">
        <f t="shared" si="40"/>
        <v>bgumeyob@a8.net</v>
      </c>
      <c r="F740" t="s">
        <v>3542</v>
      </c>
      <c r="G740" t="s">
        <v>11</v>
      </c>
      <c r="H740" t="str">
        <f t="shared" si="41"/>
        <v>Female</v>
      </c>
      <c r="I740" t="str">
        <f>"+880"&amp;RIGHT(SUBSTITUTE(SUBSTITUTE($J740," ",""),"-",""),10)</f>
        <v>+8807129594086</v>
      </c>
      <c r="J740" t="s">
        <v>3543</v>
      </c>
      <c r="K740" t="s">
        <v>13</v>
      </c>
      <c r="L740" t="str">
        <f>_xlfn.XLOOKUP($K$3,K:K,K:K,$K$2)</f>
        <v>Bangladesh</v>
      </c>
      <c r="M740" t="s">
        <v>163</v>
      </c>
      <c r="N740" t="e" vm="24">
        <f>_xlfn.XLOOKUP($M740,$O:$O,$P:$P,"")</f>
        <v>#VALUE!</v>
      </c>
    </row>
    <row r="741" spans="1:14" x14ac:dyDescent="0.25">
      <c r="A741">
        <v>877</v>
      </c>
      <c r="B741" t="str">
        <f t="shared" si="39"/>
        <v>Bertram</v>
      </c>
      <c r="C741" t="s">
        <v>3544</v>
      </c>
      <c r="D741" t="s">
        <v>3545</v>
      </c>
      <c r="E741" t="str">
        <f t="shared" si="40"/>
        <v>bmoriartyoc@360.cn</v>
      </c>
      <c r="F741" t="s">
        <v>3546</v>
      </c>
      <c r="G741" t="s">
        <v>18</v>
      </c>
      <c r="H741" t="str">
        <f t="shared" si="41"/>
        <v>Male</v>
      </c>
      <c r="I741" t="str">
        <f>"+880"&amp;RIGHT(SUBSTITUTE(SUBSTITUTE($J741," ",""),"-",""),10)</f>
        <v>+8801524660941</v>
      </c>
      <c r="J741" t="s">
        <v>3547</v>
      </c>
      <c r="K741" t="s">
        <v>13</v>
      </c>
      <c r="L741" t="str">
        <f>_xlfn.XLOOKUP($K$3,K:K,K:K,$K$2)</f>
        <v>Bangladesh</v>
      </c>
      <c r="M741" t="s">
        <v>1187</v>
      </c>
      <c r="N741" t="e" vm="82">
        <f>_xlfn.XLOOKUP($M741,$O:$O,$P:$P,"")</f>
        <v>#VALUE!</v>
      </c>
    </row>
    <row r="742" spans="1:14" x14ac:dyDescent="0.25">
      <c r="A742">
        <v>878</v>
      </c>
      <c r="B742" t="str">
        <f t="shared" si="39"/>
        <v>Eulalie</v>
      </c>
      <c r="C742" t="s">
        <v>3548</v>
      </c>
      <c r="D742" t="s">
        <v>3549</v>
      </c>
      <c r="E742" t="str">
        <f t="shared" si="40"/>
        <v>etalmadgeod@army.mil</v>
      </c>
      <c r="F742" t="s">
        <v>3550</v>
      </c>
      <c r="G742" t="s">
        <v>11</v>
      </c>
      <c r="H742" t="str">
        <f t="shared" si="41"/>
        <v>Female</v>
      </c>
      <c r="I742" t="str">
        <f>"+880"&amp;RIGHT(SUBSTITUTE(SUBSTITUTE($J742," ",""),"-",""),10)</f>
        <v>+8803749193317</v>
      </c>
      <c r="J742" t="s">
        <v>3551</v>
      </c>
      <c r="K742" t="s">
        <v>13</v>
      </c>
      <c r="L742" t="str">
        <f>_xlfn.XLOOKUP($K$3,K:K,K:K,$K$2)</f>
        <v>Bangladesh</v>
      </c>
      <c r="M742" t="s">
        <v>163</v>
      </c>
      <c r="N742" t="e" vm="24">
        <f>_xlfn.XLOOKUP($M742,$O:$O,$P:$P,"")</f>
        <v>#VALUE!</v>
      </c>
    </row>
    <row r="743" spans="1:14" x14ac:dyDescent="0.25">
      <c r="A743">
        <v>879</v>
      </c>
      <c r="B743" t="str">
        <f t="shared" si="39"/>
        <v>Ivan</v>
      </c>
      <c r="C743" t="s">
        <v>3552</v>
      </c>
      <c r="D743" t="s">
        <v>3553</v>
      </c>
      <c r="E743" t="str">
        <f t="shared" si="40"/>
        <v>ipattingsonoe@discuz.net</v>
      </c>
      <c r="F743" t="s">
        <v>3554</v>
      </c>
      <c r="G743" t="s">
        <v>18</v>
      </c>
      <c r="H743" t="str">
        <f t="shared" si="41"/>
        <v>Male</v>
      </c>
      <c r="I743" t="str">
        <f>"+880"&amp;RIGHT(SUBSTITUTE(SUBSTITUTE($J743," ",""),"-",""),10)</f>
        <v>+8801843351934</v>
      </c>
      <c r="J743" t="s">
        <v>3555</v>
      </c>
      <c r="K743" t="s">
        <v>13</v>
      </c>
      <c r="L743" t="str">
        <f>_xlfn.XLOOKUP($K$3,K:K,K:K,$K$2)</f>
        <v>Bangladesh</v>
      </c>
      <c r="M743" t="s">
        <v>345</v>
      </c>
      <c r="N743" t="e" vm="46">
        <f>_xlfn.XLOOKUP($M743,$O:$O,$P:$P,"")</f>
        <v>#VALUE!</v>
      </c>
    </row>
    <row r="744" spans="1:14" x14ac:dyDescent="0.25">
      <c r="A744">
        <v>880</v>
      </c>
      <c r="B744" t="str">
        <f t="shared" si="39"/>
        <v>Teddie</v>
      </c>
      <c r="C744" t="s">
        <v>3556</v>
      </c>
      <c r="D744" t="s">
        <v>3557</v>
      </c>
      <c r="E744" t="str">
        <f t="shared" si="40"/>
        <v>tgullenof@youku.com</v>
      </c>
      <c r="F744" t="s">
        <v>3558</v>
      </c>
      <c r="G744" t="s">
        <v>18</v>
      </c>
      <c r="H744" t="str">
        <f t="shared" si="41"/>
        <v>Male</v>
      </c>
      <c r="I744" t="str">
        <f>"+880"&amp;RIGHT(SUBSTITUTE(SUBSTITUTE($J744," ",""),"-",""),10)</f>
        <v>+8803291007333</v>
      </c>
      <c r="J744" t="s">
        <v>3559</v>
      </c>
      <c r="K744" t="s">
        <v>13</v>
      </c>
      <c r="L744" t="str">
        <f>_xlfn.XLOOKUP($K$3,K:K,K:K,$K$2)</f>
        <v>Bangladesh</v>
      </c>
      <c r="M744" t="s">
        <v>31</v>
      </c>
      <c r="N744" t="e" vm="4">
        <f>_xlfn.XLOOKUP($M744,$O:$O,$P:$P,"")</f>
        <v>#VALUE!</v>
      </c>
    </row>
    <row r="745" spans="1:14" x14ac:dyDescent="0.25">
      <c r="A745">
        <v>881</v>
      </c>
      <c r="B745" t="str">
        <f t="shared" si="39"/>
        <v>Maressa</v>
      </c>
      <c r="C745" t="s">
        <v>3560</v>
      </c>
      <c r="D745" t="s">
        <v>3561</v>
      </c>
      <c r="E745" t="str">
        <f t="shared" si="40"/>
        <v>mandreiaog@tuttocitta.it</v>
      </c>
      <c r="F745" t="s">
        <v>3562</v>
      </c>
      <c r="G745" t="s">
        <v>11</v>
      </c>
      <c r="H745" t="str">
        <f t="shared" si="41"/>
        <v>Female</v>
      </c>
      <c r="I745" t="str">
        <f>"+880"&amp;RIGHT(SUBSTITUTE(SUBSTITUTE($J745," ",""),"-",""),10)</f>
        <v>+8806914113414</v>
      </c>
      <c r="J745" t="s">
        <v>3563</v>
      </c>
      <c r="K745" t="s">
        <v>13</v>
      </c>
      <c r="L745" t="str">
        <f>_xlfn.XLOOKUP($K$3,K:K,K:K,$K$2)</f>
        <v>Bangladesh</v>
      </c>
      <c r="M745" t="s">
        <v>76</v>
      </c>
      <c r="N745" t="e" vm="10">
        <f>_xlfn.XLOOKUP($M745,$O:$O,$P:$P,"")</f>
        <v>#VALUE!</v>
      </c>
    </row>
    <row r="746" spans="1:14" x14ac:dyDescent="0.25">
      <c r="A746">
        <v>882</v>
      </c>
      <c r="B746" t="str">
        <f t="shared" si="39"/>
        <v>Henderson</v>
      </c>
      <c r="C746" t="s">
        <v>3564</v>
      </c>
      <c r="D746" t="s">
        <v>3565</v>
      </c>
      <c r="E746" t="str">
        <f t="shared" si="40"/>
        <v>hmcdonelloh@cam.ac.uk</v>
      </c>
      <c r="F746" t="s">
        <v>3566</v>
      </c>
      <c r="G746" t="s">
        <v>18</v>
      </c>
      <c r="H746" t="str">
        <f t="shared" si="41"/>
        <v>Male</v>
      </c>
      <c r="I746" t="str">
        <f>"+880"&amp;RIGHT(SUBSTITUTE(SUBSTITUTE($J746," ",""),"-",""),10)</f>
        <v>+8802286762323</v>
      </c>
      <c r="J746" t="s">
        <v>3567</v>
      </c>
      <c r="K746" t="s">
        <v>13</v>
      </c>
      <c r="L746" t="str">
        <f>_xlfn.XLOOKUP($K$3,K:K,K:K,$K$2)</f>
        <v>Bangladesh</v>
      </c>
      <c r="M746" t="s">
        <v>597</v>
      </c>
      <c r="N746" t="e" vm="59">
        <f>_xlfn.XLOOKUP($M746,$O:$O,$P:$P,"")</f>
        <v>#VALUE!</v>
      </c>
    </row>
    <row r="747" spans="1:14" x14ac:dyDescent="0.25">
      <c r="A747">
        <v>883</v>
      </c>
      <c r="B747" t="str">
        <f t="shared" si="39"/>
        <v>Edythe</v>
      </c>
      <c r="C747" t="s">
        <v>3568</v>
      </c>
      <c r="D747" t="s">
        <v>3569</v>
      </c>
      <c r="E747" t="str">
        <f t="shared" si="40"/>
        <v>esyddalloi@exblog.jp</v>
      </c>
      <c r="F747" t="s">
        <v>3570</v>
      </c>
      <c r="G747" t="s">
        <v>280</v>
      </c>
      <c r="H747" t="str">
        <f t="shared" si="41"/>
        <v>Other</v>
      </c>
      <c r="I747" t="str">
        <f>"+880"&amp;RIGHT(SUBSTITUTE(SUBSTITUTE($J747," ",""),"-",""),10)</f>
        <v>+8805071101667</v>
      </c>
      <c r="J747" t="s">
        <v>3571</v>
      </c>
      <c r="K747" t="s">
        <v>13</v>
      </c>
      <c r="L747" t="str">
        <f>_xlfn.XLOOKUP($K$3,K:K,K:K,$K$2)</f>
        <v>Bangladesh</v>
      </c>
      <c r="M747" t="s">
        <v>56</v>
      </c>
      <c r="N747" t="e" vm="6">
        <f>_xlfn.XLOOKUP($M747,$O:$O,$P:$P,"")</f>
        <v>#VALUE!</v>
      </c>
    </row>
    <row r="748" spans="1:14" x14ac:dyDescent="0.25">
      <c r="A748">
        <v>884</v>
      </c>
      <c r="B748" t="str">
        <f t="shared" si="39"/>
        <v>Hugh</v>
      </c>
      <c r="C748" t="s">
        <v>3572</v>
      </c>
      <c r="D748" t="s">
        <v>3573</v>
      </c>
      <c r="E748" t="str">
        <f t="shared" si="40"/>
        <v>hbaissoj@plala.or.jp</v>
      </c>
      <c r="F748" t="s">
        <v>3574</v>
      </c>
      <c r="G748" t="s">
        <v>18</v>
      </c>
      <c r="H748" t="str">
        <f t="shared" si="41"/>
        <v>Male</v>
      </c>
      <c r="I748" t="str">
        <f>"+880"&amp;RIGHT(SUBSTITUTE(SUBSTITUTE($J748," ",""),"-",""),10)</f>
        <v>+8805008924281</v>
      </c>
      <c r="J748" t="s">
        <v>3575</v>
      </c>
      <c r="K748" t="s">
        <v>13</v>
      </c>
      <c r="L748" t="str">
        <f>_xlfn.XLOOKUP($K$3,K:K,K:K,$K$2)</f>
        <v>Bangladesh</v>
      </c>
      <c r="M748" t="s">
        <v>140</v>
      </c>
      <c r="N748" t="e" vm="21">
        <f>_xlfn.XLOOKUP($M748,$O:$O,$P:$P,"")</f>
        <v>#VALUE!</v>
      </c>
    </row>
    <row r="749" spans="1:14" x14ac:dyDescent="0.25">
      <c r="A749">
        <v>886</v>
      </c>
      <c r="B749" t="str">
        <f t="shared" si="39"/>
        <v>Eran</v>
      </c>
      <c r="C749" t="s">
        <v>3580</v>
      </c>
      <c r="D749" t="s">
        <v>3581</v>
      </c>
      <c r="E749" t="str">
        <f t="shared" si="40"/>
        <v>elambertzol@cmu.edu</v>
      </c>
      <c r="F749" t="s">
        <v>3582</v>
      </c>
      <c r="G749" t="s">
        <v>11</v>
      </c>
      <c r="H749" t="str">
        <f t="shared" si="41"/>
        <v>Female</v>
      </c>
      <c r="I749" t="str">
        <f>"+880"&amp;RIGHT(SUBSTITUTE(SUBSTITUTE($J749," ",""),"-",""),10)</f>
        <v>+8802974749737</v>
      </c>
      <c r="J749" t="s">
        <v>3583</v>
      </c>
      <c r="K749" t="s">
        <v>13</v>
      </c>
      <c r="L749" t="str">
        <f>_xlfn.XLOOKUP($K$3,K:K,K:K,$K$2)</f>
        <v>Bangladesh</v>
      </c>
      <c r="M749" t="s">
        <v>261</v>
      </c>
      <c r="N749" t="e" vm="37">
        <f>_xlfn.XLOOKUP($M749,$O:$O,$P:$P,"")</f>
        <v>#VALUE!</v>
      </c>
    </row>
    <row r="750" spans="1:14" x14ac:dyDescent="0.25">
      <c r="A750">
        <v>887</v>
      </c>
      <c r="B750" t="str">
        <f t="shared" si="39"/>
        <v>Gilberto</v>
      </c>
      <c r="C750" t="s">
        <v>3584</v>
      </c>
      <c r="D750" t="s">
        <v>3585</v>
      </c>
      <c r="E750" t="str">
        <f t="shared" si="40"/>
        <v>gtythertonom@ehow.com</v>
      </c>
      <c r="F750" t="s">
        <v>3586</v>
      </c>
      <c r="G750" t="s">
        <v>18</v>
      </c>
      <c r="H750" t="str">
        <f t="shared" si="41"/>
        <v>Male</v>
      </c>
      <c r="I750" t="str">
        <f>"+880"&amp;RIGHT(SUBSTITUTE(SUBSTITUTE($J750," ",""),"-",""),10)</f>
        <v>+8809194140580</v>
      </c>
      <c r="J750" t="s">
        <v>3587</v>
      </c>
      <c r="K750" t="s">
        <v>13</v>
      </c>
      <c r="L750" t="str">
        <f>_xlfn.XLOOKUP($K$3,K:K,K:K,$K$2)</f>
        <v>Bangladesh</v>
      </c>
      <c r="M750" t="s">
        <v>20</v>
      </c>
      <c r="N750" t="e" vm="2">
        <f>_xlfn.XLOOKUP($M750,$O:$O,$P:$P,"")</f>
        <v>#VALUE!</v>
      </c>
    </row>
    <row r="751" spans="1:14" x14ac:dyDescent="0.25">
      <c r="A751">
        <v>888</v>
      </c>
      <c r="B751" t="str">
        <f t="shared" si="39"/>
        <v>Hayward</v>
      </c>
      <c r="C751" t="s">
        <v>3588</v>
      </c>
      <c r="D751" t="s">
        <v>3589</v>
      </c>
      <c r="E751" t="str">
        <f t="shared" si="40"/>
        <v>hcorderon@latimes.com</v>
      </c>
      <c r="F751" t="s">
        <v>3590</v>
      </c>
      <c r="G751" t="s">
        <v>18</v>
      </c>
      <c r="H751" t="str">
        <f t="shared" si="41"/>
        <v>Male</v>
      </c>
      <c r="I751" t="str">
        <f>"+880"&amp;RIGHT(SUBSTITUTE(SUBSTITUTE($J751," ",""),"-",""),10)</f>
        <v>+8807001410785</v>
      </c>
      <c r="J751" t="s">
        <v>3591</v>
      </c>
      <c r="K751" t="s">
        <v>13</v>
      </c>
      <c r="L751" t="str">
        <f>_xlfn.XLOOKUP($K$3,K:K,K:K,$K$2)</f>
        <v>Bangladesh</v>
      </c>
      <c r="M751" t="s">
        <v>25</v>
      </c>
      <c r="N751" t="e" vm="3">
        <f>_xlfn.XLOOKUP($M751,$O:$O,$P:$P,"")</f>
        <v>#VALUE!</v>
      </c>
    </row>
    <row r="752" spans="1:14" x14ac:dyDescent="0.25">
      <c r="A752">
        <v>889</v>
      </c>
      <c r="B752" t="str">
        <f t="shared" si="39"/>
        <v>Sterne</v>
      </c>
      <c r="C752" t="s">
        <v>3592</v>
      </c>
      <c r="D752" t="s">
        <v>3593</v>
      </c>
      <c r="E752" t="str">
        <f t="shared" si="40"/>
        <v>smacklinoo@last.fm</v>
      </c>
      <c r="F752" t="s">
        <v>3594</v>
      </c>
      <c r="G752" t="s">
        <v>18</v>
      </c>
      <c r="H752" t="str">
        <f t="shared" si="41"/>
        <v>Male</v>
      </c>
      <c r="I752" t="str">
        <f>"+880"&amp;RIGHT(SUBSTITUTE(SUBSTITUTE($J752," ",""),"-",""),10)</f>
        <v>+8801785104096</v>
      </c>
      <c r="J752" t="s">
        <v>3595</v>
      </c>
      <c r="K752" t="s">
        <v>13</v>
      </c>
      <c r="L752" t="str">
        <f>_xlfn.XLOOKUP($K$3,K:K,K:K,$K$2)</f>
        <v>Bangladesh</v>
      </c>
      <c r="M752" t="s">
        <v>549</v>
      </c>
      <c r="N752" t="e" vm="78">
        <f>_xlfn.XLOOKUP($M752,$O:$O,$P:$P,"")</f>
        <v>#VALUE!</v>
      </c>
    </row>
    <row r="753" spans="1:14" x14ac:dyDescent="0.25">
      <c r="A753">
        <v>890</v>
      </c>
      <c r="B753" t="str">
        <f t="shared" si="39"/>
        <v>Worthington</v>
      </c>
      <c r="C753" t="s">
        <v>892</v>
      </c>
      <c r="D753" t="s">
        <v>3596</v>
      </c>
      <c r="E753" t="str">
        <f t="shared" si="40"/>
        <v>wmcfaydenop@discovery.com</v>
      </c>
      <c r="F753" t="s">
        <v>3597</v>
      </c>
      <c r="G753" t="s">
        <v>18</v>
      </c>
      <c r="H753" t="str">
        <f t="shared" si="41"/>
        <v>Male</v>
      </c>
      <c r="I753" t="str">
        <f>"+880"&amp;RIGHT(SUBSTITUTE(SUBSTITUTE($J753," ",""),"-",""),10)</f>
        <v>+8806695283399</v>
      </c>
      <c r="J753" t="s">
        <v>3598</v>
      </c>
      <c r="K753" t="s">
        <v>13</v>
      </c>
      <c r="L753" t="str">
        <f>_xlfn.XLOOKUP($K$3,K:K,K:K,$K$2)</f>
        <v>Bangladesh</v>
      </c>
      <c r="M753" t="s">
        <v>345</v>
      </c>
      <c r="N753" t="e" vm="46">
        <f>_xlfn.XLOOKUP($M753,$O:$O,$P:$P,"")</f>
        <v>#VALUE!</v>
      </c>
    </row>
    <row r="754" spans="1:14" x14ac:dyDescent="0.25">
      <c r="A754">
        <v>891</v>
      </c>
      <c r="B754" t="str">
        <f t="shared" si="39"/>
        <v>Averyl</v>
      </c>
      <c r="C754" t="s">
        <v>3599</v>
      </c>
      <c r="D754" t="s">
        <v>3600</v>
      </c>
      <c r="E754" t="str">
        <f t="shared" si="40"/>
        <v>afronekoq@theglobeandmail.com</v>
      </c>
      <c r="F754" t="s">
        <v>3601</v>
      </c>
      <c r="G754" t="s">
        <v>11</v>
      </c>
      <c r="H754" t="str">
        <f t="shared" si="41"/>
        <v>Female</v>
      </c>
      <c r="I754" t="str">
        <f>"+880"&amp;RIGHT(SUBSTITUTE(SUBSTITUTE($J754," ",""),"-",""),10)</f>
        <v>+8803225659234</v>
      </c>
      <c r="J754" t="s">
        <v>3602</v>
      </c>
      <c r="K754" t="s">
        <v>13</v>
      </c>
      <c r="L754" t="str">
        <f>_xlfn.XLOOKUP($K$3,K:K,K:K,$K$2)</f>
        <v>Bangladesh</v>
      </c>
      <c r="M754" t="s">
        <v>76</v>
      </c>
      <c r="N754" t="e" vm="10">
        <f>_xlfn.XLOOKUP($M754,$O:$O,$P:$P,"")</f>
        <v>#VALUE!</v>
      </c>
    </row>
    <row r="755" spans="1:14" x14ac:dyDescent="0.25">
      <c r="A755">
        <v>893</v>
      </c>
      <c r="B755" t="str">
        <f t="shared" si="39"/>
        <v>Tyson</v>
      </c>
      <c r="C755" t="s">
        <v>3607</v>
      </c>
      <c r="D755" t="s">
        <v>3608</v>
      </c>
      <c r="E755" t="str">
        <f t="shared" si="40"/>
        <v>tjarrardos@ebay.com</v>
      </c>
      <c r="F755" t="s">
        <v>3609</v>
      </c>
      <c r="G755" t="s">
        <v>18</v>
      </c>
      <c r="H755" t="str">
        <f t="shared" si="41"/>
        <v>Male</v>
      </c>
      <c r="I755" t="str">
        <f>"+880"&amp;RIGHT(SUBSTITUTE(SUBSTITUTE($J755," ",""),"-",""),10)</f>
        <v>+8808675334398</v>
      </c>
      <c r="J755" t="s">
        <v>3610</v>
      </c>
      <c r="K755" t="s">
        <v>13</v>
      </c>
      <c r="L755" t="str">
        <f>_xlfn.XLOOKUP($K$3,K:K,K:K,$K$2)</f>
        <v>Bangladesh</v>
      </c>
      <c r="M755" t="s">
        <v>360</v>
      </c>
      <c r="N755" t="e" vm="56">
        <f>_xlfn.XLOOKUP($M755,$O:$O,$P:$P,"")</f>
        <v>#VALUE!</v>
      </c>
    </row>
    <row r="756" spans="1:14" x14ac:dyDescent="0.25">
      <c r="A756">
        <v>894</v>
      </c>
      <c r="B756" t="str">
        <f t="shared" si="39"/>
        <v>Auberon</v>
      </c>
      <c r="C756" t="s">
        <v>3611</v>
      </c>
      <c r="D756" t="s">
        <v>3612</v>
      </c>
      <c r="E756" t="str">
        <f t="shared" si="40"/>
        <v>amccormickot@canalblog.com</v>
      </c>
      <c r="F756" t="s">
        <v>3613</v>
      </c>
      <c r="G756" t="s">
        <v>18</v>
      </c>
      <c r="H756" t="str">
        <f t="shared" si="41"/>
        <v>Male</v>
      </c>
      <c r="I756" t="str">
        <f>"+880"&amp;RIGHT(SUBSTITUTE(SUBSTITUTE($J756," ",""),"-",""),10)</f>
        <v>+8802188902707</v>
      </c>
      <c r="J756" t="s">
        <v>3614</v>
      </c>
      <c r="K756" t="s">
        <v>13</v>
      </c>
      <c r="L756" t="str">
        <f>_xlfn.XLOOKUP($K$3,K:K,K:K,$K$2)</f>
        <v>Bangladesh</v>
      </c>
      <c r="M756" t="s">
        <v>700</v>
      </c>
      <c r="N756" t="e" vm="70">
        <f>_xlfn.XLOOKUP($M756,$O:$O,$P:$P,"")</f>
        <v>#VALUE!</v>
      </c>
    </row>
    <row r="757" spans="1:14" x14ac:dyDescent="0.25">
      <c r="A757">
        <v>896</v>
      </c>
      <c r="B757" t="str">
        <f t="shared" si="39"/>
        <v>Mabelle</v>
      </c>
      <c r="C757" t="s">
        <v>3619</v>
      </c>
      <c r="D757" t="s">
        <v>3620</v>
      </c>
      <c r="E757" t="str">
        <f t="shared" si="40"/>
        <v>mtittletrossov@psu.edu</v>
      </c>
      <c r="F757" t="s">
        <v>3621</v>
      </c>
      <c r="G757" t="s">
        <v>358</v>
      </c>
      <c r="H757" t="str">
        <f t="shared" si="41"/>
        <v>Other</v>
      </c>
      <c r="I757" t="str">
        <f>"+880"&amp;RIGHT(SUBSTITUTE(SUBSTITUTE($J757," ",""),"-",""),10)</f>
        <v>+8808131011756</v>
      </c>
      <c r="J757" t="s">
        <v>3622</v>
      </c>
      <c r="K757" t="s">
        <v>13</v>
      </c>
      <c r="L757" t="str">
        <f>_xlfn.XLOOKUP($K$3,K:K,K:K,$K$2)</f>
        <v>Bangladesh</v>
      </c>
      <c r="M757" t="s">
        <v>163</v>
      </c>
      <c r="N757" t="e" vm="24">
        <f>_xlfn.XLOOKUP($M757,$O:$O,$P:$P,"")</f>
        <v>#VALUE!</v>
      </c>
    </row>
    <row r="758" spans="1:14" x14ac:dyDescent="0.25">
      <c r="A758">
        <v>897</v>
      </c>
      <c r="B758" t="str">
        <f t="shared" si="39"/>
        <v>Norton</v>
      </c>
      <c r="C758" t="s">
        <v>3623</v>
      </c>
      <c r="D758" t="s">
        <v>3624</v>
      </c>
      <c r="E758" t="str">
        <f t="shared" si="40"/>
        <v>nblackfordow@biblegateway.com</v>
      </c>
      <c r="F758" t="s">
        <v>3625</v>
      </c>
      <c r="G758" t="s">
        <v>18</v>
      </c>
      <c r="H758" t="str">
        <f t="shared" si="41"/>
        <v>Male</v>
      </c>
      <c r="I758" t="str">
        <f>"+880"&amp;RIGHT(SUBSTITUTE(SUBSTITUTE($J758," ",""),"-",""),10)</f>
        <v>+8801511074656</v>
      </c>
      <c r="J758" t="s">
        <v>3626</v>
      </c>
      <c r="K758" t="s">
        <v>13</v>
      </c>
      <c r="L758" t="str">
        <f>_xlfn.XLOOKUP($K$3,K:K,K:K,$K$2)</f>
        <v>Bangladesh</v>
      </c>
      <c r="M758" t="s">
        <v>36</v>
      </c>
      <c r="N758" t="str">
        <f>_xlfn.XLOOKUP($M758,$O:$O,$P:$P,"")</f>
        <v>Lakshmapur</v>
      </c>
    </row>
    <row r="759" spans="1:14" x14ac:dyDescent="0.25">
      <c r="A759">
        <v>898</v>
      </c>
      <c r="B759" t="str">
        <f t="shared" ref="B759:B810" si="42">PROPER(TRIM($C759))</f>
        <v>Flossy</v>
      </c>
      <c r="C759" t="s">
        <v>3627</v>
      </c>
      <c r="D759" t="s">
        <v>3628</v>
      </c>
      <c r="E759" t="str">
        <f t="shared" ref="E759:E810" si="43">LOWER(TRIM($F759))</f>
        <v>fbrawleyox@wiley.com</v>
      </c>
      <c r="F759" t="s">
        <v>3629</v>
      </c>
      <c r="G759" t="s">
        <v>11</v>
      </c>
      <c r="H759" t="str">
        <f t="shared" ref="H759:H810" si="44">IF(OR($G759="M",LOWER($G759)="male"),"Male",
IF(OR($G759="F",LOWER($G759)="female"),"Female","Other"))</f>
        <v>Female</v>
      </c>
      <c r="I759" t="str">
        <f>"+880"&amp;RIGHT(SUBSTITUTE(SUBSTITUTE($J759," ",""),"-",""),10)</f>
        <v>+8802822852582</v>
      </c>
      <c r="J759" t="s">
        <v>3630</v>
      </c>
      <c r="K759" t="s">
        <v>13</v>
      </c>
      <c r="L759" t="str">
        <f>_xlfn.XLOOKUP($K$3,K:K,K:K,$K$2)</f>
        <v>Bangladesh</v>
      </c>
      <c r="M759" t="s">
        <v>36</v>
      </c>
      <c r="N759" t="str">
        <f>_xlfn.XLOOKUP($M759,$O:$O,$P:$P,"")</f>
        <v>Lakshmapur</v>
      </c>
    </row>
    <row r="760" spans="1:14" x14ac:dyDescent="0.25">
      <c r="A760">
        <v>899</v>
      </c>
      <c r="B760" t="str">
        <f t="shared" si="42"/>
        <v>Eolande</v>
      </c>
      <c r="C760" t="s">
        <v>3631</v>
      </c>
      <c r="D760" t="s">
        <v>3632</v>
      </c>
      <c r="E760" t="str">
        <f t="shared" si="43"/>
        <v>etrayfordoy@multiply.com</v>
      </c>
      <c r="F760" t="s">
        <v>3633</v>
      </c>
      <c r="G760" t="s">
        <v>11</v>
      </c>
      <c r="H760" t="str">
        <f t="shared" si="44"/>
        <v>Female</v>
      </c>
      <c r="I760" t="str">
        <f>"+880"&amp;RIGHT(SUBSTITUTE(SUBSTITUTE($J760," ",""),"-",""),10)</f>
        <v>+8809672253801</v>
      </c>
      <c r="J760" t="s">
        <v>3634</v>
      </c>
      <c r="K760" t="s">
        <v>13</v>
      </c>
      <c r="L760" t="str">
        <f>_xlfn.XLOOKUP($K$3,K:K,K:K,$K$2)</f>
        <v>Bangladesh</v>
      </c>
      <c r="M760" t="s">
        <v>687</v>
      </c>
      <c r="N760" t="e" vm="69">
        <f>_xlfn.XLOOKUP($M760,$O:$O,$P:$P,"")</f>
        <v>#VALUE!</v>
      </c>
    </row>
    <row r="761" spans="1:14" x14ac:dyDescent="0.25">
      <c r="A761">
        <v>900</v>
      </c>
      <c r="B761" t="str">
        <f t="shared" si="42"/>
        <v>Shellysheldon</v>
      </c>
      <c r="C761" t="s">
        <v>3635</v>
      </c>
      <c r="D761" t="s">
        <v>3636</v>
      </c>
      <c r="E761" t="str">
        <f t="shared" si="43"/>
        <v>sknivetonoz@ning.com</v>
      </c>
      <c r="F761" t="s">
        <v>3637</v>
      </c>
      <c r="G761" t="s">
        <v>18</v>
      </c>
      <c r="H761" t="str">
        <f t="shared" si="44"/>
        <v>Male</v>
      </c>
      <c r="I761" t="str">
        <f>"+880"&amp;RIGHT(SUBSTITUTE(SUBSTITUTE($J761," ",""),"-",""),10)</f>
        <v>+8809064747344</v>
      </c>
      <c r="J761" t="s">
        <v>3638</v>
      </c>
      <c r="K761" t="s">
        <v>13</v>
      </c>
      <c r="L761" t="str">
        <f>_xlfn.XLOOKUP($K$3,K:K,K:K,$K$2)</f>
        <v>Bangladesh</v>
      </c>
      <c r="M761" t="s">
        <v>365</v>
      </c>
      <c r="N761" t="e" vm="47">
        <f>_xlfn.XLOOKUP($M761,$O:$O,$P:$P,"")</f>
        <v>#VALUE!</v>
      </c>
    </row>
    <row r="762" spans="1:14" x14ac:dyDescent="0.25">
      <c r="A762">
        <v>901</v>
      </c>
      <c r="B762" t="str">
        <f t="shared" si="42"/>
        <v>Allin</v>
      </c>
      <c r="C762" t="s">
        <v>3639</v>
      </c>
      <c r="D762" t="s">
        <v>3640</v>
      </c>
      <c r="E762" t="str">
        <f t="shared" si="43"/>
        <v>agedlingp0@uol.com.br</v>
      </c>
      <c r="F762" t="s">
        <v>3641</v>
      </c>
      <c r="G762" t="s">
        <v>358</v>
      </c>
      <c r="H762" t="str">
        <f t="shared" si="44"/>
        <v>Other</v>
      </c>
      <c r="I762" t="str">
        <f>"+880"&amp;RIGHT(SUBSTITUTE(SUBSTITUTE($J762," ",""),"-",""),10)</f>
        <v>+8807725562588</v>
      </c>
      <c r="J762" t="s">
        <v>3642</v>
      </c>
      <c r="K762" t="s">
        <v>13</v>
      </c>
      <c r="L762" t="str">
        <f>_xlfn.XLOOKUP($K$3,K:K,K:K,$K$2)</f>
        <v>Bangladesh</v>
      </c>
      <c r="M762" t="s">
        <v>41</v>
      </c>
      <c r="N762" t="e" vm="58">
        <f>_xlfn.XLOOKUP($M762,$O:$O,$P:$P,"")</f>
        <v>#VALUE!</v>
      </c>
    </row>
    <row r="763" spans="1:14" x14ac:dyDescent="0.25">
      <c r="A763">
        <v>902</v>
      </c>
      <c r="B763" t="str">
        <f t="shared" si="42"/>
        <v>Ashby</v>
      </c>
      <c r="C763" t="s">
        <v>3643</v>
      </c>
      <c r="D763" t="s">
        <v>3644</v>
      </c>
      <c r="E763" t="str">
        <f t="shared" si="43"/>
        <v>ayanshinovp1@squarespace.com</v>
      </c>
      <c r="F763" t="s">
        <v>3645</v>
      </c>
      <c r="G763" t="s">
        <v>18</v>
      </c>
      <c r="H763" t="str">
        <f t="shared" si="44"/>
        <v>Male</v>
      </c>
      <c r="I763" t="str">
        <f>"+880"&amp;RIGHT(SUBSTITUTE(SUBSTITUTE($J763," ",""),"-",""),10)</f>
        <v>+8808838848547</v>
      </c>
      <c r="J763" t="s">
        <v>3646</v>
      </c>
      <c r="K763" t="s">
        <v>13</v>
      </c>
      <c r="L763" t="str">
        <f>_xlfn.XLOOKUP($K$3,K:K,K:K,$K$2)</f>
        <v>Bangladesh</v>
      </c>
      <c r="M763" t="s">
        <v>673</v>
      </c>
      <c r="N763" t="e" vm="68">
        <f>_xlfn.XLOOKUP($M763,$O:$O,$P:$P,"")</f>
        <v>#VALUE!</v>
      </c>
    </row>
    <row r="764" spans="1:14" x14ac:dyDescent="0.25">
      <c r="A764">
        <v>905</v>
      </c>
      <c r="B764" t="str">
        <f t="shared" si="42"/>
        <v>Mathian</v>
      </c>
      <c r="C764" t="s">
        <v>3655</v>
      </c>
      <c r="D764" t="s">
        <v>3656</v>
      </c>
      <c r="E764" t="str">
        <f t="shared" si="43"/>
        <v>mlegisterp4@cafepress.com</v>
      </c>
      <c r="F764" t="s">
        <v>3657</v>
      </c>
      <c r="G764" t="s">
        <v>18</v>
      </c>
      <c r="H764" t="str">
        <f t="shared" si="44"/>
        <v>Male</v>
      </c>
      <c r="I764" t="str">
        <f>"+880"&amp;RIGHT(SUBSTITUTE(SUBSTITUTE($J764," ",""),"-",""),10)</f>
        <v>+8808712970453</v>
      </c>
      <c r="J764" t="s">
        <v>3658</v>
      </c>
      <c r="K764" t="s">
        <v>13</v>
      </c>
      <c r="L764" t="str">
        <f>_xlfn.XLOOKUP($K$3,K:K,K:K,$K$2)</f>
        <v>Bangladesh</v>
      </c>
      <c r="M764" t="s">
        <v>96</v>
      </c>
      <c r="N764" t="e" vm="14">
        <f>_xlfn.XLOOKUP($M764,$O:$O,$P:$P,"")</f>
        <v>#VALUE!</v>
      </c>
    </row>
    <row r="765" spans="1:14" x14ac:dyDescent="0.25">
      <c r="A765">
        <v>906</v>
      </c>
      <c r="B765" t="str">
        <f t="shared" si="42"/>
        <v>Vivia</v>
      </c>
      <c r="C765" t="s">
        <v>3659</v>
      </c>
      <c r="D765" t="s">
        <v>3660</v>
      </c>
      <c r="E765" t="str">
        <f t="shared" si="43"/>
        <v>vkevisp5@biblegateway.com</v>
      </c>
      <c r="F765" t="s">
        <v>3661</v>
      </c>
      <c r="G765" t="s">
        <v>11</v>
      </c>
      <c r="H765" t="str">
        <f t="shared" si="44"/>
        <v>Female</v>
      </c>
      <c r="I765" t="str">
        <f>"+880"&amp;RIGHT(SUBSTITUTE(SUBSTITUTE($J765," ",""),"-",""),10)</f>
        <v>+8808121156667</v>
      </c>
      <c r="J765" t="s">
        <v>3662</v>
      </c>
      <c r="K765" t="s">
        <v>13</v>
      </c>
      <c r="L765" t="str">
        <f>_xlfn.XLOOKUP($K$3,K:K,K:K,$K$2)</f>
        <v>Bangladesh</v>
      </c>
      <c r="M765" t="s">
        <v>1106</v>
      </c>
      <c r="N765" t="e" vm="83">
        <f>_xlfn.XLOOKUP($M765,$O:$O,$P:$P,"")</f>
        <v>#VALUE!</v>
      </c>
    </row>
    <row r="766" spans="1:14" x14ac:dyDescent="0.25">
      <c r="A766">
        <v>907</v>
      </c>
      <c r="B766" t="str">
        <f t="shared" si="42"/>
        <v>Korey</v>
      </c>
      <c r="C766" t="s">
        <v>3663</v>
      </c>
      <c r="D766" t="s">
        <v>3664</v>
      </c>
      <c r="E766" t="str">
        <f t="shared" si="43"/>
        <v>kdoudnyp6@cnet.com</v>
      </c>
      <c r="F766" t="s">
        <v>3665</v>
      </c>
      <c r="G766" t="s">
        <v>18</v>
      </c>
      <c r="H766" t="str">
        <f t="shared" si="44"/>
        <v>Male</v>
      </c>
      <c r="I766" t="str">
        <f>"+880"&amp;RIGHT(SUBSTITUTE(SUBSTITUTE($J766," ",""),"-",""),10)</f>
        <v>+8801261696884</v>
      </c>
      <c r="J766" t="s">
        <v>3666</v>
      </c>
      <c r="K766" t="s">
        <v>13</v>
      </c>
      <c r="L766" t="str">
        <f>_xlfn.XLOOKUP($K$3,K:K,K:K,$K$2)</f>
        <v>Bangladesh</v>
      </c>
      <c r="M766" t="s">
        <v>205</v>
      </c>
      <c r="N766" t="e" vm="30">
        <f>_xlfn.XLOOKUP($M766,$O:$O,$P:$P,"")</f>
        <v>#VALUE!</v>
      </c>
    </row>
    <row r="767" spans="1:14" x14ac:dyDescent="0.25">
      <c r="A767">
        <v>908</v>
      </c>
      <c r="B767" t="str">
        <f t="shared" si="42"/>
        <v>Arleyne</v>
      </c>
      <c r="C767" t="s">
        <v>3667</v>
      </c>
      <c r="D767" t="s">
        <v>3668</v>
      </c>
      <c r="E767" t="str">
        <f t="shared" si="43"/>
        <v>agoldspinkp7@ucoz.ru</v>
      </c>
      <c r="F767" t="s">
        <v>3669</v>
      </c>
      <c r="G767" t="s">
        <v>11</v>
      </c>
      <c r="H767" t="str">
        <f t="shared" si="44"/>
        <v>Female</v>
      </c>
      <c r="I767" t="str">
        <f>"+880"&amp;RIGHT(SUBSTITUTE(SUBSTITUTE($J767," ",""),"-",""),10)</f>
        <v>+8806957142188</v>
      </c>
      <c r="J767" t="s">
        <v>3670</v>
      </c>
      <c r="K767" t="s">
        <v>13</v>
      </c>
      <c r="L767" t="str">
        <f>_xlfn.XLOOKUP($K$3,K:K,K:K,$K$2)</f>
        <v>Bangladesh</v>
      </c>
      <c r="M767" t="s">
        <v>399</v>
      </c>
      <c r="N767" t="str">
        <f>_xlfn.XLOOKUP($M767,$O:$O,$P:$P,"")</f>
        <v>Jhingergacha</v>
      </c>
    </row>
    <row r="768" spans="1:14" x14ac:dyDescent="0.25">
      <c r="A768">
        <v>909</v>
      </c>
      <c r="B768" t="str">
        <f t="shared" si="42"/>
        <v>Giustina</v>
      </c>
      <c r="C768" t="s">
        <v>3671</v>
      </c>
      <c r="D768" t="s">
        <v>3672</v>
      </c>
      <c r="E768" t="str">
        <f t="shared" si="43"/>
        <v>gfaersp8@diigo.com</v>
      </c>
      <c r="F768" t="s">
        <v>3673</v>
      </c>
      <c r="G768" t="s">
        <v>11</v>
      </c>
      <c r="H768" t="str">
        <f t="shared" si="44"/>
        <v>Female</v>
      </c>
      <c r="I768" t="str">
        <f>"+880"&amp;RIGHT(SUBSTITUTE(SUBSTITUTE($J768," ",""),"-",""),10)</f>
        <v>+8809003112684</v>
      </c>
      <c r="J768" t="s">
        <v>3674</v>
      </c>
      <c r="K768" t="s">
        <v>13</v>
      </c>
      <c r="L768" t="str">
        <f>_xlfn.XLOOKUP($K$3,K:K,K:K,$K$2)</f>
        <v>Bangladesh</v>
      </c>
      <c r="M768" t="s">
        <v>252</v>
      </c>
      <c r="N768" t="e" vm="36">
        <f>_xlfn.XLOOKUP($M768,$O:$O,$P:$P,"")</f>
        <v>#VALUE!</v>
      </c>
    </row>
    <row r="769" spans="1:14" x14ac:dyDescent="0.25">
      <c r="A769">
        <v>911</v>
      </c>
      <c r="B769" t="str">
        <f t="shared" si="42"/>
        <v>Rutherford</v>
      </c>
      <c r="C769" t="s">
        <v>3678</v>
      </c>
      <c r="D769" t="s">
        <v>2438</v>
      </c>
      <c r="E769" t="str">
        <f t="shared" si="43"/>
        <v>rmcritchiepa@quantcast.com</v>
      </c>
      <c r="F769" t="s">
        <v>3679</v>
      </c>
      <c r="G769" t="s">
        <v>18</v>
      </c>
      <c r="H769" t="str">
        <f t="shared" si="44"/>
        <v>Male</v>
      </c>
      <c r="I769" t="str">
        <f>"+880"&amp;RIGHT(SUBSTITUTE(SUBSTITUTE($J769," ",""),"-",""),10)</f>
        <v>+8805907315213</v>
      </c>
      <c r="J769" t="s">
        <v>3680</v>
      </c>
      <c r="K769" t="s">
        <v>13</v>
      </c>
      <c r="L769" t="str">
        <f>_xlfn.XLOOKUP($K$3,K:K,K:K,$K$2)</f>
        <v>Bangladesh</v>
      </c>
      <c r="M769" t="s">
        <v>809</v>
      </c>
      <c r="N769" t="e" vm="74">
        <f>_xlfn.XLOOKUP($M769,$O:$O,$P:$P,"")</f>
        <v>#VALUE!</v>
      </c>
    </row>
    <row r="770" spans="1:14" x14ac:dyDescent="0.25">
      <c r="A770">
        <v>912</v>
      </c>
      <c r="B770" t="str">
        <f t="shared" si="42"/>
        <v>Thorsten</v>
      </c>
      <c r="C770" t="s">
        <v>3681</v>
      </c>
      <c r="D770" t="s">
        <v>3682</v>
      </c>
      <c r="E770" t="str">
        <f t="shared" si="43"/>
        <v>troddenpb@foxnews.com</v>
      </c>
      <c r="F770" t="s">
        <v>3683</v>
      </c>
      <c r="G770" t="s">
        <v>18</v>
      </c>
      <c r="H770" t="str">
        <f t="shared" si="44"/>
        <v>Male</v>
      </c>
      <c r="I770" t="str">
        <f>"+880"&amp;RIGHT(SUBSTITUTE(SUBSTITUTE($J770," ",""),"-",""),10)</f>
        <v>+8808989256417</v>
      </c>
      <c r="J770" t="s">
        <v>3684</v>
      </c>
      <c r="K770" t="s">
        <v>13</v>
      </c>
      <c r="L770" t="str">
        <f>_xlfn.XLOOKUP($K$3,K:K,K:K,$K$2)</f>
        <v>Bangladesh</v>
      </c>
      <c r="M770" t="s">
        <v>215</v>
      </c>
      <c r="N770" t="e" vm="32">
        <f>_xlfn.XLOOKUP($M770,$O:$O,$P:$P,"")</f>
        <v>#VALUE!</v>
      </c>
    </row>
    <row r="771" spans="1:14" x14ac:dyDescent="0.25">
      <c r="A771">
        <v>914</v>
      </c>
      <c r="B771" t="str">
        <f t="shared" si="42"/>
        <v>Rosalind</v>
      </c>
      <c r="C771" t="s">
        <v>3688</v>
      </c>
      <c r="D771" t="s">
        <v>3689</v>
      </c>
      <c r="E771" t="str">
        <f t="shared" si="43"/>
        <v>rfernihoughpd@go.com</v>
      </c>
      <c r="F771" t="s">
        <v>3690</v>
      </c>
      <c r="G771" t="s">
        <v>11</v>
      </c>
      <c r="H771" t="str">
        <f t="shared" si="44"/>
        <v>Female</v>
      </c>
      <c r="I771" t="str">
        <f>"+880"&amp;RIGHT(SUBSTITUTE(SUBSTITUTE($J771," ",""),"-",""),10)</f>
        <v>+8803194017569</v>
      </c>
      <c r="J771" t="s">
        <v>3691</v>
      </c>
      <c r="K771" t="s">
        <v>13</v>
      </c>
      <c r="L771" t="str">
        <f>_xlfn.XLOOKUP($K$3,K:K,K:K,$K$2)</f>
        <v>Bangladesh</v>
      </c>
      <c r="M771" t="s">
        <v>101</v>
      </c>
      <c r="N771" t="e" vm="15">
        <f>_xlfn.XLOOKUP($M771,$O:$O,$P:$P,"")</f>
        <v>#VALUE!</v>
      </c>
    </row>
    <row r="772" spans="1:14" x14ac:dyDescent="0.25">
      <c r="A772">
        <v>915</v>
      </c>
      <c r="B772" t="str">
        <f t="shared" si="42"/>
        <v>Bili</v>
      </c>
      <c r="C772" t="s">
        <v>3692</v>
      </c>
      <c r="D772" t="s">
        <v>3693</v>
      </c>
      <c r="E772" t="str">
        <f t="shared" si="43"/>
        <v>bawtonpe@reference.com</v>
      </c>
      <c r="F772" t="s">
        <v>3694</v>
      </c>
      <c r="G772" t="s">
        <v>11</v>
      </c>
      <c r="H772" t="str">
        <f t="shared" si="44"/>
        <v>Female</v>
      </c>
      <c r="I772" t="str">
        <f>"+880"&amp;RIGHT(SUBSTITUTE(SUBSTITUTE($J772," ",""),"-",""),10)</f>
        <v>+8809144588650</v>
      </c>
      <c r="J772" t="s">
        <v>3695</v>
      </c>
      <c r="K772" t="s">
        <v>13</v>
      </c>
      <c r="L772" t="str">
        <f>_xlfn.XLOOKUP($K$3,K:K,K:K,$K$2)</f>
        <v>Bangladesh</v>
      </c>
      <c r="M772" t="s">
        <v>296</v>
      </c>
      <c r="N772" t="e" vm="81">
        <f>_xlfn.XLOOKUP($M772,$O:$O,$P:$P,"")</f>
        <v>#VALUE!</v>
      </c>
    </row>
    <row r="773" spans="1:14" x14ac:dyDescent="0.25">
      <c r="A773">
        <v>916</v>
      </c>
      <c r="B773" t="str">
        <f t="shared" si="42"/>
        <v>Candace</v>
      </c>
      <c r="C773" t="s">
        <v>3696</v>
      </c>
      <c r="D773" t="s">
        <v>3697</v>
      </c>
      <c r="E773" t="str">
        <f t="shared" si="43"/>
        <v>cezelepf@stanford.edu</v>
      </c>
      <c r="F773" t="s">
        <v>3698</v>
      </c>
      <c r="G773" t="s">
        <v>11</v>
      </c>
      <c r="H773" t="str">
        <f t="shared" si="44"/>
        <v>Female</v>
      </c>
      <c r="I773" t="str">
        <f>"+880"&amp;RIGHT(SUBSTITUTE(SUBSTITUTE($J773," ",""),"-",""),10)</f>
        <v>+8805473795948</v>
      </c>
      <c r="J773" t="s">
        <v>3699</v>
      </c>
      <c r="K773" t="s">
        <v>13</v>
      </c>
      <c r="L773" t="str">
        <f>_xlfn.XLOOKUP($K$3,K:K,K:K,$K$2)</f>
        <v>Bangladesh</v>
      </c>
      <c r="M773" t="s">
        <v>567</v>
      </c>
      <c r="N773" t="e" vm="55">
        <f>_xlfn.XLOOKUP($M773,$O:$O,$P:$P,"")</f>
        <v>#VALUE!</v>
      </c>
    </row>
    <row r="774" spans="1:14" x14ac:dyDescent="0.25">
      <c r="A774">
        <v>917</v>
      </c>
      <c r="B774" t="str">
        <f t="shared" si="42"/>
        <v>Gwen</v>
      </c>
      <c r="C774" t="s">
        <v>3700</v>
      </c>
      <c r="D774" t="s">
        <v>3701</v>
      </c>
      <c r="E774" t="str">
        <f t="shared" si="43"/>
        <v>gbredespg@webnode.com</v>
      </c>
      <c r="F774" t="s">
        <v>3702</v>
      </c>
      <c r="G774" t="s">
        <v>11</v>
      </c>
      <c r="H774" t="str">
        <f t="shared" si="44"/>
        <v>Female</v>
      </c>
      <c r="I774" t="str">
        <f>"+880"&amp;RIGHT(SUBSTITUTE(SUBSTITUTE($J774," ",""),"-",""),10)</f>
        <v>+8808189480745</v>
      </c>
      <c r="J774" t="s">
        <v>3703</v>
      </c>
      <c r="K774" t="s">
        <v>13</v>
      </c>
      <c r="L774" t="str">
        <f>_xlfn.XLOOKUP($K$3,K:K,K:K,$K$2)</f>
        <v>Bangladesh</v>
      </c>
      <c r="M774" t="s">
        <v>188</v>
      </c>
      <c r="N774" t="e" vm="29">
        <f>_xlfn.XLOOKUP($M774,$O:$O,$P:$P,"")</f>
        <v>#VALUE!</v>
      </c>
    </row>
    <row r="775" spans="1:14" x14ac:dyDescent="0.25">
      <c r="A775">
        <v>918</v>
      </c>
      <c r="B775" t="str">
        <f t="shared" si="42"/>
        <v>Brit</v>
      </c>
      <c r="C775" t="s">
        <v>1783</v>
      </c>
      <c r="D775" t="s">
        <v>3704</v>
      </c>
      <c r="E775" t="str">
        <f t="shared" si="43"/>
        <v>bdollardph@wufoo.com</v>
      </c>
      <c r="F775" t="s">
        <v>3705</v>
      </c>
      <c r="G775" t="s">
        <v>18</v>
      </c>
      <c r="H775" t="str">
        <f t="shared" si="44"/>
        <v>Male</v>
      </c>
      <c r="I775" t="str">
        <f>"+880"&amp;RIGHT(SUBSTITUTE(SUBSTITUTE($J775," ",""),"-",""),10)</f>
        <v>+8804788393859</v>
      </c>
      <c r="J775" t="s">
        <v>3706</v>
      </c>
      <c r="K775" t="s">
        <v>13</v>
      </c>
      <c r="L775" t="str">
        <f>_xlfn.XLOOKUP($K$3,K:K,K:K,$K$2)</f>
        <v>Bangladesh</v>
      </c>
      <c r="M775" t="s">
        <v>149</v>
      </c>
      <c r="N775" t="e" vm="22">
        <f>_xlfn.XLOOKUP($M775,$O:$O,$P:$P,"")</f>
        <v>#VALUE!</v>
      </c>
    </row>
    <row r="776" spans="1:14" x14ac:dyDescent="0.25">
      <c r="A776">
        <v>919</v>
      </c>
      <c r="B776" t="str">
        <f t="shared" si="42"/>
        <v>Melva</v>
      </c>
      <c r="C776" t="s">
        <v>3707</v>
      </c>
      <c r="D776" t="s">
        <v>3708</v>
      </c>
      <c r="E776" t="str">
        <f t="shared" si="43"/>
        <v>msweenypi@github.com</v>
      </c>
      <c r="F776" t="s">
        <v>3709</v>
      </c>
      <c r="G776" t="s">
        <v>11</v>
      </c>
      <c r="H776" t="str">
        <f t="shared" si="44"/>
        <v>Female</v>
      </c>
      <c r="I776" t="str">
        <f>"+880"&amp;RIGHT(SUBSTITUTE(SUBSTITUTE($J776," ",""),"-",""),10)</f>
        <v>+8802304716849</v>
      </c>
      <c r="J776" t="s">
        <v>3710</v>
      </c>
      <c r="K776" t="s">
        <v>13</v>
      </c>
      <c r="L776" t="str">
        <f>_xlfn.XLOOKUP($K$3,K:K,K:K,$K$2)</f>
        <v>Bangladesh</v>
      </c>
      <c r="M776" t="s">
        <v>36</v>
      </c>
      <c r="N776" t="str">
        <f>_xlfn.XLOOKUP($M776,$O:$O,$P:$P,"")</f>
        <v>Lakshmapur</v>
      </c>
    </row>
    <row r="777" spans="1:14" x14ac:dyDescent="0.25">
      <c r="A777">
        <v>921</v>
      </c>
      <c r="B777" t="str">
        <f t="shared" si="42"/>
        <v>Sauncho</v>
      </c>
      <c r="C777" t="s">
        <v>3715</v>
      </c>
      <c r="D777" t="s">
        <v>3716</v>
      </c>
      <c r="E777" t="str">
        <f t="shared" si="43"/>
        <v>sdepaepepk@php.net</v>
      </c>
      <c r="F777" t="s">
        <v>3717</v>
      </c>
      <c r="G777" t="s">
        <v>18</v>
      </c>
      <c r="H777" t="str">
        <f t="shared" si="44"/>
        <v>Male</v>
      </c>
      <c r="I777" t="str">
        <f>"+880"&amp;RIGHT(SUBSTITUTE(SUBSTITUTE($J777," ",""),"-",""),10)</f>
        <v>+8807961506706</v>
      </c>
      <c r="J777" t="s">
        <v>3718</v>
      </c>
      <c r="K777" t="s">
        <v>13</v>
      </c>
      <c r="L777" t="str">
        <f>_xlfn.XLOOKUP($K$3,K:K,K:K,$K$2)</f>
        <v>Bangladesh</v>
      </c>
      <c r="M777" t="s">
        <v>14</v>
      </c>
      <c r="N777" t="e" vm="1">
        <f>_xlfn.XLOOKUP($M777,$O:$O,$P:$P,"")</f>
        <v>#VALUE!</v>
      </c>
    </row>
    <row r="778" spans="1:14" x14ac:dyDescent="0.25">
      <c r="A778">
        <v>922</v>
      </c>
      <c r="B778" t="str">
        <f t="shared" si="42"/>
        <v>Blondelle</v>
      </c>
      <c r="C778" t="s">
        <v>518</v>
      </c>
      <c r="D778" t="s">
        <v>3719</v>
      </c>
      <c r="E778" t="str">
        <f t="shared" si="43"/>
        <v>bashcroftpl@twitpic.com</v>
      </c>
      <c r="F778" t="s">
        <v>3720</v>
      </c>
      <c r="G778" t="s">
        <v>358</v>
      </c>
      <c r="H778" t="str">
        <f t="shared" si="44"/>
        <v>Other</v>
      </c>
      <c r="I778" t="str">
        <f>"+880"&amp;RIGHT(SUBSTITUTE(SUBSTITUTE($J778," ",""),"-",""),10)</f>
        <v>+8806914900214</v>
      </c>
      <c r="J778" t="s">
        <v>3721</v>
      </c>
      <c r="K778" t="s">
        <v>13</v>
      </c>
      <c r="L778" t="str">
        <f>_xlfn.XLOOKUP($K$3,K:K,K:K,$K$2)</f>
        <v>Bangladesh</v>
      </c>
      <c r="M778" t="s">
        <v>839</v>
      </c>
      <c r="N778" t="e" vm="76">
        <f>_xlfn.XLOOKUP($M778,$O:$O,$P:$P,"")</f>
        <v>#VALUE!</v>
      </c>
    </row>
    <row r="779" spans="1:14" x14ac:dyDescent="0.25">
      <c r="A779">
        <v>923</v>
      </c>
      <c r="B779" t="str">
        <f t="shared" si="42"/>
        <v>Minnnie</v>
      </c>
      <c r="C779" t="s">
        <v>3722</v>
      </c>
      <c r="D779" t="s">
        <v>2673</v>
      </c>
      <c r="E779" t="str">
        <f t="shared" si="43"/>
        <v>mlyttlepm@tuttocitta.it</v>
      </c>
      <c r="F779" t="s">
        <v>3723</v>
      </c>
      <c r="G779" t="s">
        <v>11</v>
      </c>
      <c r="H779" t="str">
        <f t="shared" si="44"/>
        <v>Female</v>
      </c>
      <c r="I779" t="str">
        <f>"+880"&amp;RIGHT(SUBSTITUTE(SUBSTITUTE($J779," ",""),"-",""),10)</f>
        <v>+8803649891495</v>
      </c>
      <c r="J779" t="s">
        <v>3724</v>
      </c>
      <c r="K779" t="s">
        <v>13</v>
      </c>
      <c r="L779" t="str">
        <f>_xlfn.XLOOKUP($K$3,K:K,K:K,$K$2)</f>
        <v>Bangladesh</v>
      </c>
      <c r="M779" t="s">
        <v>120</v>
      </c>
      <c r="N779" t="str">
        <f>_xlfn.XLOOKUP($M779,$O:$O,$P:$P,"")</f>
        <v>Bhatpara Abhaynagar</v>
      </c>
    </row>
    <row r="780" spans="1:14" x14ac:dyDescent="0.25">
      <c r="A780">
        <v>924</v>
      </c>
      <c r="B780" t="str">
        <f t="shared" si="42"/>
        <v>Rebekah</v>
      </c>
      <c r="C780" t="s">
        <v>3725</v>
      </c>
      <c r="D780" t="s">
        <v>3726</v>
      </c>
      <c r="E780" t="str">
        <f t="shared" si="43"/>
        <v>rcauldfieldpn@independent.co.uk</v>
      </c>
      <c r="F780" t="s">
        <v>3727</v>
      </c>
      <c r="G780" t="s">
        <v>11</v>
      </c>
      <c r="H780" t="str">
        <f t="shared" si="44"/>
        <v>Female</v>
      </c>
      <c r="I780" t="str">
        <f>"+880"&amp;RIGHT(SUBSTITUTE(SUBSTITUTE($J780," ",""),"-",""),10)</f>
        <v>+8802465302278</v>
      </c>
      <c r="J780" t="s">
        <v>3728</v>
      </c>
      <c r="K780" t="s">
        <v>13</v>
      </c>
      <c r="L780" t="str">
        <f>_xlfn.XLOOKUP($K$3,K:K,K:K,$K$2)</f>
        <v>Bangladesh</v>
      </c>
      <c r="M780" t="s">
        <v>71</v>
      </c>
      <c r="N780" t="e" vm="9">
        <f>_xlfn.XLOOKUP($M780,$O:$O,$P:$P,"")</f>
        <v>#VALUE!</v>
      </c>
    </row>
    <row r="781" spans="1:14" x14ac:dyDescent="0.25">
      <c r="A781">
        <v>925</v>
      </c>
      <c r="B781" t="str">
        <f t="shared" si="42"/>
        <v>Priscilla</v>
      </c>
      <c r="C781" t="s">
        <v>3729</v>
      </c>
      <c r="D781" t="s">
        <v>3730</v>
      </c>
      <c r="E781" t="str">
        <f t="shared" si="43"/>
        <v>pschmidtpo@alexa.com</v>
      </c>
      <c r="F781" t="s">
        <v>3731</v>
      </c>
      <c r="G781" t="s">
        <v>11</v>
      </c>
      <c r="H781" t="str">
        <f t="shared" si="44"/>
        <v>Female</v>
      </c>
      <c r="I781" t="str">
        <f>"+880"&amp;RIGHT(SUBSTITUTE(SUBSTITUTE($J781," ",""),"-",""),10)</f>
        <v>+8802225334396</v>
      </c>
      <c r="J781" t="s">
        <v>3732</v>
      </c>
      <c r="K781" t="s">
        <v>13</v>
      </c>
      <c r="L781" t="str">
        <f>_xlfn.XLOOKUP($K$3,K:K,K:K,$K$2)</f>
        <v>Bangladesh</v>
      </c>
      <c r="M781" t="s">
        <v>504</v>
      </c>
      <c r="N781" t="e" vm="54">
        <f>_xlfn.XLOOKUP($M781,$O:$O,$P:$P,"")</f>
        <v>#VALUE!</v>
      </c>
    </row>
    <row r="782" spans="1:14" x14ac:dyDescent="0.25">
      <c r="A782">
        <v>927</v>
      </c>
      <c r="B782" t="str">
        <f t="shared" si="42"/>
        <v>Will</v>
      </c>
      <c r="C782" t="s">
        <v>3736</v>
      </c>
      <c r="D782" t="s">
        <v>3737</v>
      </c>
      <c r="E782" t="str">
        <f t="shared" si="43"/>
        <v>wewenpq@issuu.com</v>
      </c>
      <c r="F782" t="s">
        <v>3738</v>
      </c>
      <c r="G782" t="s">
        <v>18</v>
      </c>
      <c r="H782" t="str">
        <f t="shared" si="44"/>
        <v>Male</v>
      </c>
      <c r="I782" t="str">
        <f>"+880"&amp;RIGHT(SUBSTITUTE(SUBSTITUTE($J782," ",""),"-",""),10)</f>
        <v>+8806051369858</v>
      </c>
      <c r="J782" t="s">
        <v>3739</v>
      </c>
      <c r="K782" t="s">
        <v>13</v>
      </c>
      <c r="L782" t="str">
        <f>_xlfn.XLOOKUP($K$3,K:K,K:K,$K$2)</f>
        <v>Bangladesh</v>
      </c>
      <c r="M782" t="s">
        <v>41</v>
      </c>
      <c r="N782" t="e" vm="58">
        <f>_xlfn.XLOOKUP($M782,$O:$O,$P:$P,"")</f>
        <v>#VALUE!</v>
      </c>
    </row>
    <row r="783" spans="1:14" x14ac:dyDescent="0.25">
      <c r="A783">
        <v>928</v>
      </c>
      <c r="B783" t="str">
        <f t="shared" si="42"/>
        <v>Flor</v>
      </c>
      <c r="C783" t="s">
        <v>3740</v>
      </c>
      <c r="D783" t="s">
        <v>3741</v>
      </c>
      <c r="E783" t="str">
        <f t="shared" si="43"/>
        <v>fmeesonpr@homestead.com</v>
      </c>
      <c r="F783" t="s">
        <v>3742</v>
      </c>
      <c r="G783" t="s">
        <v>11</v>
      </c>
      <c r="H783" t="str">
        <f t="shared" si="44"/>
        <v>Female</v>
      </c>
      <c r="I783" t="str">
        <f>"+880"&amp;RIGHT(SUBSTITUTE(SUBSTITUTE($J783," ",""),"-",""),10)</f>
        <v>+8808443789866</v>
      </c>
      <c r="J783" t="s">
        <v>3743</v>
      </c>
      <c r="K783" t="s">
        <v>13</v>
      </c>
      <c r="L783" t="str">
        <f>_xlfn.XLOOKUP($K$3,K:K,K:K,$K$2)</f>
        <v>Bangladesh</v>
      </c>
      <c r="M783" t="s">
        <v>345</v>
      </c>
      <c r="N783" t="e" vm="46">
        <f>_xlfn.XLOOKUP($M783,$O:$O,$P:$P,"")</f>
        <v>#VALUE!</v>
      </c>
    </row>
    <row r="784" spans="1:14" x14ac:dyDescent="0.25">
      <c r="A784">
        <v>929</v>
      </c>
      <c r="B784" t="str">
        <f t="shared" si="42"/>
        <v>Tallou</v>
      </c>
      <c r="C784" t="s">
        <v>3744</v>
      </c>
      <c r="D784" t="s">
        <v>3745</v>
      </c>
      <c r="E784" t="str">
        <f t="shared" si="43"/>
        <v>tsakerps@naver.com</v>
      </c>
      <c r="F784" t="s">
        <v>3746</v>
      </c>
      <c r="G784" t="s">
        <v>11</v>
      </c>
      <c r="H784" t="str">
        <f t="shared" si="44"/>
        <v>Female</v>
      </c>
      <c r="I784" t="str">
        <f>"+880"&amp;RIGHT(SUBSTITUTE(SUBSTITUTE($J784," ",""),"-",""),10)</f>
        <v>+8801055394717</v>
      </c>
      <c r="J784" t="s">
        <v>3747</v>
      </c>
      <c r="K784" t="s">
        <v>13</v>
      </c>
      <c r="L784" t="str">
        <f>_xlfn.XLOOKUP($K$3,K:K,K:K,$K$2)</f>
        <v>Bangladesh</v>
      </c>
      <c r="M784" t="s">
        <v>345</v>
      </c>
      <c r="N784" t="e" vm="46">
        <f>_xlfn.XLOOKUP($M784,$O:$O,$P:$P,"")</f>
        <v>#VALUE!</v>
      </c>
    </row>
    <row r="785" spans="1:14" x14ac:dyDescent="0.25">
      <c r="A785">
        <v>930</v>
      </c>
      <c r="B785" t="str">
        <f t="shared" si="42"/>
        <v>Bobinette</v>
      </c>
      <c r="C785" t="s">
        <v>3748</v>
      </c>
      <c r="D785" t="s">
        <v>3749</v>
      </c>
      <c r="E785" t="str">
        <f t="shared" si="43"/>
        <v>bmewspt@seattletimes.com</v>
      </c>
      <c r="F785" t="s">
        <v>3750</v>
      </c>
      <c r="G785" t="s">
        <v>11</v>
      </c>
      <c r="H785" t="str">
        <f t="shared" si="44"/>
        <v>Female</v>
      </c>
      <c r="I785" t="str">
        <f>"+880"&amp;RIGHT(SUBSTITUTE(SUBSTITUTE($J785," ",""),"-",""),10)</f>
        <v>+8801322289408</v>
      </c>
      <c r="J785" t="s">
        <v>3751</v>
      </c>
      <c r="K785" t="s">
        <v>13</v>
      </c>
      <c r="L785" t="str">
        <f>_xlfn.XLOOKUP($K$3,K:K,K:K,$K$2)</f>
        <v>Bangladesh</v>
      </c>
      <c r="M785" t="s">
        <v>678</v>
      </c>
      <c r="N785" t="str">
        <f>_xlfn.XLOOKUP($M785,$O:$O,$P:$P,"")</f>
        <v>Pargaaj</v>
      </c>
    </row>
    <row r="786" spans="1:14" x14ac:dyDescent="0.25">
      <c r="A786">
        <v>931</v>
      </c>
      <c r="B786" t="str">
        <f t="shared" si="42"/>
        <v>Valentine</v>
      </c>
      <c r="C786" t="s">
        <v>1893</v>
      </c>
      <c r="D786" t="s">
        <v>3752</v>
      </c>
      <c r="E786" t="str">
        <f t="shared" si="43"/>
        <v>vkeavespu@sitemeter.com</v>
      </c>
      <c r="F786" t="s">
        <v>3753</v>
      </c>
      <c r="G786" t="s">
        <v>18</v>
      </c>
      <c r="H786" t="str">
        <f t="shared" si="44"/>
        <v>Male</v>
      </c>
      <c r="I786" t="str">
        <f>"+880"&amp;RIGHT(SUBSTITUTE(SUBSTITUTE($J786," ",""),"-",""),10)</f>
        <v>+8806428550760</v>
      </c>
      <c r="J786" t="s">
        <v>3754</v>
      </c>
      <c r="K786" t="s">
        <v>13</v>
      </c>
      <c r="L786" t="str">
        <f>_xlfn.XLOOKUP($K$3,K:K,K:K,$K$2)</f>
        <v>Bangladesh</v>
      </c>
      <c r="M786" t="s">
        <v>154</v>
      </c>
      <c r="N786" t="e" vm="23">
        <f>_xlfn.XLOOKUP($M786,$O:$O,$P:$P,"")</f>
        <v>#VALUE!</v>
      </c>
    </row>
    <row r="787" spans="1:14" x14ac:dyDescent="0.25">
      <c r="A787">
        <v>933</v>
      </c>
      <c r="B787" t="str">
        <f t="shared" si="42"/>
        <v>Beth</v>
      </c>
      <c r="C787" t="s">
        <v>3758</v>
      </c>
      <c r="D787" t="s">
        <v>3759</v>
      </c>
      <c r="E787" t="str">
        <f t="shared" si="43"/>
        <v>bvantpw@vimeo.com</v>
      </c>
      <c r="F787" t="s">
        <v>3760</v>
      </c>
      <c r="G787" t="s">
        <v>11</v>
      </c>
      <c r="H787" t="str">
        <f t="shared" si="44"/>
        <v>Female</v>
      </c>
      <c r="I787" t="str">
        <f>"+880"&amp;RIGHT(SUBSTITUTE(SUBSTITUTE($J787," ",""),"-",""),10)</f>
        <v>+8802777635583</v>
      </c>
      <c r="J787" t="s">
        <v>3761</v>
      </c>
      <c r="K787" t="s">
        <v>13</v>
      </c>
      <c r="L787" t="str">
        <f>_xlfn.XLOOKUP($K$3,K:K,K:K,$K$2)</f>
        <v>Bangladesh</v>
      </c>
      <c r="M787" t="s">
        <v>154</v>
      </c>
      <c r="N787" t="e" vm="23">
        <f>_xlfn.XLOOKUP($M787,$O:$O,$P:$P,"")</f>
        <v>#VALUE!</v>
      </c>
    </row>
    <row r="788" spans="1:14" x14ac:dyDescent="0.25">
      <c r="A788">
        <v>935</v>
      </c>
      <c r="B788" t="str">
        <f t="shared" si="42"/>
        <v>Lynnea</v>
      </c>
      <c r="C788" t="s">
        <v>3766</v>
      </c>
      <c r="D788" t="s">
        <v>3767</v>
      </c>
      <c r="E788" t="str">
        <f t="shared" si="43"/>
        <v>lgoslingpy@amazon.de</v>
      </c>
      <c r="F788" t="s">
        <v>3768</v>
      </c>
      <c r="G788" t="s">
        <v>11</v>
      </c>
      <c r="H788" t="str">
        <f t="shared" si="44"/>
        <v>Female</v>
      </c>
      <c r="I788" t="str">
        <f>"+880"&amp;RIGHT(SUBSTITUTE(SUBSTITUTE($J788," ",""),"-",""),10)</f>
        <v>+8809086659774</v>
      </c>
      <c r="J788" t="s">
        <v>3769</v>
      </c>
      <c r="K788" t="s">
        <v>13</v>
      </c>
      <c r="L788" t="str">
        <f>_xlfn.XLOOKUP($K$3,K:K,K:K,$K$2)</f>
        <v>Bangladesh</v>
      </c>
      <c r="M788" t="s">
        <v>673</v>
      </c>
      <c r="N788" t="e" vm="68">
        <f>_xlfn.XLOOKUP($M788,$O:$O,$P:$P,"")</f>
        <v>#VALUE!</v>
      </c>
    </row>
    <row r="789" spans="1:14" x14ac:dyDescent="0.25">
      <c r="A789">
        <v>936</v>
      </c>
      <c r="B789" t="str">
        <f t="shared" si="42"/>
        <v>Kahlil</v>
      </c>
      <c r="C789" t="s">
        <v>3770</v>
      </c>
      <c r="D789" t="s">
        <v>3771</v>
      </c>
      <c r="E789" t="str">
        <f t="shared" si="43"/>
        <v>ksouthworthpz@census.gov</v>
      </c>
      <c r="F789" t="s">
        <v>3772</v>
      </c>
      <c r="G789" t="s">
        <v>18</v>
      </c>
      <c r="H789" t="str">
        <f t="shared" si="44"/>
        <v>Male</v>
      </c>
      <c r="I789" t="str">
        <f>"+880"&amp;RIGHT(SUBSTITUTE(SUBSTITUTE($J789," ",""),"-",""),10)</f>
        <v>+8808773670558</v>
      </c>
      <c r="J789" t="s">
        <v>3773</v>
      </c>
      <c r="K789" t="s">
        <v>13</v>
      </c>
      <c r="L789" t="str">
        <f>_xlfn.XLOOKUP($K$3,K:K,K:K,$K$2)</f>
        <v>Bangladesh</v>
      </c>
      <c r="M789" t="s">
        <v>81</v>
      </c>
      <c r="N789" t="e" vm="11">
        <f>_xlfn.XLOOKUP($M789,$O:$O,$P:$P,"")</f>
        <v>#VALUE!</v>
      </c>
    </row>
    <row r="790" spans="1:14" x14ac:dyDescent="0.25">
      <c r="A790">
        <v>937</v>
      </c>
      <c r="B790" t="str">
        <f t="shared" si="42"/>
        <v>Meggy</v>
      </c>
      <c r="C790" t="s">
        <v>3774</v>
      </c>
      <c r="D790" t="s">
        <v>3775</v>
      </c>
      <c r="E790" t="str">
        <f t="shared" si="43"/>
        <v>mhanhardq0@multiply.com</v>
      </c>
      <c r="F790" t="s">
        <v>3776</v>
      </c>
      <c r="G790" t="s">
        <v>11</v>
      </c>
      <c r="H790" t="str">
        <f t="shared" si="44"/>
        <v>Female</v>
      </c>
      <c r="I790" t="str">
        <f>"+880"&amp;RIGHT(SUBSTITUTE(SUBSTITUTE($J790," ",""),"-",""),10)</f>
        <v>+8808563774369</v>
      </c>
      <c r="J790" t="s">
        <v>3777</v>
      </c>
      <c r="K790" t="s">
        <v>13</v>
      </c>
      <c r="L790" t="str">
        <f>_xlfn.XLOOKUP($K$3,K:K,K:K,$K$2)</f>
        <v>Bangladesh</v>
      </c>
      <c r="M790" t="s">
        <v>173</v>
      </c>
      <c r="N790" t="e" vm="26">
        <f>_xlfn.XLOOKUP($M790,$O:$O,$P:$P,"")</f>
        <v>#VALUE!</v>
      </c>
    </row>
    <row r="791" spans="1:14" x14ac:dyDescent="0.25">
      <c r="A791">
        <v>938</v>
      </c>
      <c r="B791" t="str">
        <f t="shared" si="42"/>
        <v>Barrett</v>
      </c>
      <c r="C791" t="s">
        <v>3778</v>
      </c>
      <c r="D791" t="s">
        <v>3779</v>
      </c>
      <c r="E791" t="str">
        <f t="shared" si="43"/>
        <v>bcanteraq1@51.la</v>
      </c>
      <c r="F791" t="s">
        <v>3780</v>
      </c>
      <c r="G791" t="s">
        <v>18</v>
      </c>
      <c r="H791" t="str">
        <f t="shared" si="44"/>
        <v>Male</v>
      </c>
      <c r="I791" t="str">
        <f>"+880"&amp;RIGHT(SUBSTITUTE(SUBSTITUTE($J791," ",""),"-",""),10)</f>
        <v>+8802137479356</v>
      </c>
      <c r="J791" t="s">
        <v>3781</v>
      </c>
      <c r="K791" t="s">
        <v>13</v>
      </c>
      <c r="L791" t="str">
        <f>_xlfn.XLOOKUP($K$3,K:K,K:K,$K$2)</f>
        <v>Bangladesh</v>
      </c>
      <c r="M791" t="s">
        <v>673</v>
      </c>
      <c r="N791" t="e" vm="68">
        <f>_xlfn.XLOOKUP($M791,$O:$O,$P:$P,"")</f>
        <v>#VALUE!</v>
      </c>
    </row>
    <row r="792" spans="1:14" x14ac:dyDescent="0.25">
      <c r="A792">
        <v>939</v>
      </c>
      <c r="B792" t="str">
        <f t="shared" si="42"/>
        <v>Randolf</v>
      </c>
      <c r="C792" t="s">
        <v>3782</v>
      </c>
      <c r="D792" t="s">
        <v>3783</v>
      </c>
      <c r="E792" t="str">
        <f t="shared" si="43"/>
        <v>rpicknettq2@squarespace.com</v>
      </c>
      <c r="F792" t="s">
        <v>3784</v>
      </c>
      <c r="G792" t="s">
        <v>18</v>
      </c>
      <c r="H792" t="str">
        <f t="shared" si="44"/>
        <v>Male</v>
      </c>
      <c r="I792" t="str">
        <f>"+880"&amp;RIGHT(SUBSTITUTE(SUBSTITUTE($J792," ",""),"-",""),10)</f>
        <v>+8803643919077</v>
      </c>
      <c r="J792" t="s">
        <v>3785</v>
      </c>
      <c r="K792" t="s">
        <v>13</v>
      </c>
      <c r="L792" t="str">
        <f>_xlfn.XLOOKUP($K$3,K:K,K:K,$K$2)</f>
        <v>Bangladesh</v>
      </c>
      <c r="M792" t="s">
        <v>655</v>
      </c>
      <c r="N792" t="e" vm="66">
        <f>_xlfn.XLOOKUP($M792,$O:$O,$P:$P,"")</f>
        <v>#VALUE!</v>
      </c>
    </row>
    <row r="793" spans="1:14" x14ac:dyDescent="0.25">
      <c r="A793">
        <v>940</v>
      </c>
      <c r="B793" t="str">
        <f t="shared" si="42"/>
        <v>Kathryne</v>
      </c>
      <c r="C793" t="s">
        <v>3786</v>
      </c>
      <c r="D793" t="s">
        <v>3787</v>
      </c>
      <c r="E793" t="str">
        <f t="shared" si="43"/>
        <v>kgraeberq3@about.me</v>
      </c>
      <c r="F793" t="s">
        <v>3788</v>
      </c>
      <c r="G793" t="s">
        <v>274</v>
      </c>
      <c r="H793" t="str">
        <f t="shared" si="44"/>
        <v>Other</v>
      </c>
      <c r="I793" t="str">
        <f>"+880"&amp;RIGHT(SUBSTITUTE(SUBSTITUTE($J793," ",""),"-",""),10)</f>
        <v>+8807349629446</v>
      </c>
      <c r="J793" t="s">
        <v>3789</v>
      </c>
      <c r="K793" t="s">
        <v>13</v>
      </c>
      <c r="L793" t="str">
        <f>_xlfn.XLOOKUP($K$3,K:K,K:K,$K$2)</f>
        <v>Bangladesh</v>
      </c>
      <c r="M793" t="s">
        <v>276</v>
      </c>
      <c r="N793" t="e" vm="39">
        <f>_xlfn.XLOOKUP($M793,$O:$O,$P:$P,"")</f>
        <v>#VALUE!</v>
      </c>
    </row>
    <row r="794" spans="1:14" x14ac:dyDescent="0.25">
      <c r="A794">
        <v>941</v>
      </c>
      <c r="B794" t="str">
        <f t="shared" si="42"/>
        <v>Alvera</v>
      </c>
      <c r="C794" t="s">
        <v>3790</v>
      </c>
      <c r="D794" t="s">
        <v>3791</v>
      </c>
      <c r="E794" t="str">
        <f t="shared" si="43"/>
        <v>asprasonq4@xinhuanet.com</v>
      </c>
      <c r="F794" t="s">
        <v>3792</v>
      </c>
      <c r="G794" t="s">
        <v>11</v>
      </c>
      <c r="H794" t="str">
        <f t="shared" si="44"/>
        <v>Female</v>
      </c>
      <c r="I794" t="str">
        <f>"+880"&amp;RIGHT(SUBSTITUTE(SUBSTITUTE($J794," ",""),"-",""),10)</f>
        <v>+8808622515130</v>
      </c>
      <c r="J794" t="s">
        <v>3793</v>
      </c>
      <c r="K794" t="s">
        <v>13</v>
      </c>
      <c r="L794" t="str">
        <f>_xlfn.XLOOKUP($K$3,K:K,K:K,$K$2)</f>
        <v>Bangladesh</v>
      </c>
      <c r="M794" t="s">
        <v>252</v>
      </c>
      <c r="N794" t="e" vm="36">
        <f>_xlfn.XLOOKUP($M794,$O:$O,$P:$P,"")</f>
        <v>#VALUE!</v>
      </c>
    </row>
    <row r="795" spans="1:14" x14ac:dyDescent="0.25">
      <c r="A795">
        <v>942</v>
      </c>
      <c r="B795" t="str">
        <f t="shared" si="42"/>
        <v>Sianna</v>
      </c>
      <c r="C795" t="s">
        <v>3794</v>
      </c>
      <c r="D795" t="s">
        <v>3795</v>
      </c>
      <c r="E795" t="str">
        <f t="shared" si="43"/>
        <v>sdicheq5@patch.com</v>
      </c>
      <c r="F795" t="s">
        <v>3796</v>
      </c>
      <c r="G795" t="s">
        <v>11</v>
      </c>
      <c r="H795" t="str">
        <f t="shared" si="44"/>
        <v>Female</v>
      </c>
      <c r="I795" t="str">
        <f>"+880"&amp;RIGHT(SUBSTITUTE(SUBSTITUTE($J795," ",""),"-",""),10)</f>
        <v>+8805697139812</v>
      </c>
      <c r="J795" t="s">
        <v>3797</v>
      </c>
      <c r="K795" t="s">
        <v>13</v>
      </c>
      <c r="L795" t="str">
        <f>_xlfn.XLOOKUP($K$3,K:K,K:K,$K$2)</f>
        <v>Bangladesh</v>
      </c>
      <c r="M795" t="s">
        <v>20</v>
      </c>
      <c r="N795" t="e" vm="2">
        <f>_xlfn.XLOOKUP($M795,$O:$O,$P:$P,"")</f>
        <v>#VALUE!</v>
      </c>
    </row>
    <row r="796" spans="1:14" x14ac:dyDescent="0.25">
      <c r="A796">
        <v>943</v>
      </c>
      <c r="B796" t="str">
        <f t="shared" si="42"/>
        <v>Leeanne</v>
      </c>
      <c r="C796" t="s">
        <v>3798</v>
      </c>
      <c r="D796" t="s">
        <v>3799</v>
      </c>
      <c r="E796" t="str">
        <f t="shared" si="43"/>
        <v>lvaughtonq6@umich.edu</v>
      </c>
      <c r="F796" t="s">
        <v>3800</v>
      </c>
      <c r="G796" t="s">
        <v>11</v>
      </c>
      <c r="H796" t="str">
        <f t="shared" si="44"/>
        <v>Female</v>
      </c>
      <c r="I796" t="str">
        <f>"+880"&amp;RIGHT(SUBSTITUTE(SUBSTITUTE($J796," ",""),"-",""),10)</f>
        <v>+8806077605630</v>
      </c>
      <c r="J796" t="s">
        <v>3801</v>
      </c>
      <c r="K796" t="s">
        <v>13</v>
      </c>
      <c r="L796" t="str">
        <f>_xlfn.XLOOKUP($K$3,K:K,K:K,$K$2)</f>
        <v>Bangladesh</v>
      </c>
      <c r="M796" t="s">
        <v>504</v>
      </c>
      <c r="N796" t="e" vm="54">
        <f>_xlfn.XLOOKUP($M796,$O:$O,$P:$P,"")</f>
        <v>#VALUE!</v>
      </c>
    </row>
    <row r="797" spans="1:14" x14ac:dyDescent="0.25">
      <c r="A797">
        <v>944</v>
      </c>
      <c r="B797" t="str">
        <f t="shared" si="42"/>
        <v>Arman</v>
      </c>
      <c r="C797" t="s">
        <v>3802</v>
      </c>
      <c r="D797" t="s">
        <v>3803</v>
      </c>
      <c r="E797" t="str">
        <f t="shared" si="43"/>
        <v>aeixenbergerq7@aol.com</v>
      </c>
      <c r="F797" t="s">
        <v>3804</v>
      </c>
      <c r="G797" t="s">
        <v>18</v>
      </c>
      <c r="H797" t="str">
        <f t="shared" si="44"/>
        <v>Male</v>
      </c>
      <c r="I797" t="str">
        <f>"+880"&amp;RIGHT(SUBSTITUTE(SUBSTITUTE($J797," ",""),"-",""),10)</f>
        <v>+8808719944540</v>
      </c>
      <c r="J797" t="s">
        <v>3805</v>
      </c>
      <c r="K797" t="s">
        <v>13</v>
      </c>
      <c r="L797" t="str">
        <f>_xlfn.XLOOKUP($K$3,K:K,K:K,$K$2)</f>
        <v>Bangladesh</v>
      </c>
      <c r="M797" t="s">
        <v>322</v>
      </c>
      <c r="N797" t="e" vm="44">
        <f>_xlfn.XLOOKUP($M797,$O:$O,$P:$P,"")</f>
        <v>#VALUE!</v>
      </c>
    </row>
    <row r="798" spans="1:14" x14ac:dyDescent="0.25">
      <c r="A798">
        <v>945</v>
      </c>
      <c r="B798" t="str">
        <f t="shared" si="42"/>
        <v>Gertruda</v>
      </c>
      <c r="C798" t="s">
        <v>3806</v>
      </c>
      <c r="D798" t="s">
        <v>3807</v>
      </c>
      <c r="E798" t="str">
        <f t="shared" si="43"/>
        <v>gstclairq8@macromedia.com</v>
      </c>
      <c r="F798" t="s">
        <v>3808</v>
      </c>
      <c r="G798" t="s">
        <v>11</v>
      </c>
      <c r="H798" t="str">
        <f t="shared" si="44"/>
        <v>Female</v>
      </c>
      <c r="I798" t="str">
        <f>"+880"&amp;RIGHT(SUBSTITUTE(SUBSTITUTE($J798," ",""),"-",""),10)</f>
        <v>+8807703364881</v>
      </c>
      <c r="J798" t="s">
        <v>3809</v>
      </c>
      <c r="K798" t="s">
        <v>13</v>
      </c>
      <c r="L798" t="str">
        <f>_xlfn.XLOOKUP($K$3,K:K,K:K,$K$2)</f>
        <v>Bangladesh</v>
      </c>
      <c r="M798" t="s">
        <v>345</v>
      </c>
      <c r="N798" t="e" vm="46">
        <f>_xlfn.XLOOKUP($M798,$O:$O,$P:$P,"")</f>
        <v>#VALUE!</v>
      </c>
    </row>
    <row r="799" spans="1:14" x14ac:dyDescent="0.25">
      <c r="A799">
        <v>946</v>
      </c>
      <c r="B799" t="str">
        <f t="shared" si="42"/>
        <v>Elianore</v>
      </c>
      <c r="C799" t="s">
        <v>3810</v>
      </c>
      <c r="D799" t="s">
        <v>3811</v>
      </c>
      <c r="E799" t="str">
        <f t="shared" si="43"/>
        <v>ehancoxq9@google.fr</v>
      </c>
      <c r="F799" t="s">
        <v>3812</v>
      </c>
      <c r="G799" t="s">
        <v>11</v>
      </c>
      <c r="H799" t="str">
        <f t="shared" si="44"/>
        <v>Female</v>
      </c>
      <c r="I799" t="str">
        <f>"+880"&amp;RIGHT(SUBSTITUTE(SUBSTITUTE($J799," ",""),"-",""),10)</f>
        <v>+8802201738566</v>
      </c>
      <c r="J799" t="s">
        <v>3813</v>
      </c>
      <c r="K799" t="s">
        <v>13</v>
      </c>
      <c r="L799" t="str">
        <f>_xlfn.XLOOKUP($K$3,K:K,K:K,$K$2)</f>
        <v>Bangladesh</v>
      </c>
      <c r="M799" t="s">
        <v>46</v>
      </c>
      <c r="N799" t="e" vm="5">
        <f>_xlfn.XLOOKUP($M799,$O:$O,$P:$P,"")</f>
        <v>#VALUE!</v>
      </c>
    </row>
    <row r="800" spans="1:14" x14ac:dyDescent="0.25">
      <c r="A800">
        <v>947</v>
      </c>
      <c r="B800" t="str">
        <f t="shared" si="42"/>
        <v>Aundrea</v>
      </c>
      <c r="C800" t="s">
        <v>3814</v>
      </c>
      <c r="D800" t="s">
        <v>3815</v>
      </c>
      <c r="E800" t="str">
        <f t="shared" si="43"/>
        <v>aberryannqa@imageshack.us</v>
      </c>
      <c r="F800" t="s">
        <v>3816</v>
      </c>
      <c r="G800" t="s">
        <v>11</v>
      </c>
      <c r="H800" t="str">
        <f t="shared" si="44"/>
        <v>Female</v>
      </c>
      <c r="I800" t="str">
        <f>"+880"&amp;RIGHT(SUBSTITUTE(SUBSTITUTE($J800," ",""),"-",""),10)</f>
        <v>+8805025496857</v>
      </c>
      <c r="J800" t="s">
        <v>3817</v>
      </c>
      <c r="K800" t="s">
        <v>13</v>
      </c>
      <c r="L800" t="str">
        <f>_xlfn.XLOOKUP($K$3,K:K,K:K,$K$2)</f>
        <v>Bangladesh</v>
      </c>
      <c r="M800" t="s">
        <v>110</v>
      </c>
      <c r="N800" t="e" vm="16">
        <f>_xlfn.XLOOKUP($M800,$O:$O,$P:$P,"")</f>
        <v>#VALUE!</v>
      </c>
    </row>
    <row r="801" spans="1:14" x14ac:dyDescent="0.25">
      <c r="A801">
        <v>948</v>
      </c>
      <c r="B801" t="str">
        <f t="shared" si="42"/>
        <v>Hugibert</v>
      </c>
      <c r="C801" t="s">
        <v>576</v>
      </c>
      <c r="D801" t="s">
        <v>3818</v>
      </c>
      <c r="E801" t="str">
        <f t="shared" si="43"/>
        <v>hrichqb@stanford.edu</v>
      </c>
      <c r="F801" t="s">
        <v>3819</v>
      </c>
      <c r="G801" t="s">
        <v>18</v>
      </c>
      <c r="H801" t="str">
        <f t="shared" si="44"/>
        <v>Male</v>
      </c>
      <c r="I801" t="str">
        <f>"+880"&amp;RIGHT(SUBSTITUTE(SUBSTITUTE($J801," ",""),"-",""),10)</f>
        <v>+8802108137696</v>
      </c>
      <c r="J801" t="s">
        <v>3820</v>
      </c>
      <c r="K801" t="s">
        <v>13</v>
      </c>
      <c r="L801" t="str">
        <f>_xlfn.XLOOKUP($K$3,K:K,K:K,$K$2)</f>
        <v>Bangladesh</v>
      </c>
      <c r="M801" t="s">
        <v>660</v>
      </c>
      <c r="N801" t="e" vm="67">
        <f>_xlfn.XLOOKUP($M801,$O:$O,$P:$P,"")</f>
        <v>#VALUE!</v>
      </c>
    </row>
    <row r="802" spans="1:14" x14ac:dyDescent="0.25">
      <c r="A802">
        <v>949</v>
      </c>
      <c r="B802" t="str">
        <f t="shared" si="42"/>
        <v>Tyson</v>
      </c>
      <c r="C802" t="s">
        <v>3607</v>
      </c>
      <c r="D802" t="s">
        <v>3821</v>
      </c>
      <c r="E802" t="str">
        <f t="shared" si="43"/>
        <v>tbuckqc@360.cn</v>
      </c>
      <c r="F802" t="s">
        <v>3822</v>
      </c>
      <c r="G802" t="s">
        <v>18</v>
      </c>
      <c r="H802" t="str">
        <f t="shared" si="44"/>
        <v>Male</v>
      </c>
      <c r="I802" t="str">
        <f>"+880"&amp;RIGHT(SUBSTITUTE(SUBSTITUTE($J802," ",""),"-",""),10)</f>
        <v>+8808433719612</v>
      </c>
      <c r="J802" t="s">
        <v>3823</v>
      </c>
      <c r="K802" t="s">
        <v>13</v>
      </c>
      <c r="L802" t="str">
        <f>_xlfn.XLOOKUP($K$3,K:K,K:K,$K$2)</f>
        <v>Bangladesh</v>
      </c>
      <c r="M802" t="s">
        <v>140</v>
      </c>
      <c r="N802" t="e" vm="21">
        <f>_xlfn.XLOOKUP($M802,$O:$O,$P:$P,"")</f>
        <v>#VALUE!</v>
      </c>
    </row>
    <row r="803" spans="1:14" x14ac:dyDescent="0.25">
      <c r="A803">
        <v>951</v>
      </c>
      <c r="B803" t="str">
        <f t="shared" si="42"/>
        <v>Gardie</v>
      </c>
      <c r="C803" t="s">
        <v>3828</v>
      </c>
      <c r="D803" t="s">
        <v>3829</v>
      </c>
      <c r="E803" t="str">
        <f t="shared" si="43"/>
        <v>gmarquezqe@sciencedaily.com</v>
      </c>
      <c r="F803" t="s">
        <v>3830</v>
      </c>
      <c r="G803" t="s">
        <v>18</v>
      </c>
      <c r="H803" t="str">
        <f t="shared" si="44"/>
        <v>Male</v>
      </c>
      <c r="I803" t="str">
        <f>"+880"&amp;RIGHT(SUBSTITUTE(SUBSTITUTE($J803," ",""),"-",""),10)</f>
        <v>+8807119291140</v>
      </c>
      <c r="J803" t="s">
        <v>3831</v>
      </c>
      <c r="K803" t="s">
        <v>13</v>
      </c>
      <c r="L803" t="str">
        <f>_xlfn.XLOOKUP($K$3,K:K,K:K,$K$2)</f>
        <v>Bangladesh</v>
      </c>
      <c r="M803" t="s">
        <v>14</v>
      </c>
      <c r="N803" t="e" vm="1">
        <f>_xlfn.XLOOKUP($M803,$O:$O,$P:$P,"")</f>
        <v>#VALUE!</v>
      </c>
    </row>
    <row r="804" spans="1:14" x14ac:dyDescent="0.25">
      <c r="A804">
        <v>954</v>
      </c>
      <c r="B804" t="str">
        <f t="shared" si="42"/>
        <v>Antone</v>
      </c>
      <c r="C804" t="s">
        <v>3840</v>
      </c>
      <c r="D804" t="s">
        <v>3841</v>
      </c>
      <c r="E804" t="str">
        <f t="shared" si="43"/>
        <v>acanapeqh@360.cn</v>
      </c>
      <c r="F804" t="s">
        <v>3842</v>
      </c>
      <c r="G804" t="s">
        <v>18</v>
      </c>
      <c r="H804" t="str">
        <f t="shared" si="44"/>
        <v>Male</v>
      </c>
      <c r="I804" t="str">
        <f>"+880"&amp;RIGHT(SUBSTITUTE(SUBSTITUTE($J804," ",""),"-",""),10)</f>
        <v>+8804473170212</v>
      </c>
      <c r="J804" t="s">
        <v>3843</v>
      </c>
      <c r="K804" t="s">
        <v>13</v>
      </c>
      <c r="L804" t="str">
        <f>_xlfn.XLOOKUP($K$3,K:K,K:K,$K$2)</f>
        <v>Bangladesh</v>
      </c>
      <c r="M804" t="s">
        <v>230</v>
      </c>
      <c r="N804" t="e" vm="34">
        <f>_xlfn.XLOOKUP($M804,$O:$O,$P:$P,"")</f>
        <v>#VALUE!</v>
      </c>
    </row>
    <row r="805" spans="1:14" x14ac:dyDescent="0.25">
      <c r="A805">
        <v>955</v>
      </c>
      <c r="B805" t="str">
        <f t="shared" si="42"/>
        <v>Agneta</v>
      </c>
      <c r="C805" t="s">
        <v>4029</v>
      </c>
      <c r="D805" t="s">
        <v>3845</v>
      </c>
      <c r="E805" t="str">
        <f t="shared" si="43"/>
        <v>akillnerqi@sfgate.com</v>
      </c>
      <c r="F805" t="s">
        <v>3846</v>
      </c>
      <c r="G805" t="s">
        <v>11</v>
      </c>
      <c r="H805" t="str">
        <f t="shared" si="44"/>
        <v>Female</v>
      </c>
      <c r="I805" t="str">
        <f>"+880"&amp;RIGHT(SUBSTITUTE(SUBSTITUTE($J805," ",""),"-",""),10)</f>
        <v>+8808536481182</v>
      </c>
      <c r="J805" t="s">
        <v>3847</v>
      </c>
      <c r="K805" t="s">
        <v>13</v>
      </c>
      <c r="L805" t="str">
        <f>_xlfn.XLOOKUP($K$3,K:K,K:K,$K$2)</f>
        <v>Bangladesh</v>
      </c>
      <c r="M805" t="s">
        <v>345</v>
      </c>
      <c r="N805" t="e" vm="46">
        <f>_xlfn.XLOOKUP($M805,$O:$O,$P:$P,"")</f>
        <v>#VALUE!</v>
      </c>
    </row>
    <row r="806" spans="1:14" x14ac:dyDescent="0.25">
      <c r="A806">
        <v>956</v>
      </c>
      <c r="B806" t="str">
        <f t="shared" si="42"/>
        <v>Honey</v>
      </c>
      <c r="C806" t="s">
        <v>3848</v>
      </c>
      <c r="D806" t="s">
        <v>3849</v>
      </c>
      <c r="E806" t="str">
        <f t="shared" si="43"/>
        <v>hhischkeqj@va.gov</v>
      </c>
      <c r="F806" t="s">
        <v>3850</v>
      </c>
      <c r="G806" t="s">
        <v>11</v>
      </c>
      <c r="H806" t="str">
        <f t="shared" si="44"/>
        <v>Female</v>
      </c>
      <c r="I806" t="str">
        <f>"+880"&amp;RIGHT(SUBSTITUTE(SUBSTITUTE($J806," ",""),"-",""),10)</f>
        <v>+8808788147469</v>
      </c>
      <c r="J806" t="s">
        <v>3851</v>
      </c>
      <c r="K806" t="s">
        <v>13</v>
      </c>
      <c r="L806" t="str">
        <f>_xlfn.XLOOKUP($K$3,K:K,K:K,$K$2)</f>
        <v>Bangladesh</v>
      </c>
      <c r="M806" t="s">
        <v>215</v>
      </c>
      <c r="N806" t="e" vm="32">
        <f>_xlfn.XLOOKUP($M806,$O:$O,$P:$P,"")</f>
        <v>#VALUE!</v>
      </c>
    </row>
    <row r="807" spans="1:14" x14ac:dyDescent="0.25">
      <c r="A807">
        <v>957</v>
      </c>
      <c r="B807" t="str">
        <f t="shared" si="42"/>
        <v>Clarie</v>
      </c>
      <c r="C807" t="s">
        <v>3852</v>
      </c>
      <c r="D807" t="s">
        <v>3853</v>
      </c>
      <c r="E807" t="str">
        <f t="shared" si="43"/>
        <v>cfaucherandqk@umn.edu</v>
      </c>
      <c r="F807" t="s">
        <v>3854</v>
      </c>
      <c r="G807" t="s">
        <v>11</v>
      </c>
      <c r="H807" t="str">
        <f t="shared" si="44"/>
        <v>Female</v>
      </c>
      <c r="I807" t="str">
        <f>"+880"&amp;RIGHT(SUBSTITUTE(SUBSTITUTE($J807," ",""),"-",""),10)</f>
        <v>+8804644800276</v>
      </c>
      <c r="J807" t="s">
        <v>3855</v>
      </c>
      <c r="K807" t="s">
        <v>13</v>
      </c>
      <c r="L807" t="str">
        <f>_xlfn.XLOOKUP($K$3,K:K,K:K,$K$2)</f>
        <v>Bangladesh</v>
      </c>
      <c r="M807" t="s">
        <v>404</v>
      </c>
      <c r="N807" t="e" vm="50">
        <f>_xlfn.XLOOKUP($M807,$O:$O,$P:$P,"")</f>
        <v>#VALUE!</v>
      </c>
    </row>
    <row r="808" spans="1:14" x14ac:dyDescent="0.25">
      <c r="A808">
        <v>958</v>
      </c>
      <c r="B808" t="str">
        <f t="shared" si="42"/>
        <v>Martie</v>
      </c>
      <c r="C808" t="s">
        <v>2393</v>
      </c>
      <c r="D808" t="s">
        <v>3856</v>
      </c>
      <c r="E808" t="str">
        <f t="shared" si="43"/>
        <v>mtottql@engadget.com</v>
      </c>
      <c r="F808" t="s">
        <v>3857</v>
      </c>
      <c r="G808" t="s">
        <v>11</v>
      </c>
      <c r="H808" t="str">
        <f t="shared" si="44"/>
        <v>Female</v>
      </c>
      <c r="I808" t="str">
        <f>"+880"&amp;RIGHT(SUBSTITUTE(SUBSTITUTE($J808," ",""),"-",""),10)</f>
        <v>+8809745369658</v>
      </c>
      <c r="J808" t="s">
        <v>3858</v>
      </c>
      <c r="K808" t="s">
        <v>13</v>
      </c>
      <c r="L808" t="str">
        <f>_xlfn.XLOOKUP($K$3,K:K,K:K,$K$2)</f>
        <v>Bangladesh</v>
      </c>
      <c r="M808" t="s">
        <v>210</v>
      </c>
      <c r="N808" t="e" vm="31">
        <f>_xlfn.XLOOKUP($M808,$O:$O,$P:$P,"")</f>
        <v>#VALUE!</v>
      </c>
    </row>
    <row r="809" spans="1:14" x14ac:dyDescent="0.25">
      <c r="A809">
        <v>959</v>
      </c>
      <c r="B809" t="str">
        <f t="shared" si="42"/>
        <v>Rolfe</v>
      </c>
      <c r="C809" t="s">
        <v>3859</v>
      </c>
      <c r="D809" t="s">
        <v>3860</v>
      </c>
      <c r="E809" t="str">
        <f t="shared" si="43"/>
        <v>rrhuleqm@gizmodo.com</v>
      </c>
      <c r="F809" t="s">
        <v>3861</v>
      </c>
      <c r="G809" t="s">
        <v>18</v>
      </c>
      <c r="H809" t="str">
        <f t="shared" si="44"/>
        <v>Male</v>
      </c>
      <c r="I809" t="str">
        <f>"+880"&amp;RIGHT(SUBSTITUTE(SUBSTITUTE($J809," ",""),"-",""),10)</f>
        <v>+8807654540600</v>
      </c>
      <c r="J809" t="s">
        <v>3862</v>
      </c>
      <c r="K809" t="s">
        <v>13</v>
      </c>
      <c r="L809" t="str">
        <f>_xlfn.XLOOKUP($K$3,K:K,K:K,$K$2)</f>
        <v>Bangladesh</v>
      </c>
      <c r="M809" t="s">
        <v>365</v>
      </c>
      <c r="N809" t="e" vm="47">
        <f>_xlfn.XLOOKUP($M809,$O:$O,$P:$P,"")</f>
        <v>#VALUE!</v>
      </c>
    </row>
    <row r="810" spans="1:14" x14ac:dyDescent="0.25">
      <c r="A810">
        <v>961</v>
      </c>
      <c r="B810" t="str">
        <f t="shared" si="42"/>
        <v>Salem</v>
      </c>
      <c r="C810" t="s">
        <v>3867</v>
      </c>
      <c r="D810" t="s">
        <v>3868</v>
      </c>
      <c r="E810" t="str">
        <f t="shared" si="43"/>
        <v>sgellertqo@forbes.com</v>
      </c>
      <c r="F810" t="s">
        <v>3869</v>
      </c>
      <c r="G810" t="s">
        <v>18</v>
      </c>
      <c r="H810" t="str">
        <f t="shared" si="44"/>
        <v>Male</v>
      </c>
      <c r="I810" t="str">
        <f>"+880"&amp;RIGHT(SUBSTITUTE(SUBSTITUTE($J810," ",""),"-",""),10)</f>
        <v>+8806809182300</v>
      </c>
      <c r="J810" t="s">
        <v>3870</v>
      </c>
      <c r="K810" t="s">
        <v>13</v>
      </c>
      <c r="L810" t="str">
        <f>_xlfn.XLOOKUP($K$3,K:K,K:K,$K$2)</f>
        <v>Bangladesh</v>
      </c>
      <c r="M810" t="s">
        <v>374</v>
      </c>
      <c r="N810" t="e" vm="48">
        <f>_xlfn.XLOOKUP($M810,$O:$O,$P:$P,"")</f>
        <v>#VALUE!</v>
      </c>
    </row>
    <row r="811" spans="1:14" x14ac:dyDescent="0.25">
      <c r="A811">
        <v>962</v>
      </c>
      <c r="B811" t="str">
        <f t="shared" ref="B811:B844" si="45">PROPER(TRIM($C811))</f>
        <v>Kippar</v>
      </c>
      <c r="C811" t="s">
        <v>3871</v>
      </c>
      <c r="D811" t="s">
        <v>3872</v>
      </c>
      <c r="E811" t="str">
        <f t="shared" ref="E811:E844" si="46">LOWER(TRIM($F811))</f>
        <v>kleebqp@google.pl</v>
      </c>
      <c r="F811" t="s">
        <v>3873</v>
      </c>
      <c r="G811" t="s">
        <v>18</v>
      </c>
      <c r="H811" t="str">
        <f t="shared" ref="H811:H844" si="47">IF(OR($G811="M",LOWER($G811)="male"),"Male",
IF(OR($G811="F",LOWER($G811)="female"),"Female","Other"))</f>
        <v>Male</v>
      </c>
      <c r="I811" t="str">
        <f>"+880"&amp;RIGHT(SUBSTITUTE(SUBSTITUTE($J811," ",""),"-",""),10)</f>
        <v>+8805825229336</v>
      </c>
      <c r="J811" t="s">
        <v>3874</v>
      </c>
      <c r="K811" t="s">
        <v>13</v>
      </c>
      <c r="L811" t="str">
        <f>_xlfn.XLOOKUP($K$3,K:K,K:K,$K$2)</f>
        <v>Bangladesh</v>
      </c>
      <c r="M811" t="s">
        <v>1187</v>
      </c>
      <c r="N811" t="e" vm="82">
        <f>_xlfn.XLOOKUP($M811,$O:$O,$P:$P,"")</f>
        <v>#VALUE!</v>
      </c>
    </row>
    <row r="812" spans="1:14" x14ac:dyDescent="0.25">
      <c r="A812">
        <v>963</v>
      </c>
      <c r="B812" t="str">
        <f t="shared" si="45"/>
        <v>Ediva</v>
      </c>
      <c r="C812" t="s">
        <v>3875</v>
      </c>
      <c r="D812" t="s">
        <v>3876</v>
      </c>
      <c r="E812" t="str">
        <f t="shared" si="46"/>
        <v>emessiterqq@typepad.com</v>
      </c>
      <c r="F812" t="s">
        <v>3877</v>
      </c>
      <c r="G812" t="s">
        <v>11</v>
      </c>
      <c r="H812" t="str">
        <f t="shared" si="47"/>
        <v>Female</v>
      </c>
      <c r="I812" t="str">
        <f>"+880"&amp;RIGHT(SUBSTITUTE(SUBSTITUTE($J812," ",""),"-",""),10)</f>
        <v>+8806538837165</v>
      </c>
      <c r="J812" t="s">
        <v>3878</v>
      </c>
      <c r="K812" t="s">
        <v>13</v>
      </c>
      <c r="L812" t="str">
        <f>_xlfn.XLOOKUP($K$3,K:K,K:K,$K$2)</f>
        <v>Bangladesh</v>
      </c>
      <c r="M812" t="s">
        <v>673</v>
      </c>
      <c r="N812" t="e" vm="68">
        <f>_xlfn.XLOOKUP($M812,$O:$O,$P:$P,"")</f>
        <v>#VALUE!</v>
      </c>
    </row>
    <row r="813" spans="1:14" x14ac:dyDescent="0.25">
      <c r="A813">
        <v>965</v>
      </c>
      <c r="B813" t="str">
        <f t="shared" si="45"/>
        <v>Chucho</v>
      </c>
      <c r="C813" t="s">
        <v>3339</v>
      </c>
      <c r="D813" t="s">
        <v>3883</v>
      </c>
      <c r="E813" t="str">
        <f t="shared" si="46"/>
        <v>cyeldonqs@wisc.edu</v>
      </c>
      <c r="F813" t="s">
        <v>3884</v>
      </c>
      <c r="G813" t="s">
        <v>18</v>
      </c>
      <c r="H813" t="str">
        <f t="shared" si="47"/>
        <v>Male</v>
      </c>
      <c r="I813" t="str">
        <f>"+880"&amp;RIGHT(SUBSTITUTE(SUBSTITUTE($J813," ",""),"-",""),10)</f>
        <v>+8808833578104</v>
      </c>
      <c r="J813" t="s">
        <v>3885</v>
      </c>
      <c r="K813" t="s">
        <v>13</v>
      </c>
      <c r="L813" t="str">
        <f>_xlfn.XLOOKUP($K$3,K:K,K:K,$K$2)</f>
        <v>Bangladesh</v>
      </c>
      <c r="M813" t="s">
        <v>154</v>
      </c>
      <c r="N813" t="e" vm="23">
        <f>_xlfn.XLOOKUP($M813,$O:$O,$P:$P,"")</f>
        <v>#VALUE!</v>
      </c>
    </row>
    <row r="814" spans="1:14" x14ac:dyDescent="0.25">
      <c r="A814">
        <v>966</v>
      </c>
      <c r="B814" t="str">
        <f t="shared" si="45"/>
        <v>Grannie</v>
      </c>
      <c r="C814" t="s">
        <v>3886</v>
      </c>
      <c r="D814" t="s">
        <v>3887</v>
      </c>
      <c r="E814" t="str">
        <f t="shared" si="46"/>
        <v>gnovikqt@artisteer.com</v>
      </c>
      <c r="F814" t="s">
        <v>3888</v>
      </c>
      <c r="G814" t="s">
        <v>18</v>
      </c>
      <c r="H814" t="str">
        <f t="shared" si="47"/>
        <v>Male</v>
      </c>
      <c r="I814" t="str">
        <f>"+880"&amp;RIGHT(SUBSTITUTE(SUBSTITUTE($J814," ",""),"-",""),10)</f>
        <v>+8806319328864</v>
      </c>
      <c r="J814" t="s">
        <v>3889</v>
      </c>
      <c r="K814" t="s">
        <v>13</v>
      </c>
      <c r="L814" t="str">
        <f>_xlfn.XLOOKUP($K$3,K:K,K:K,$K$2)</f>
        <v>Bangladesh</v>
      </c>
      <c r="M814" t="s">
        <v>814</v>
      </c>
      <c r="N814" t="e" vm="75">
        <f>_xlfn.XLOOKUP($M814,$O:$O,$P:$P,"")</f>
        <v>#VALUE!</v>
      </c>
    </row>
    <row r="815" spans="1:14" x14ac:dyDescent="0.25">
      <c r="A815">
        <v>967</v>
      </c>
      <c r="B815" t="str">
        <f t="shared" si="45"/>
        <v>Bertine</v>
      </c>
      <c r="C815" t="s">
        <v>3890</v>
      </c>
      <c r="D815" t="s">
        <v>3891</v>
      </c>
      <c r="E815" t="str">
        <f t="shared" si="46"/>
        <v>bheapequ@theatlantic.com</v>
      </c>
      <c r="F815" t="s">
        <v>3892</v>
      </c>
      <c r="G815" t="s">
        <v>11</v>
      </c>
      <c r="H815" t="str">
        <f t="shared" si="47"/>
        <v>Female</v>
      </c>
      <c r="I815" t="str">
        <f>"+880"&amp;RIGHT(SUBSTITUTE(SUBSTITUTE($J815," ",""),"-",""),10)</f>
        <v>+8802319912661</v>
      </c>
      <c r="J815" t="s">
        <v>3893</v>
      </c>
      <c r="K815" t="s">
        <v>13</v>
      </c>
      <c r="L815" t="str">
        <f>_xlfn.XLOOKUP($K$3,K:K,K:K,$K$2)</f>
        <v>Bangladesh</v>
      </c>
      <c r="M815" t="s">
        <v>619</v>
      </c>
      <c r="N815" t="e" vm="61">
        <f>_xlfn.XLOOKUP($M815,$O:$O,$P:$P,"")</f>
        <v>#VALUE!</v>
      </c>
    </row>
    <row r="816" spans="1:14" x14ac:dyDescent="0.25">
      <c r="A816">
        <v>968</v>
      </c>
      <c r="B816" t="str">
        <f t="shared" si="45"/>
        <v>Kim</v>
      </c>
      <c r="C816" t="s">
        <v>3894</v>
      </c>
      <c r="D816" t="s">
        <v>3895</v>
      </c>
      <c r="E816" t="str">
        <f t="shared" si="46"/>
        <v>ksigertqv@hao123.com</v>
      </c>
      <c r="F816" t="s">
        <v>3896</v>
      </c>
      <c r="G816" t="s">
        <v>11</v>
      </c>
      <c r="H816" t="str">
        <f t="shared" si="47"/>
        <v>Female</v>
      </c>
      <c r="I816" t="str">
        <f>"+880"&amp;RIGHT(SUBSTITUTE(SUBSTITUTE($J816," ",""),"-",""),10)</f>
        <v>+8804015484697</v>
      </c>
      <c r="J816" t="s">
        <v>3897</v>
      </c>
      <c r="K816" t="s">
        <v>13</v>
      </c>
      <c r="L816" t="str">
        <f>_xlfn.XLOOKUP($K$3,K:K,K:K,$K$2)</f>
        <v>Bangladesh</v>
      </c>
      <c r="M816" t="s">
        <v>252</v>
      </c>
      <c r="N816" t="e" vm="36">
        <f>_xlfn.XLOOKUP($M816,$O:$O,$P:$P,"")</f>
        <v>#VALUE!</v>
      </c>
    </row>
    <row r="817" spans="1:14" x14ac:dyDescent="0.25">
      <c r="A817">
        <v>969</v>
      </c>
      <c r="B817" t="str">
        <f t="shared" si="45"/>
        <v>Walliw</v>
      </c>
      <c r="C817" t="s">
        <v>3898</v>
      </c>
      <c r="D817" t="s">
        <v>3899</v>
      </c>
      <c r="E817" t="str">
        <f t="shared" si="46"/>
        <v>wbrimilcombeqw@nbcnews.com</v>
      </c>
      <c r="F817" t="s">
        <v>3900</v>
      </c>
      <c r="G817" t="s">
        <v>11</v>
      </c>
      <c r="H817" t="str">
        <f t="shared" si="47"/>
        <v>Female</v>
      </c>
      <c r="I817" t="str">
        <f>"+880"&amp;RIGHT(SUBSTITUTE(SUBSTITUTE($J817," ",""),"-",""),10)</f>
        <v>+8806162287641</v>
      </c>
      <c r="J817" t="s">
        <v>3901</v>
      </c>
      <c r="K817" t="s">
        <v>13</v>
      </c>
      <c r="L817" t="str">
        <f>_xlfn.XLOOKUP($K$3,K:K,K:K,$K$2)</f>
        <v>Bangladesh</v>
      </c>
      <c r="M817" t="s">
        <v>261</v>
      </c>
      <c r="N817" t="e" vm="37">
        <f>_xlfn.XLOOKUP($M817,$O:$O,$P:$P,"")</f>
        <v>#VALUE!</v>
      </c>
    </row>
    <row r="818" spans="1:14" x14ac:dyDescent="0.25">
      <c r="A818">
        <v>970</v>
      </c>
      <c r="B818" t="str">
        <f t="shared" si="45"/>
        <v>Kerby</v>
      </c>
      <c r="C818" t="s">
        <v>3902</v>
      </c>
      <c r="D818" t="s">
        <v>3903</v>
      </c>
      <c r="E818" t="str">
        <f t="shared" si="46"/>
        <v>krawetqx@liveinternet.ru</v>
      </c>
      <c r="F818" t="s">
        <v>3904</v>
      </c>
      <c r="G818" t="s">
        <v>18</v>
      </c>
      <c r="H818" t="str">
        <f t="shared" si="47"/>
        <v>Male</v>
      </c>
      <c r="I818" t="str">
        <f>"+880"&amp;RIGHT(SUBSTITUTE(SUBSTITUTE($J818," ",""),"-",""),10)</f>
        <v>+8806843282843</v>
      </c>
      <c r="J818" t="s">
        <v>3905</v>
      </c>
      <c r="K818" t="s">
        <v>13</v>
      </c>
      <c r="L818" t="str">
        <f>_xlfn.XLOOKUP($K$3,K:K,K:K,$K$2)</f>
        <v>Bangladesh</v>
      </c>
      <c r="M818" t="s">
        <v>149</v>
      </c>
      <c r="N818" t="e" vm="22">
        <f>_xlfn.XLOOKUP($M818,$O:$O,$P:$P,"")</f>
        <v>#VALUE!</v>
      </c>
    </row>
    <row r="819" spans="1:14" x14ac:dyDescent="0.25">
      <c r="A819">
        <v>971</v>
      </c>
      <c r="B819" t="str">
        <f t="shared" si="45"/>
        <v>Julita</v>
      </c>
      <c r="C819" t="s">
        <v>3906</v>
      </c>
      <c r="D819" t="s">
        <v>3907</v>
      </c>
      <c r="E819" t="str">
        <f t="shared" si="46"/>
        <v>jdethloffqy@arizona.edu</v>
      </c>
      <c r="F819" t="s">
        <v>3908</v>
      </c>
      <c r="G819" t="s">
        <v>11</v>
      </c>
      <c r="H819" t="str">
        <f t="shared" si="47"/>
        <v>Female</v>
      </c>
      <c r="I819" t="str">
        <f>"+880"&amp;RIGHT(SUBSTITUTE(SUBSTITUTE($J819," ",""),"-",""),10)</f>
        <v>+8804872553071</v>
      </c>
      <c r="J819" t="s">
        <v>3909</v>
      </c>
      <c r="K819" t="s">
        <v>13</v>
      </c>
      <c r="L819" t="str">
        <f>_xlfn.XLOOKUP($K$3,K:K,K:K,$K$2)</f>
        <v>Bangladesh</v>
      </c>
      <c r="M819" t="s">
        <v>71</v>
      </c>
      <c r="N819" t="e" vm="9">
        <f>_xlfn.XLOOKUP($M819,$O:$O,$P:$P,"")</f>
        <v>#VALUE!</v>
      </c>
    </row>
    <row r="820" spans="1:14" x14ac:dyDescent="0.25">
      <c r="A820">
        <v>972</v>
      </c>
      <c r="B820" t="str">
        <f t="shared" si="45"/>
        <v>Shayne</v>
      </c>
      <c r="C820" t="s">
        <v>3910</v>
      </c>
      <c r="D820" t="s">
        <v>3911</v>
      </c>
      <c r="E820" t="str">
        <f t="shared" si="46"/>
        <v>steresiaqz@slashdot.org</v>
      </c>
      <c r="F820" t="s">
        <v>3912</v>
      </c>
      <c r="G820" t="s">
        <v>18</v>
      </c>
      <c r="H820" t="str">
        <f t="shared" si="47"/>
        <v>Male</v>
      </c>
      <c r="I820" t="str">
        <f>"+880"&amp;RIGHT(SUBSTITUTE(SUBSTITUTE($J820," ",""),"-",""),10)</f>
        <v>+8809331117620</v>
      </c>
      <c r="J820" t="s">
        <v>3913</v>
      </c>
      <c r="K820" t="s">
        <v>13</v>
      </c>
      <c r="L820" t="str">
        <f>_xlfn.XLOOKUP($K$3,K:K,K:K,$K$2)</f>
        <v>Bangladesh</v>
      </c>
      <c r="M820" t="s">
        <v>115</v>
      </c>
      <c r="N820" t="e" vm="17">
        <f>_xlfn.XLOOKUP($M820,$O:$O,$P:$P,"")</f>
        <v>#VALUE!</v>
      </c>
    </row>
    <row r="821" spans="1:14" x14ac:dyDescent="0.25">
      <c r="A821">
        <v>973</v>
      </c>
      <c r="B821" t="str">
        <f t="shared" si="45"/>
        <v>Jose</v>
      </c>
      <c r="C821" t="s">
        <v>3914</v>
      </c>
      <c r="D821" t="s">
        <v>3915</v>
      </c>
      <c r="E821" t="str">
        <f t="shared" si="46"/>
        <v>jstoryr0@taobao.com</v>
      </c>
      <c r="F821" t="s">
        <v>3916</v>
      </c>
      <c r="G821" t="s">
        <v>18</v>
      </c>
      <c r="H821" t="str">
        <f t="shared" si="47"/>
        <v>Male</v>
      </c>
      <c r="I821" t="str">
        <f>"+880"&amp;RIGHT(SUBSTITUTE(SUBSTITUTE($J821," ",""),"-",""),10)</f>
        <v>+8804938796153</v>
      </c>
      <c r="J821" t="s">
        <v>3917</v>
      </c>
      <c r="K821" t="s">
        <v>13</v>
      </c>
      <c r="L821" t="str">
        <f>_xlfn.XLOOKUP($K$3,K:K,K:K,$K$2)</f>
        <v>Bangladesh</v>
      </c>
      <c r="M821" t="s">
        <v>61</v>
      </c>
      <c r="N821" t="e" vm="7">
        <f>_xlfn.XLOOKUP($M821,$O:$O,$P:$P,"")</f>
        <v>#VALUE!</v>
      </c>
    </row>
    <row r="822" spans="1:14" x14ac:dyDescent="0.25">
      <c r="A822">
        <v>974</v>
      </c>
      <c r="B822" t="str">
        <f t="shared" si="45"/>
        <v>Frans</v>
      </c>
      <c r="C822" t="s">
        <v>3918</v>
      </c>
      <c r="D822" t="s">
        <v>3919</v>
      </c>
      <c r="E822" t="str">
        <f t="shared" si="46"/>
        <v>fwoodberryr1@sciencedaily.com</v>
      </c>
      <c r="F822" t="s">
        <v>3920</v>
      </c>
      <c r="G822" t="s">
        <v>18</v>
      </c>
      <c r="H822" t="str">
        <f t="shared" si="47"/>
        <v>Male</v>
      </c>
      <c r="I822" t="str">
        <f>"+880"&amp;RIGHT(SUBSTITUTE(SUBSTITUTE($J822," ",""),"-",""),10)</f>
        <v>+8804941840573</v>
      </c>
      <c r="J822" t="s">
        <v>3921</v>
      </c>
      <c r="K822" t="s">
        <v>13</v>
      </c>
      <c r="L822" t="str">
        <f>_xlfn.XLOOKUP($K$3,K:K,K:K,$K$2)</f>
        <v>Bangladesh</v>
      </c>
      <c r="M822" t="s">
        <v>25</v>
      </c>
      <c r="N822" t="e" vm="3">
        <f>_xlfn.XLOOKUP($M822,$O:$O,$P:$P,"")</f>
        <v>#VALUE!</v>
      </c>
    </row>
    <row r="823" spans="1:14" x14ac:dyDescent="0.25">
      <c r="A823">
        <v>975</v>
      </c>
      <c r="B823" t="str">
        <f t="shared" si="45"/>
        <v>Bryna</v>
      </c>
      <c r="C823" t="s">
        <v>4030</v>
      </c>
      <c r="D823" t="s">
        <v>3923</v>
      </c>
      <c r="E823" t="str">
        <f t="shared" si="46"/>
        <v>btourotr2@yellowbook.com</v>
      </c>
      <c r="F823" t="s">
        <v>3924</v>
      </c>
      <c r="G823" t="s">
        <v>11</v>
      </c>
      <c r="H823" t="str">
        <f t="shared" si="47"/>
        <v>Female</v>
      </c>
      <c r="I823" t="str">
        <f>"+880"&amp;RIGHT(SUBSTITUTE(SUBSTITUTE($J823," ",""),"-",""),10)</f>
        <v>+8804996797291</v>
      </c>
      <c r="J823" t="s">
        <v>3925</v>
      </c>
      <c r="K823" t="s">
        <v>13</v>
      </c>
      <c r="L823" t="str">
        <f>_xlfn.XLOOKUP($K$3,K:K,K:K,$K$2)</f>
        <v>Bangladesh</v>
      </c>
      <c r="M823" t="s">
        <v>66</v>
      </c>
      <c r="N823" t="e" vm="8">
        <f>_xlfn.XLOOKUP($M823,$O:$O,$P:$P,"")</f>
        <v>#VALUE!</v>
      </c>
    </row>
    <row r="824" spans="1:14" x14ac:dyDescent="0.25">
      <c r="A824">
        <v>976</v>
      </c>
      <c r="B824" t="str">
        <f t="shared" si="45"/>
        <v>Celia</v>
      </c>
      <c r="C824" t="s">
        <v>77</v>
      </c>
      <c r="D824" t="s">
        <v>3926</v>
      </c>
      <c r="E824" t="str">
        <f t="shared" si="46"/>
        <v>cmesnardr3@nature.com</v>
      </c>
      <c r="F824" t="s">
        <v>3927</v>
      </c>
      <c r="G824" t="s">
        <v>11</v>
      </c>
      <c r="H824" t="str">
        <f t="shared" si="47"/>
        <v>Female</v>
      </c>
      <c r="I824" t="str">
        <f>"+880"&amp;RIGHT(SUBSTITUTE(SUBSTITUTE($J824," ",""),"-",""),10)</f>
        <v>+8806387872150</v>
      </c>
      <c r="J824" t="s">
        <v>3928</v>
      </c>
      <c r="K824" t="s">
        <v>13</v>
      </c>
      <c r="L824" t="str">
        <f>_xlfn.XLOOKUP($K$3,K:K,K:K,$K$2)</f>
        <v>Bangladesh</v>
      </c>
      <c r="M824" t="s">
        <v>331</v>
      </c>
      <c r="N824" t="e" vm="64">
        <f>_xlfn.XLOOKUP($M824,$O:$O,$P:$P,"")</f>
        <v>#VALUE!</v>
      </c>
    </row>
    <row r="825" spans="1:14" x14ac:dyDescent="0.25">
      <c r="A825">
        <v>977</v>
      </c>
      <c r="B825" t="str">
        <f t="shared" si="45"/>
        <v>Berke</v>
      </c>
      <c r="C825" t="s">
        <v>2882</v>
      </c>
      <c r="D825" t="s">
        <v>3929</v>
      </c>
      <c r="E825" t="str">
        <f t="shared" si="46"/>
        <v>brihosekr4@cisco.com</v>
      </c>
      <c r="F825" t="s">
        <v>3930</v>
      </c>
      <c r="G825" t="s">
        <v>18</v>
      </c>
      <c r="H825" t="str">
        <f t="shared" si="47"/>
        <v>Male</v>
      </c>
      <c r="I825" t="str">
        <f>"+880"&amp;RIGHT(SUBSTITUTE(SUBSTITUTE($J825," ",""),"-",""),10)</f>
        <v>+8803449948098</v>
      </c>
      <c r="J825" t="s">
        <v>3931</v>
      </c>
      <c r="K825" t="s">
        <v>13</v>
      </c>
      <c r="L825" t="str">
        <f>_xlfn.XLOOKUP($K$3,K:K,K:K,$K$2)</f>
        <v>Bangladesh</v>
      </c>
      <c r="M825" t="s">
        <v>25</v>
      </c>
      <c r="N825" t="e" vm="3">
        <f>_xlfn.XLOOKUP($M825,$O:$O,$P:$P,"")</f>
        <v>#VALUE!</v>
      </c>
    </row>
    <row r="826" spans="1:14" x14ac:dyDescent="0.25">
      <c r="A826">
        <v>978</v>
      </c>
      <c r="B826" t="str">
        <f t="shared" si="45"/>
        <v>Jocko</v>
      </c>
      <c r="C826" t="s">
        <v>3932</v>
      </c>
      <c r="D826" t="s">
        <v>3933</v>
      </c>
      <c r="E826" t="str">
        <f t="shared" si="46"/>
        <v>jkissockr5@mayoclinic.com</v>
      </c>
      <c r="F826" t="s">
        <v>3934</v>
      </c>
      <c r="G826" t="s">
        <v>769</v>
      </c>
      <c r="H826" t="str">
        <f t="shared" si="47"/>
        <v>Other</v>
      </c>
      <c r="I826" t="str">
        <f>"+880"&amp;RIGHT(SUBSTITUTE(SUBSTITUTE($J826," ",""),"-",""),10)</f>
        <v>+8806147989337</v>
      </c>
      <c r="J826" t="s">
        <v>3935</v>
      </c>
      <c r="K826" t="s">
        <v>13</v>
      </c>
      <c r="L826" t="str">
        <f>_xlfn.XLOOKUP($K$3,K:K,K:K,$K$2)</f>
        <v>Bangladesh</v>
      </c>
      <c r="M826" t="s">
        <v>287</v>
      </c>
      <c r="N826" t="e" vm="41">
        <f>_xlfn.XLOOKUP($M826,$O:$O,$P:$P,"")</f>
        <v>#VALUE!</v>
      </c>
    </row>
    <row r="827" spans="1:14" x14ac:dyDescent="0.25">
      <c r="A827">
        <v>979</v>
      </c>
      <c r="B827" t="str">
        <f t="shared" si="45"/>
        <v>Claiborne</v>
      </c>
      <c r="C827" t="s">
        <v>3936</v>
      </c>
      <c r="D827" t="s">
        <v>3937</v>
      </c>
      <c r="E827" t="str">
        <f t="shared" si="46"/>
        <v>cpackingtonr6@sitemeter.com</v>
      </c>
      <c r="F827" t="s">
        <v>3938</v>
      </c>
      <c r="G827" t="s">
        <v>18</v>
      </c>
      <c r="H827" t="str">
        <f t="shared" si="47"/>
        <v>Male</v>
      </c>
      <c r="I827" t="str">
        <f>"+880"&amp;RIGHT(SUBSTITUTE(SUBSTITUTE($J827," ",""),"-",""),10)</f>
        <v>+8804012087910</v>
      </c>
      <c r="J827" t="s">
        <v>3939</v>
      </c>
      <c r="K827" t="s">
        <v>13</v>
      </c>
      <c r="L827" t="str">
        <f>_xlfn.XLOOKUP($K$3,K:K,K:K,$K$2)</f>
        <v>Bangladesh</v>
      </c>
      <c r="M827" t="s">
        <v>61</v>
      </c>
      <c r="N827" t="e" vm="7">
        <f>_xlfn.XLOOKUP($M827,$O:$O,$P:$P,"")</f>
        <v>#VALUE!</v>
      </c>
    </row>
    <row r="828" spans="1:14" x14ac:dyDescent="0.25">
      <c r="A828">
        <v>980</v>
      </c>
      <c r="B828" t="str">
        <f t="shared" si="45"/>
        <v>Wendye</v>
      </c>
      <c r="C828" t="s">
        <v>3940</v>
      </c>
      <c r="D828" t="s">
        <v>3941</v>
      </c>
      <c r="E828" t="str">
        <f t="shared" si="46"/>
        <v>wgleaderr7@sciencedaily.com</v>
      </c>
      <c r="F828" t="s">
        <v>3942</v>
      </c>
      <c r="G828" t="s">
        <v>29</v>
      </c>
      <c r="H828" t="str">
        <f t="shared" si="47"/>
        <v>Other</v>
      </c>
      <c r="I828" t="str">
        <f>"+880"&amp;RIGHT(SUBSTITUTE(SUBSTITUTE($J828," ",""),"-",""),10)</f>
        <v>+8806672718607</v>
      </c>
      <c r="J828" t="s">
        <v>3943</v>
      </c>
      <c r="K828" t="s">
        <v>13</v>
      </c>
      <c r="L828" t="str">
        <f>_xlfn.XLOOKUP($K$3,K:K,K:K,$K$2)</f>
        <v>Bangladesh</v>
      </c>
      <c r="M828" t="s">
        <v>163</v>
      </c>
      <c r="N828" t="e" vm="24">
        <f>_xlfn.XLOOKUP($M828,$O:$O,$P:$P,"")</f>
        <v>#VALUE!</v>
      </c>
    </row>
    <row r="829" spans="1:14" x14ac:dyDescent="0.25">
      <c r="A829">
        <v>981</v>
      </c>
      <c r="B829" t="str">
        <f t="shared" si="45"/>
        <v>Leonid</v>
      </c>
      <c r="C829" t="s">
        <v>3944</v>
      </c>
      <c r="D829" t="s">
        <v>3945</v>
      </c>
      <c r="E829" t="str">
        <f t="shared" si="46"/>
        <v>ldowdar8@squarespace.com</v>
      </c>
      <c r="F829" t="s">
        <v>3946</v>
      </c>
      <c r="G829" t="s">
        <v>18</v>
      </c>
      <c r="H829" t="str">
        <f t="shared" si="47"/>
        <v>Male</v>
      </c>
      <c r="I829" t="str">
        <f>"+880"&amp;RIGHT(SUBSTITUTE(SUBSTITUTE($J829," ",""),"-",""),10)</f>
        <v>+8807636829796</v>
      </c>
      <c r="J829" t="s">
        <v>3947</v>
      </c>
      <c r="K829" t="s">
        <v>13</v>
      </c>
      <c r="L829" t="str">
        <f>_xlfn.XLOOKUP($K$3,K:K,K:K,$K$2)</f>
        <v>Bangladesh</v>
      </c>
      <c r="M829" t="s">
        <v>81</v>
      </c>
      <c r="N829" t="e" vm="11">
        <f>_xlfn.XLOOKUP($M829,$O:$O,$P:$P,"")</f>
        <v>#VALUE!</v>
      </c>
    </row>
    <row r="830" spans="1:14" x14ac:dyDescent="0.25">
      <c r="A830">
        <v>982</v>
      </c>
      <c r="B830" t="str">
        <f t="shared" si="45"/>
        <v>Estelle</v>
      </c>
      <c r="C830" t="s">
        <v>3948</v>
      </c>
      <c r="D830" t="s">
        <v>3949</v>
      </c>
      <c r="E830" t="str">
        <f t="shared" si="46"/>
        <v>echesmanr9@tumblr.com</v>
      </c>
      <c r="F830" t="s">
        <v>3950</v>
      </c>
      <c r="G830" t="s">
        <v>11</v>
      </c>
      <c r="H830" t="str">
        <f t="shared" si="47"/>
        <v>Female</v>
      </c>
      <c r="I830" t="str">
        <f>"+880"&amp;RIGHT(SUBSTITUTE(SUBSTITUTE($J830," ",""),"-",""),10)</f>
        <v>+8809224248347</v>
      </c>
      <c r="J830" t="s">
        <v>3951</v>
      </c>
      <c r="K830" t="s">
        <v>13</v>
      </c>
      <c r="L830" t="str">
        <f>_xlfn.XLOOKUP($K$3,K:K,K:K,$K$2)</f>
        <v>Bangladesh</v>
      </c>
      <c r="M830" t="s">
        <v>125</v>
      </c>
      <c r="N830" t="e" vm="18">
        <f>_xlfn.XLOOKUP($M830,$O:$O,$P:$P,"")</f>
        <v>#VALUE!</v>
      </c>
    </row>
    <row r="831" spans="1:14" x14ac:dyDescent="0.25">
      <c r="A831">
        <v>984</v>
      </c>
      <c r="B831" t="str">
        <f t="shared" si="45"/>
        <v>Hansiain</v>
      </c>
      <c r="C831" t="s">
        <v>3956</v>
      </c>
      <c r="D831" t="s">
        <v>3957</v>
      </c>
      <c r="E831" t="str">
        <f t="shared" si="46"/>
        <v>hweldonrb@tripadvisor.com</v>
      </c>
      <c r="F831" t="s">
        <v>3958</v>
      </c>
      <c r="G831" t="s">
        <v>18</v>
      </c>
      <c r="H831" t="str">
        <f t="shared" si="47"/>
        <v>Male</v>
      </c>
      <c r="I831" t="str">
        <f>"+880"&amp;RIGHT(SUBSTITUTE(SUBSTITUTE($J831," ",""),"-",""),10)</f>
        <v>+8802615659874</v>
      </c>
      <c r="J831" t="s">
        <v>3959</v>
      </c>
      <c r="K831" t="s">
        <v>13</v>
      </c>
      <c r="L831" t="str">
        <f>_xlfn.XLOOKUP($K$3,K:K,K:K,$K$2)</f>
        <v>Bangladesh</v>
      </c>
      <c r="M831" t="s">
        <v>178</v>
      </c>
      <c r="N831" t="e" vm="27">
        <f>_xlfn.XLOOKUP($M831,$O:$O,$P:$P,"")</f>
        <v>#VALUE!</v>
      </c>
    </row>
    <row r="832" spans="1:14" x14ac:dyDescent="0.25">
      <c r="A832">
        <v>985</v>
      </c>
      <c r="B832" t="str">
        <f t="shared" si="45"/>
        <v>Dilly</v>
      </c>
      <c r="C832" t="s">
        <v>3960</v>
      </c>
      <c r="D832" t="s">
        <v>3961</v>
      </c>
      <c r="E832" t="str">
        <f t="shared" si="46"/>
        <v>daleksandrevrc@ftc.gov</v>
      </c>
      <c r="F832" t="s">
        <v>3962</v>
      </c>
      <c r="G832" t="s">
        <v>18</v>
      </c>
      <c r="H832" t="str">
        <f t="shared" si="47"/>
        <v>Male</v>
      </c>
      <c r="I832" t="str">
        <f>"+880"&amp;RIGHT(SUBSTITUTE(SUBSTITUTE($J832," ",""),"-",""),10)</f>
        <v>+8807935633680</v>
      </c>
      <c r="J832" t="s">
        <v>3963</v>
      </c>
      <c r="K832" t="s">
        <v>13</v>
      </c>
      <c r="L832" t="str">
        <f>_xlfn.XLOOKUP($K$3,K:K,K:K,$K$2)</f>
        <v>Bangladesh</v>
      </c>
      <c r="M832" t="s">
        <v>678</v>
      </c>
      <c r="N832" t="str">
        <f>_xlfn.XLOOKUP($M832,$O:$O,$P:$P,"")</f>
        <v>Pargaaj</v>
      </c>
    </row>
    <row r="833" spans="1:14" x14ac:dyDescent="0.25">
      <c r="A833">
        <v>987</v>
      </c>
      <c r="B833" t="str">
        <f t="shared" si="45"/>
        <v>Hilliard</v>
      </c>
      <c r="C833" t="s">
        <v>3968</v>
      </c>
      <c r="D833" t="s">
        <v>3969</v>
      </c>
      <c r="E833" t="str">
        <f t="shared" si="46"/>
        <v>hmayoralre@chronoengine.com</v>
      </c>
      <c r="F833" t="s">
        <v>3970</v>
      </c>
      <c r="G833" t="s">
        <v>18</v>
      </c>
      <c r="H833" t="str">
        <f t="shared" si="47"/>
        <v>Male</v>
      </c>
      <c r="I833" t="str">
        <f>"+880"&amp;RIGHT(SUBSTITUTE(SUBSTITUTE($J833," ",""),"-",""),10)</f>
        <v>+8808742250504</v>
      </c>
      <c r="J833" t="s">
        <v>3971</v>
      </c>
      <c r="K833" t="s">
        <v>13</v>
      </c>
      <c r="L833" t="str">
        <f>_xlfn.XLOOKUP($K$3,K:K,K:K,$K$2)</f>
        <v>Bangladesh</v>
      </c>
      <c r="M833" t="s">
        <v>61</v>
      </c>
      <c r="N833" t="e" vm="7">
        <f>_xlfn.XLOOKUP($M833,$O:$O,$P:$P,"")</f>
        <v>#VALUE!</v>
      </c>
    </row>
    <row r="834" spans="1:14" x14ac:dyDescent="0.25">
      <c r="A834">
        <v>988</v>
      </c>
      <c r="B834" t="str">
        <f t="shared" si="45"/>
        <v>Joya</v>
      </c>
      <c r="C834" t="s">
        <v>3972</v>
      </c>
      <c r="D834" t="s">
        <v>3973</v>
      </c>
      <c r="E834" t="str">
        <f t="shared" si="46"/>
        <v>jmustarderf@ucsd.edu</v>
      </c>
      <c r="F834" t="s">
        <v>3974</v>
      </c>
      <c r="G834" t="s">
        <v>11</v>
      </c>
      <c r="H834" t="str">
        <f t="shared" si="47"/>
        <v>Female</v>
      </c>
      <c r="I834" t="str">
        <f>"+880"&amp;RIGHT(SUBSTITUTE(SUBSTITUTE($J834," ",""),"-",""),10)</f>
        <v>+8808688265689</v>
      </c>
      <c r="J834" t="s">
        <v>3975</v>
      </c>
      <c r="K834" t="s">
        <v>13</v>
      </c>
      <c r="L834" t="str">
        <f>_xlfn.XLOOKUP($K$3,K:K,K:K,$K$2)</f>
        <v>Bangladesh</v>
      </c>
      <c r="M834" t="s">
        <v>205</v>
      </c>
      <c r="N834" t="e" vm="30">
        <f>_xlfn.XLOOKUP($M834,$O:$O,$P:$P,"")</f>
        <v>#VALUE!</v>
      </c>
    </row>
    <row r="835" spans="1:14" x14ac:dyDescent="0.25">
      <c r="A835">
        <v>989</v>
      </c>
      <c r="B835" t="str">
        <f t="shared" si="45"/>
        <v>Jess</v>
      </c>
      <c r="C835" t="s">
        <v>3976</v>
      </c>
      <c r="D835" t="s">
        <v>3977</v>
      </c>
      <c r="E835" t="str">
        <f t="shared" si="46"/>
        <v>jstpaulrg@shinystat.com</v>
      </c>
      <c r="F835" t="s">
        <v>3978</v>
      </c>
      <c r="G835" t="s">
        <v>18</v>
      </c>
      <c r="H835" t="str">
        <f t="shared" si="47"/>
        <v>Male</v>
      </c>
      <c r="I835" t="str">
        <f>"+880"&amp;RIGHT(SUBSTITUTE(SUBSTITUTE($J835," ",""),"-",""),10)</f>
        <v>+8804825714746</v>
      </c>
      <c r="J835" t="s">
        <v>3979</v>
      </c>
      <c r="K835" t="s">
        <v>13</v>
      </c>
      <c r="L835" t="str">
        <f>_xlfn.XLOOKUP($K$3,K:K,K:K,$K$2)</f>
        <v>Bangladesh</v>
      </c>
      <c r="M835" t="s">
        <v>149</v>
      </c>
      <c r="N835" t="e" vm="22">
        <f>_xlfn.XLOOKUP($M835,$O:$O,$P:$P,"")</f>
        <v>#VALUE!</v>
      </c>
    </row>
    <row r="836" spans="1:14" x14ac:dyDescent="0.25">
      <c r="A836">
        <v>990</v>
      </c>
      <c r="B836" t="str">
        <f t="shared" si="45"/>
        <v>Marianne</v>
      </c>
      <c r="C836" t="s">
        <v>3980</v>
      </c>
      <c r="D836" t="s">
        <v>3981</v>
      </c>
      <c r="E836" t="str">
        <f t="shared" si="46"/>
        <v>mshallcroffrh@gmpg.org</v>
      </c>
      <c r="F836" t="s">
        <v>3982</v>
      </c>
      <c r="G836" t="s">
        <v>11</v>
      </c>
      <c r="H836" t="str">
        <f t="shared" si="47"/>
        <v>Female</v>
      </c>
      <c r="I836" t="str">
        <f>"+880"&amp;RIGHT(SUBSTITUTE(SUBSTITUTE($J836," ",""),"-",""),10)</f>
        <v>+8809114444036</v>
      </c>
      <c r="J836" t="s">
        <v>3983</v>
      </c>
      <c r="K836" t="s">
        <v>13</v>
      </c>
      <c r="L836" t="str">
        <f>_xlfn.XLOOKUP($K$3,K:K,K:K,$K$2)</f>
        <v>Bangladesh</v>
      </c>
      <c r="M836" t="s">
        <v>345</v>
      </c>
      <c r="N836" t="e" vm="46">
        <f>_xlfn.XLOOKUP($M836,$O:$O,$P:$P,"")</f>
        <v>#VALUE!</v>
      </c>
    </row>
    <row r="837" spans="1:14" x14ac:dyDescent="0.25">
      <c r="A837">
        <v>991</v>
      </c>
      <c r="B837" t="str">
        <f t="shared" si="45"/>
        <v>Wilow</v>
      </c>
      <c r="C837" t="s">
        <v>3984</v>
      </c>
      <c r="D837" t="s">
        <v>3985</v>
      </c>
      <c r="E837" t="str">
        <f t="shared" si="46"/>
        <v>wgennerri@gmpg.org</v>
      </c>
      <c r="F837" t="s">
        <v>3986</v>
      </c>
      <c r="G837" t="s">
        <v>11</v>
      </c>
      <c r="H837" t="str">
        <f t="shared" si="47"/>
        <v>Female</v>
      </c>
      <c r="I837" t="str">
        <f>"+880"&amp;RIGHT(SUBSTITUTE(SUBSTITUTE($J837," ",""),"-",""),10)</f>
        <v>+8807398710304</v>
      </c>
      <c r="J837" t="s">
        <v>3987</v>
      </c>
      <c r="K837" t="s">
        <v>4032</v>
      </c>
      <c r="L837" t="str">
        <f>_xlfn.XLOOKUP($K$3,K:K,K:K,$K$2)</f>
        <v>Bangladesh</v>
      </c>
      <c r="M837" t="s">
        <v>779</v>
      </c>
      <c r="N837" t="e" vm="72">
        <f>_xlfn.XLOOKUP($M837,$O:$O,$P:$P,"")</f>
        <v>#VALUE!</v>
      </c>
    </row>
    <row r="838" spans="1:14" x14ac:dyDescent="0.25">
      <c r="A838">
        <v>992</v>
      </c>
      <c r="B838" t="str">
        <f t="shared" si="45"/>
        <v>Rufe</v>
      </c>
      <c r="C838" t="s">
        <v>3988</v>
      </c>
      <c r="D838" t="s">
        <v>3989</v>
      </c>
      <c r="E838" t="str">
        <f t="shared" si="46"/>
        <v>ryannrj@nba.com</v>
      </c>
      <c r="F838" t="s">
        <v>3990</v>
      </c>
      <c r="G838" t="s">
        <v>18</v>
      </c>
      <c r="H838" t="str">
        <f t="shared" si="47"/>
        <v>Male</v>
      </c>
      <c r="I838" t="str">
        <f>"+880"&amp;RIGHT(SUBSTITUTE(SUBSTITUTE($J838," ",""),"-",""),10)</f>
        <v>+8806491065334</v>
      </c>
      <c r="J838" t="s">
        <v>3991</v>
      </c>
      <c r="K838" t="s">
        <v>13</v>
      </c>
      <c r="L838" t="str">
        <f>_xlfn.XLOOKUP($K$3,K:K,K:K,$K$2)</f>
        <v>Bangladesh</v>
      </c>
      <c r="M838" t="s">
        <v>619</v>
      </c>
      <c r="N838" t="e" vm="61">
        <f>_xlfn.XLOOKUP($M838,$O:$O,$P:$P,"")</f>
        <v>#VALUE!</v>
      </c>
    </row>
    <row r="839" spans="1:14" x14ac:dyDescent="0.25">
      <c r="A839">
        <v>993</v>
      </c>
      <c r="B839" t="str">
        <f t="shared" si="45"/>
        <v>Nathaniel</v>
      </c>
      <c r="C839" t="s">
        <v>3992</v>
      </c>
      <c r="D839" t="s">
        <v>3993</v>
      </c>
      <c r="E839" t="str">
        <f t="shared" si="46"/>
        <v>nteersrk@ustream.tv</v>
      </c>
      <c r="F839" t="s">
        <v>3994</v>
      </c>
      <c r="G839" t="s">
        <v>18</v>
      </c>
      <c r="H839" t="str">
        <f t="shared" si="47"/>
        <v>Male</v>
      </c>
      <c r="I839" t="str">
        <f>"+880"&amp;RIGHT(SUBSTITUTE(SUBSTITUTE($J839," ",""),"-",""),10)</f>
        <v>+8808184522328</v>
      </c>
      <c r="J839" t="s">
        <v>3995</v>
      </c>
      <c r="K839" t="s">
        <v>13</v>
      </c>
      <c r="L839" t="str">
        <f>_xlfn.XLOOKUP($K$3,K:K,K:K,$K$2)</f>
        <v>Bangladesh</v>
      </c>
      <c r="M839" t="s">
        <v>317</v>
      </c>
      <c r="N839" t="e" vm="43">
        <f>_xlfn.XLOOKUP($M839,$O:$O,$P:$P,"")</f>
        <v>#VALUE!</v>
      </c>
    </row>
    <row r="840" spans="1:14" x14ac:dyDescent="0.25">
      <c r="A840">
        <v>994</v>
      </c>
      <c r="B840" t="str">
        <f t="shared" si="45"/>
        <v>Geoffry</v>
      </c>
      <c r="C840" t="s">
        <v>3996</v>
      </c>
      <c r="D840" t="s">
        <v>3997</v>
      </c>
      <c r="E840" t="str">
        <f t="shared" si="46"/>
        <v>gshelperrl@ustream.tv</v>
      </c>
      <c r="F840" t="s">
        <v>3998</v>
      </c>
      <c r="G840" t="s">
        <v>18</v>
      </c>
      <c r="H840" t="str">
        <f t="shared" si="47"/>
        <v>Male</v>
      </c>
      <c r="I840" t="str">
        <f>"+880"&amp;RIGHT(SUBSTITUTE(SUBSTITUTE($J840," ",""),"-",""),10)</f>
        <v>+8806579662095</v>
      </c>
      <c r="J840" t="s">
        <v>3999</v>
      </c>
      <c r="K840" t="s">
        <v>13</v>
      </c>
      <c r="L840" t="str">
        <f>_xlfn.XLOOKUP($K$3,K:K,K:K,$K$2)</f>
        <v>Bangladesh</v>
      </c>
      <c r="M840" t="s">
        <v>168</v>
      </c>
      <c r="N840" t="e" vm="25">
        <f>_xlfn.XLOOKUP($M840,$O:$O,$P:$P,"")</f>
        <v>#VALUE!</v>
      </c>
    </row>
    <row r="841" spans="1:14" x14ac:dyDescent="0.25">
      <c r="A841">
        <v>996</v>
      </c>
      <c r="B841" t="str">
        <f t="shared" si="45"/>
        <v>Temp</v>
      </c>
      <c r="C841" t="s">
        <v>4004</v>
      </c>
      <c r="D841" t="s">
        <v>4005</v>
      </c>
      <c r="E841" t="str">
        <f t="shared" si="46"/>
        <v>tpriestleyrn@typepad.com</v>
      </c>
      <c r="F841" t="s">
        <v>4006</v>
      </c>
      <c r="G841" t="s">
        <v>18</v>
      </c>
      <c r="H841" t="str">
        <f t="shared" si="47"/>
        <v>Male</v>
      </c>
      <c r="I841" t="str">
        <f>"+880"&amp;RIGHT(SUBSTITUTE(SUBSTITUTE($J841," ",""),"-",""),10)</f>
        <v>+8803876099467</v>
      </c>
      <c r="J841" t="s">
        <v>4007</v>
      </c>
      <c r="K841" t="s">
        <v>4031</v>
      </c>
      <c r="L841" t="str">
        <f>_xlfn.XLOOKUP($K$3,K:K,K:K,$K$2)</f>
        <v>Bangladesh</v>
      </c>
      <c r="M841" t="s">
        <v>814</v>
      </c>
      <c r="N841" t="e" vm="75">
        <f>_xlfn.XLOOKUP($M841,$O:$O,$P:$P,"")</f>
        <v>#VALUE!</v>
      </c>
    </row>
    <row r="842" spans="1:14" x14ac:dyDescent="0.25">
      <c r="A842">
        <v>997</v>
      </c>
      <c r="B842" t="str">
        <f t="shared" si="45"/>
        <v>Rafaelia</v>
      </c>
      <c r="C842" t="s">
        <v>4008</v>
      </c>
      <c r="D842" t="s">
        <v>4009</v>
      </c>
      <c r="E842" t="str">
        <f t="shared" si="46"/>
        <v>rsmallpiecero@blog.com</v>
      </c>
      <c r="F842" t="s">
        <v>4010</v>
      </c>
      <c r="G842" t="s">
        <v>11</v>
      </c>
      <c r="H842" t="str">
        <f t="shared" si="47"/>
        <v>Female</v>
      </c>
      <c r="I842" t="str">
        <f>"+880"&amp;RIGHT(SUBSTITUTE(SUBSTITUTE($J842," ",""),"-",""),10)</f>
        <v>+8806199475362</v>
      </c>
      <c r="J842" t="s">
        <v>4011</v>
      </c>
      <c r="K842" t="s">
        <v>13</v>
      </c>
      <c r="L842" t="str">
        <f>_xlfn.XLOOKUP($K$3,K:K,K:K,$K$2)</f>
        <v>Bangladesh</v>
      </c>
      <c r="M842" t="s">
        <v>120</v>
      </c>
      <c r="N842" t="str">
        <f>_xlfn.XLOOKUP($M842,$O:$O,$P:$P,"")</f>
        <v>Bhatpara Abhaynagar</v>
      </c>
    </row>
    <row r="843" spans="1:14" x14ac:dyDescent="0.25">
      <c r="A843">
        <v>998</v>
      </c>
      <c r="B843" t="str">
        <f t="shared" si="45"/>
        <v>Clementine</v>
      </c>
      <c r="C843" t="s">
        <v>4012</v>
      </c>
      <c r="D843" t="s">
        <v>4013</v>
      </c>
      <c r="E843" t="str">
        <f t="shared" si="46"/>
        <v>cbuckellrp@drupal.org</v>
      </c>
      <c r="F843" t="s">
        <v>4014</v>
      </c>
      <c r="G843" t="s">
        <v>11</v>
      </c>
      <c r="H843" t="str">
        <f t="shared" si="47"/>
        <v>Female</v>
      </c>
      <c r="I843" t="str">
        <f>"+880"&amp;RIGHT(SUBSTITUTE(SUBSTITUTE($J843," ",""),"-",""),10)</f>
        <v>+8807351649155</v>
      </c>
      <c r="J843" t="s">
        <v>4015</v>
      </c>
      <c r="K843" t="s">
        <v>13</v>
      </c>
      <c r="L843" t="str">
        <f>_xlfn.XLOOKUP($K$3,K:K,K:K,$K$2)</f>
        <v>Bangladesh</v>
      </c>
      <c r="M843" t="s">
        <v>163</v>
      </c>
      <c r="N843" t="e" vm="24">
        <f>_xlfn.XLOOKUP($M843,$O:$O,$P:$P,"")</f>
        <v>#VALUE!</v>
      </c>
    </row>
    <row r="844" spans="1:14" x14ac:dyDescent="0.25">
      <c r="A844">
        <v>1000</v>
      </c>
      <c r="B844" t="str">
        <f t="shared" si="45"/>
        <v>Jemimah</v>
      </c>
      <c r="C844" t="s">
        <v>4020</v>
      </c>
      <c r="D844" t="s">
        <v>4021</v>
      </c>
      <c r="E844" t="str">
        <f t="shared" si="46"/>
        <v>jclothierrr@feedburner.com</v>
      </c>
      <c r="F844" t="s">
        <v>4022</v>
      </c>
      <c r="G844" t="s">
        <v>11</v>
      </c>
      <c r="H844" t="str">
        <f t="shared" si="47"/>
        <v>Female</v>
      </c>
      <c r="I844" t="str">
        <f>"+880"&amp;RIGHT(SUBSTITUTE(SUBSTITUTE($J844," ",""),"-",""),10)</f>
        <v>+8801312571246</v>
      </c>
      <c r="J844" t="s">
        <v>4023</v>
      </c>
      <c r="K844" t="s">
        <v>13</v>
      </c>
      <c r="L844" t="str">
        <f>_xlfn.XLOOKUP($K$3,K:K,K:K,$K$2)</f>
        <v>Bangladesh</v>
      </c>
      <c r="M844" t="s">
        <v>1017</v>
      </c>
      <c r="N844" t="e" vm="80">
        <f>_xlfn.XLOOKUP($M844,$O:$O,$P:$P,"")</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6451-82AD-42A2-9135-3DAD916D84B3}">
  <dimension ref="A1:H844"/>
  <sheetViews>
    <sheetView zoomScale="85" zoomScaleNormal="85" workbookViewId="0">
      <pane ySplit="1" topLeftCell="A152" activePane="bottomLeft" state="frozen"/>
      <selection pane="bottomLeft"/>
    </sheetView>
  </sheetViews>
  <sheetFormatPr defaultRowHeight="15" x14ac:dyDescent="0.25"/>
  <cols>
    <col min="1" max="1" width="11.7109375" style="1" bestFit="1" customWidth="1"/>
    <col min="2" max="2" width="13.42578125" style="1" bestFit="1" customWidth="1"/>
    <col min="3" max="3" width="14.28515625" style="1" bestFit="1" customWidth="1"/>
    <col min="4" max="4" width="36" style="1" bestFit="1" customWidth="1"/>
    <col min="5" max="5" width="7.42578125" style="1" bestFit="1" customWidth="1"/>
    <col min="6" max="6" width="15.42578125" style="2" bestFit="1" customWidth="1"/>
    <col min="7" max="7" width="11.42578125" style="1" bestFit="1" customWidth="1"/>
    <col min="8" max="8" width="36.85546875" style="6" bestFit="1" customWidth="1"/>
    <col min="9" max="16384" width="9.140625" style="1"/>
  </cols>
  <sheetData>
    <row r="1" spans="1:8" x14ac:dyDescent="0.25">
      <c r="A1" s="3" t="s">
        <v>0</v>
      </c>
      <c r="B1" s="3" t="s">
        <v>1</v>
      </c>
      <c r="C1" s="3" t="s">
        <v>2</v>
      </c>
      <c r="D1" s="3" t="s">
        <v>3</v>
      </c>
      <c r="E1" s="3" t="s">
        <v>4</v>
      </c>
      <c r="F1" s="4" t="s">
        <v>5</v>
      </c>
      <c r="G1" s="3" t="s">
        <v>6</v>
      </c>
      <c r="H1" s="5" t="s">
        <v>7</v>
      </c>
    </row>
    <row r="2" spans="1:8" x14ac:dyDescent="0.25">
      <c r="A2" s="1">
        <v>1</v>
      </c>
      <c r="B2" s="1" t="s">
        <v>8</v>
      </c>
      <c r="C2" s="1" t="s">
        <v>9</v>
      </c>
      <c r="D2" s="1" t="s">
        <v>10</v>
      </c>
      <c r="E2" s="1" t="s">
        <v>11</v>
      </c>
      <c r="F2" s="2" t="s">
        <v>4042</v>
      </c>
      <c r="G2" s="1" t="s">
        <v>13</v>
      </c>
      <c r="H2" s="6" t="e" vm="1">
        <v>#VALUE!</v>
      </c>
    </row>
    <row r="3" spans="1:8" x14ac:dyDescent="0.25">
      <c r="A3" s="1">
        <v>2</v>
      </c>
      <c r="B3" s="1" t="s">
        <v>15</v>
      </c>
      <c r="C3" s="1" t="s">
        <v>16</v>
      </c>
      <c r="D3" s="1" t="s">
        <v>17</v>
      </c>
      <c r="E3" s="1" t="s">
        <v>18</v>
      </c>
      <c r="F3" s="2" t="s">
        <v>4043</v>
      </c>
      <c r="G3" s="1" t="s">
        <v>13</v>
      </c>
      <c r="H3" s="6" t="e" vm="2">
        <v>#VALUE!</v>
      </c>
    </row>
    <row r="4" spans="1:8" x14ac:dyDescent="0.25">
      <c r="A4" s="1">
        <v>3</v>
      </c>
      <c r="B4" s="1" t="s">
        <v>21</v>
      </c>
      <c r="C4" s="1" t="s">
        <v>22</v>
      </c>
      <c r="D4" s="1" t="s">
        <v>23</v>
      </c>
      <c r="E4" s="1" t="s">
        <v>18</v>
      </c>
      <c r="F4" s="2" t="s">
        <v>4044</v>
      </c>
      <c r="G4" s="1" t="s">
        <v>13</v>
      </c>
      <c r="H4" s="6" t="e" vm="3">
        <v>#VALUE!</v>
      </c>
    </row>
    <row r="5" spans="1:8" x14ac:dyDescent="0.25">
      <c r="A5" s="1">
        <v>4</v>
      </c>
      <c r="B5" s="1" t="s">
        <v>26</v>
      </c>
      <c r="C5" s="1" t="s">
        <v>27</v>
      </c>
      <c r="D5" s="1" t="s">
        <v>28</v>
      </c>
      <c r="E5" s="1" t="s">
        <v>4045</v>
      </c>
      <c r="F5" s="2" t="s">
        <v>4046</v>
      </c>
      <c r="G5" s="1" t="s">
        <v>13</v>
      </c>
      <c r="H5" s="6" t="e" vm="4">
        <v>#VALUE!</v>
      </c>
    </row>
    <row r="6" spans="1:8" x14ac:dyDescent="0.25">
      <c r="A6" s="1">
        <v>5</v>
      </c>
      <c r="B6" s="1" t="s">
        <v>32</v>
      </c>
      <c r="C6" s="1" t="s">
        <v>33</v>
      </c>
      <c r="D6" s="1" t="s">
        <v>34</v>
      </c>
      <c r="E6" s="1" t="s">
        <v>11</v>
      </c>
      <c r="F6" s="2" t="s">
        <v>4047</v>
      </c>
      <c r="G6" s="1" t="s">
        <v>13</v>
      </c>
      <c r="H6" s="6" t="s">
        <v>4037</v>
      </c>
    </row>
    <row r="7" spans="1:8" x14ac:dyDescent="0.25">
      <c r="A7" s="1">
        <v>7</v>
      </c>
      <c r="B7" s="1" t="s">
        <v>42</v>
      </c>
      <c r="C7" s="1" t="s">
        <v>43</v>
      </c>
      <c r="D7" s="1" t="s">
        <v>44</v>
      </c>
      <c r="E7" s="1" t="s">
        <v>11</v>
      </c>
      <c r="F7" s="2" t="s">
        <v>4048</v>
      </c>
      <c r="G7" s="1" t="s">
        <v>13</v>
      </c>
      <c r="H7" s="6" t="e" vm="5">
        <v>#VALUE!</v>
      </c>
    </row>
    <row r="8" spans="1:8" x14ac:dyDescent="0.25">
      <c r="A8" s="1">
        <v>8</v>
      </c>
      <c r="B8" s="1" t="s">
        <v>47</v>
      </c>
      <c r="C8" s="1" t="s">
        <v>48</v>
      </c>
      <c r="D8" s="1" t="s">
        <v>49</v>
      </c>
      <c r="E8" s="1" t="s">
        <v>11</v>
      </c>
      <c r="F8" s="2" t="s">
        <v>4049</v>
      </c>
      <c r="G8" s="1" t="s">
        <v>13</v>
      </c>
      <c r="H8" s="6" t="s">
        <v>51</v>
      </c>
    </row>
    <row r="9" spans="1:8" x14ac:dyDescent="0.25">
      <c r="A9" s="1">
        <v>9</v>
      </c>
      <c r="B9" s="1" t="s">
        <v>52</v>
      </c>
      <c r="C9" s="1" t="s">
        <v>53</v>
      </c>
      <c r="D9" s="1" t="s">
        <v>54</v>
      </c>
      <c r="E9" s="1" t="s">
        <v>18</v>
      </c>
      <c r="F9" s="2" t="s">
        <v>4050</v>
      </c>
      <c r="G9" s="1" t="s">
        <v>13</v>
      </c>
      <c r="H9" s="6" t="e" vm="6">
        <v>#VALUE!</v>
      </c>
    </row>
    <row r="10" spans="1:8" x14ac:dyDescent="0.25">
      <c r="A10" s="1">
        <v>10</v>
      </c>
      <c r="B10" s="1" t="s">
        <v>57</v>
      </c>
      <c r="C10" s="1" t="s">
        <v>58</v>
      </c>
      <c r="D10" s="1" t="s">
        <v>59</v>
      </c>
      <c r="E10" s="1" t="s">
        <v>11</v>
      </c>
      <c r="F10" s="2" t="s">
        <v>4051</v>
      </c>
      <c r="G10" s="1" t="s">
        <v>13</v>
      </c>
      <c r="H10" s="6" t="e" vm="7">
        <v>#VALUE!</v>
      </c>
    </row>
    <row r="11" spans="1:8" x14ac:dyDescent="0.25">
      <c r="A11" s="1">
        <v>11</v>
      </c>
      <c r="B11" s="1" t="s">
        <v>62</v>
      </c>
      <c r="C11" s="1" t="s">
        <v>63</v>
      </c>
      <c r="D11" s="1" t="s">
        <v>64</v>
      </c>
      <c r="E11" s="1" t="s">
        <v>11</v>
      </c>
      <c r="F11" s="2" t="s">
        <v>4052</v>
      </c>
      <c r="G11" s="1" t="s">
        <v>13</v>
      </c>
      <c r="H11" s="6" t="e" vm="8">
        <v>#VALUE!</v>
      </c>
    </row>
    <row r="12" spans="1:8" x14ac:dyDescent="0.25">
      <c r="A12" s="1">
        <v>12</v>
      </c>
      <c r="B12" s="1" t="s">
        <v>67</v>
      </c>
      <c r="C12" s="1" t="s">
        <v>68</v>
      </c>
      <c r="D12" s="1" t="s">
        <v>69</v>
      </c>
      <c r="E12" s="1" t="s">
        <v>18</v>
      </c>
      <c r="F12" s="2" t="s">
        <v>4053</v>
      </c>
      <c r="G12" s="1" t="s">
        <v>13</v>
      </c>
      <c r="H12" s="6" t="e" vm="9">
        <v>#VALUE!</v>
      </c>
    </row>
    <row r="13" spans="1:8" x14ac:dyDescent="0.25">
      <c r="A13" s="1">
        <v>13</v>
      </c>
      <c r="B13" s="1" t="s">
        <v>72</v>
      </c>
      <c r="C13" s="1" t="s">
        <v>73</v>
      </c>
      <c r="D13" s="1" t="s">
        <v>74</v>
      </c>
      <c r="E13" s="1" t="s">
        <v>18</v>
      </c>
      <c r="F13" s="2" t="s">
        <v>4054</v>
      </c>
      <c r="G13" s="1" t="s">
        <v>13</v>
      </c>
      <c r="H13" s="6" t="e" vm="10">
        <v>#VALUE!</v>
      </c>
    </row>
    <row r="14" spans="1:8" x14ac:dyDescent="0.25">
      <c r="A14" s="1">
        <v>14</v>
      </c>
      <c r="B14" s="1" t="s">
        <v>77</v>
      </c>
      <c r="C14" s="1" t="s">
        <v>78</v>
      </c>
      <c r="D14" s="1" t="s">
        <v>79</v>
      </c>
      <c r="E14" s="1" t="s">
        <v>11</v>
      </c>
      <c r="F14" s="2" t="s">
        <v>4055</v>
      </c>
      <c r="G14" s="1" t="s">
        <v>13</v>
      </c>
      <c r="H14" s="6" t="e" vm="11">
        <v>#VALUE!</v>
      </c>
    </row>
    <row r="15" spans="1:8" x14ac:dyDescent="0.25">
      <c r="A15" s="1">
        <v>15</v>
      </c>
      <c r="B15" s="1" t="s">
        <v>82</v>
      </c>
      <c r="C15" s="1" t="s">
        <v>83</v>
      </c>
      <c r="D15" s="1" t="s">
        <v>84</v>
      </c>
      <c r="E15" s="1" t="s">
        <v>18</v>
      </c>
      <c r="F15" s="2" t="s">
        <v>4056</v>
      </c>
      <c r="G15" s="1" t="s">
        <v>13</v>
      </c>
      <c r="H15" s="6" t="e" vm="12">
        <v>#VALUE!</v>
      </c>
    </row>
    <row r="16" spans="1:8" x14ac:dyDescent="0.25">
      <c r="A16" s="1">
        <v>16</v>
      </c>
      <c r="B16" s="1" t="s">
        <v>87</v>
      </c>
      <c r="C16" s="1" t="s">
        <v>88</v>
      </c>
      <c r="D16" s="1" t="s">
        <v>89</v>
      </c>
      <c r="E16" s="1" t="s">
        <v>18</v>
      </c>
      <c r="F16" s="2" t="s">
        <v>4057</v>
      </c>
      <c r="G16" s="1" t="s">
        <v>13</v>
      </c>
      <c r="H16" s="6" t="e" vm="13">
        <v>#VALUE!</v>
      </c>
    </row>
    <row r="17" spans="1:8" x14ac:dyDescent="0.25">
      <c r="A17" s="1">
        <v>17</v>
      </c>
      <c r="B17" s="1" t="s">
        <v>92</v>
      </c>
      <c r="C17" s="1" t="s">
        <v>93</v>
      </c>
      <c r="D17" s="1" t="s">
        <v>94</v>
      </c>
      <c r="E17" s="1" t="s">
        <v>11</v>
      </c>
      <c r="F17" s="2" t="s">
        <v>4058</v>
      </c>
      <c r="G17" s="1" t="s">
        <v>13</v>
      </c>
      <c r="H17" s="6" t="e" vm="14">
        <v>#VALUE!</v>
      </c>
    </row>
    <row r="18" spans="1:8" x14ac:dyDescent="0.25">
      <c r="A18" s="1">
        <v>18</v>
      </c>
      <c r="B18" s="1" t="s">
        <v>97</v>
      </c>
      <c r="C18" s="1" t="s">
        <v>98</v>
      </c>
      <c r="D18" s="1" t="s">
        <v>99</v>
      </c>
      <c r="E18" s="1" t="s">
        <v>11</v>
      </c>
      <c r="F18" s="2" t="s">
        <v>4059</v>
      </c>
      <c r="G18" s="1" t="s">
        <v>13</v>
      </c>
      <c r="H18" s="6" t="e" vm="15">
        <v>#VALUE!</v>
      </c>
    </row>
    <row r="19" spans="1:8" x14ac:dyDescent="0.25">
      <c r="A19" s="1">
        <v>19</v>
      </c>
      <c r="B19" s="1" t="s">
        <v>102</v>
      </c>
      <c r="C19" s="1" t="s">
        <v>103</v>
      </c>
      <c r="D19" s="1" t="s">
        <v>104</v>
      </c>
      <c r="E19" s="1" t="s">
        <v>18</v>
      </c>
      <c r="F19" s="2" t="s">
        <v>4060</v>
      </c>
      <c r="G19" s="1" t="s">
        <v>13</v>
      </c>
      <c r="H19" s="6" t="s">
        <v>4037</v>
      </c>
    </row>
    <row r="20" spans="1:8" x14ac:dyDescent="0.25">
      <c r="A20" s="1">
        <v>20</v>
      </c>
      <c r="B20" s="1" t="s">
        <v>106</v>
      </c>
      <c r="C20" s="1" t="s">
        <v>107</v>
      </c>
      <c r="D20" s="1" t="s">
        <v>108</v>
      </c>
      <c r="E20" s="1" t="s">
        <v>11</v>
      </c>
      <c r="F20" s="2" t="s">
        <v>4061</v>
      </c>
      <c r="G20" s="1" t="s">
        <v>13</v>
      </c>
      <c r="H20" s="6" t="e" vm="16">
        <v>#VALUE!</v>
      </c>
    </row>
    <row r="21" spans="1:8" x14ac:dyDescent="0.25">
      <c r="A21" s="1">
        <v>21</v>
      </c>
      <c r="B21" s="1" t="s">
        <v>111</v>
      </c>
      <c r="C21" s="1" t="s">
        <v>112</v>
      </c>
      <c r="D21" s="1" t="s">
        <v>113</v>
      </c>
      <c r="E21" s="1" t="s">
        <v>11</v>
      </c>
      <c r="F21" s="2" t="s">
        <v>4062</v>
      </c>
      <c r="G21" s="1" t="s">
        <v>13</v>
      </c>
      <c r="H21" s="6" t="e" vm="17">
        <v>#VALUE!</v>
      </c>
    </row>
    <row r="22" spans="1:8" x14ac:dyDescent="0.25">
      <c r="A22" s="1">
        <v>22</v>
      </c>
      <c r="B22" s="1" t="s">
        <v>116</v>
      </c>
      <c r="C22" s="1" t="s">
        <v>117</v>
      </c>
      <c r="D22" s="1" t="s">
        <v>118</v>
      </c>
      <c r="E22" s="1" t="s">
        <v>18</v>
      </c>
      <c r="F22" s="2" t="s">
        <v>4063</v>
      </c>
      <c r="G22" s="1" t="s">
        <v>13</v>
      </c>
      <c r="H22" s="6" t="s">
        <v>4038</v>
      </c>
    </row>
    <row r="23" spans="1:8" x14ac:dyDescent="0.25">
      <c r="A23" s="1">
        <v>23</v>
      </c>
      <c r="B23" s="1" t="s">
        <v>121</v>
      </c>
      <c r="C23" s="1" t="s">
        <v>122</v>
      </c>
      <c r="D23" s="1" t="s">
        <v>123</v>
      </c>
      <c r="E23" s="1" t="s">
        <v>18</v>
      </c>
      <c r="F23" s="2" t="s">
        <v>4064</v>
      </c>
      <c r="G23" s="1" t="s">
        <v>13</v>
      </c>
      <c r="H23" s="6" t="e" vm="18">
        <v>#VALUE!</v>
      </c>
    </row>
    <row r="24" spans="1:8" x14ac:dyDescent="0.25">
      <c r="A24" s="1">
        <v>24</v>
      </c>
      <c r="B24" s="1" t="s">
        <v>126</v>
      </c>
      <c r="C24" s="1" t="s">
        <v>127</v>
      </c>
      <c r="D24" s="1" t="s">
        <v>128</v>
      </c>
      <c r="E24" s="1" t="s">
        <v>18</v>
      </c>
      <c r="F24" s="2" t="s">
        <v>4065</v>
      </c>
      <c r="G24" s="1" t="s">
        <v>13</v>
      </c>
      <c r="H24" s="6" t="e" vm="19">
        <v>#VALUE!</v>
      </c>
    </row>
    <row r="25" spans="1:8" x14ac:dyDescent="0.25">
      <c r="A25" s="1">
        <v>25</v>
      </c>
      <c r="B25" s="1" t="s">
        <v>131</v>
      </c>
      <c r="C25" s="1" t="s">
        <v>132</v>
      </c>
      <c r="D25" s="1" t="s">
        <v>133</v>
      </c>
      <c r="E25" s="1" t="s">
        <v>11</v>
      </c>
      <c r="F25" s="2" t="s">
        <v>4066</v>
      </c>
      <c r="G25" s="1" t="s">
        <v>13</v>
      </c>
      <c r="H25" s="6" t="e" vm="20">
        <v>#VALUE!</v>
      </c>
    </row>
    <row r="26" spans="1:8" x14ac:dyDescent="0.25">
      <c r="A26" s="1">
        <v>26</v>
      </c>
      <c r="B26" s="1" t="s">
        <v>136</v>
      </c>
      <c r="C26" s="1" t="s">
        <v>137</v>
      </c>
      <c r="D26" s="1" t="s">
        <v>138</v>
      </c>
      <c r="E26" s="1" t="s">
        <v>11</v>
      </c>
      <c r="F26" s="2" t="s">
        <v>4067</v>
      </c>
      <c r="G26" s="1" t="s">
        <v>13</v>
      </c>
      <c r="H26" s="6" t="e" vm="21">
        <v>#VALUE!</v>
      </c>
    </row>
    <row r="27" spans="1:8" x14ac:dyDescent="0.25">
      <c r="A27" s="1">
        <v>27</v>
      </c>
      <c r="B27" s="1" t="s">
        <v>141</v>
      </c>
      <c r="C27" s="1" t="s">
        <v>142</v>
      </c>
      <c r="D27" s="1" t="s">
        <v>143</v>
      </c>
      <c r="E27" s="1" t="s">
        <v>11</v>
      </c>
      <c r="F27" s="2" t="s">
        <v>4068</v>
      </c>
      <c r="G27" s="1" t="s">
        <v>13</v>
      </c>
      <c r="H27" s="6" t="e" vm="21">
        <v>#VALUE!</v>
      </c>
    </row>
    <row r="28" spans="1:8" x14ac:dyDescent="0.25">
      <c r="A28" s="1">
        <v>28</v>
      </c>
      <c r="B28" s="1" t="s">
        <v>145</v>
      </c>
      <c r="C28" s="1" t="s">
        <v>146</v>
      </c>
      <c r="D28" s="1" t="s">
        <v>147</v>
      </c>
      <c r="E28" s="1" t="s">
        <v>11</v>
      </c>
      <c r="F28" s="2" t="s">
        <v>4069</v>
      </c>
      <c r="G28" s="1" t="s">
        <v>13</v>
      </c>
      <c r="H28" s="6" t="e" vm="22">
        <v>#VALUE!</v>
      </c>
    </row>
    <row r="29" spans="1:8" x14ac:dyDescent="0.25">
      <c r="A29" s="1">
        <v>29</v>
      </c>
      <c r="B29" s="1" t="s">
        <v>150</v>
      </c>
      <c r="C29" s="1" t="s">
        <v>151</v>
      </c>
      <c r="D29" s="1" t="s">
        <v>152</v>
      </c>
      <c r="E29" s="1" t="s">
        <v>18</v>
      </c>
      <c r="F29" s="2" t="s">
        <v>4070</v>
      </c>
      <c r="G29" s="1" t="s">
        <v>13</v>
      </c>
      <c r="H29" s="6" t="e" vm="23">
        <v>#VALUE!</v>
      </c>
    </row>
    <row r="30" spans="1:8" x14ac:dyDescent="0.25">
      <c r="A30" s="1">
        <v>30</v>
      </c>
      <c r="B30" s="1" t="s">
        <v>155</v>
      </c>
      <c r="C30" s="1" t="s">
        <v>156</v>
      </c>
      <c r="D30" s="1" t="s">
        <v>157</v>
      </c>
      <c r="E30" s="1" t="s">
        <v>18</v>
      </c>
      <c r="F30" s="2" t="s">
        <v>4071</v>
      </c>
      <c r="G30" s="1" t="s">
        <v>13</v>
      </c>
      <c r="H30" s="6" t="e" vm="16">
        <v>#VALUE!</v>
      </c>
    </row>
    <row r="31" spans="1:8" x14ac:dyDescent="0.25">
      <c r="A31" s="1">
        <v>31</v>
      </c>
      <c r="B31" s="1" t="s">
        <v>159</v>
      </c>
      <c r="C31" s="1" t="s">
        <v>160</v>
      </c>
      <c r="D31" s="1" t="s">
        <v>161</v>
      </c>
      <c r="E31" s="1" t="s">
        <v>18</v>
      </c>
      <c r="F31" s="2" t="s">
        <v>4072</v>
      </c>
      <c r="G31" s="1" t="s">
        <v>13</v>
      </c>
      <c r="H31" s="6" t="e" vm="24">
        <v>#VALUE!</v>
      </c>
    </row>
    <row r="32" spans="1:8" x14ac:dyDescent="0.25">
      <c r="A32" s="1">
        <v>32</v>
      </c>
      <c r="B32" s="1" t="s">
        <v>164</v>
      </c>
      <c r="C32" s="1" t="s">
        <v>165</v>
      </c>
      <c r="D32" s="1" t="s">
        <v>166</v>
      </c>
      <c r="E32" s="1" t="s">
        <v>11</v>
      </c>
      <c r="F32" s="2" t="s">
        <v>4073</v>
      </c>
      <c r="G32" s="1" t="s">
        <v>13</v>
      </c>
      <c r="H32" s="6" t="e" vm="25">
        <v>#VALUE!</v>
      </c>
    </row>
    <row r="33" spans="1:8" x14ac:dyDescent="0.25">
      <c r="A33" s="1">
        <v>33</v>
      </c>
      <c r="B33" s="1" t="s">
        <v>169</v>
      </c>
      <c r="C33" s="1" t="s">
        <v>170</v>
      </c>
      <c r="D33" s="1" t="s">
        <v>171</v>
      </c>
      <c r="E33" s="1" t="s">
        <v>11</v>
      </c>
      <c r="F33" s="2" t="s">
        <v>4074</v>
      </c>
      <c r="G33" s="1" t="s">
        <v>13</v>
      </c>
      <c r="H33" s="6" t="e" vm="26">
        <v>#VALUE!</v>
      </c>
    </row>
    <row r="34" spans="1:8" x14ac:dyDescent="0.25">
      <c r="A34" s="1">
        <v>34</v>
      </c>
      <c r="B34" s="1" t="s">
        <v>174</v>
      </c>
      <c r="C34" s="1" t="s">
        <v>175</v>
      </c>
      <c r="D34" s="1" t="s">
        <v>176</v>
      </c>
      <c r="E34" s="1" t="s">
        <v>11</v>
      </c>
      <c r="F34" s="2" t="s">
        <v>4075</v>
      </c>
      <c r="G34" s="1" t="s">
        <v>13</v>
      </c>
      <c r="H34" s="6" t="e" vm="27">
        <v>#VALUE!</v>
      </c>
    </row>
    <row r="35" spans="1:8" x14ac:dyDescent="0.25">
      <c r="A35" s="1">
        <v>35</v>
      </c>
      <c r="B35" s="1" t="s">
        <v>179</v>
      </c>
      <c r="C35" s="1" t="s">
        <v>180</v>
      </c>
      <c r="D35" s="1" t="s">
        <v>181</v>
      </c>
      <c r="E35" s="1" t="s">
        <v>11</v>
      </c>
      <c r="F35" s="2" t="s">
        <v>4076</v>
      </c>
      <c r="G35" s="1" t="s">
        <v>13</v>
      </c>
      <c r="H35" s="6" t="e" vm="28">
        <v>#VALUE!</v>
      </c>
    </row>
    <row r="36" spans="1:8" x14ac:dyDescent="0.25">
      <c r="A36" s="1">
        <v>36</v>
      </c>
      <c r="B36" s="1" t="s">
        <v>184</v>
      </c>
      <c r="C36" s="1" t="s">
        <v>185</v>
      </c>
      <c r="D36" s="1" t="s">
        <v>186</v>
      </c>
      <c r="E36" s="1" t="s">
        <v>11</v>
      </c>
      <c r="F36" s="2" t="s">
        <v>4077</v>
      </c>
      <c r="G36" s="1" t="s">
        <v>13</v>
      </c>
      <c r="H36" s="6" t="e" vm="29">
        <v>#VALUE!</v>
      </c>
    </row>
    <row r="37" spans="1:8" x14ac:dyDescent="0.25">
      <c r="A37" s="1">
        <v>37</v>
      </c>
      <c r="B37" s="1" t="s">
        <v>189</v>
      </c>
      <c r="C37" s="1" t="s">
        <v>190</v>
      </c>
      <c r="D37" s="1" t="s">
        <v>191</v>
      </c>
      <c r="E37" s="1" t="s">
        <v>11</v>
      </c>
      <c r="F37" s="2" t="s">
        <v>4078</v>
      </c>
      <c r="G37" s="1" t="s">
        <v>13</v>
      </c>
      <c r="H37" s="6" t="e" vm="21">
        <v>#VALUE!</v>
      </c>
    </row>
    <row r="38" spans="1:8" x14ac:dyDescent="0.25">
      <c r="A38" s="1">
        <v>38</v>
      </c>
      <c r="B38" s="1" t="s">
        <v>193</v>
      </c>
      <c r="C38" s="1" t="s">
        <v>194</v>
      </c>
      <c r="D38" s="1" t="s">
        <v>195</v>
      </c>
      <c r="E38" s="1" t="s">
        <v>11</v>
      </c>
      <c r="F38" s="2" t="s">
        <v>4079</v>
      </c>
      <c r="G38" s="1" t="s">
        <v>13</v>
      </c>
      <c r="H38" s="6" t="e" vm="27">
        <v>#VALUE!</v>
      </c>
    </row>
    <row r="39" spans="1:8" x14ac:dyDescent="0.25">
      <c r="A39" s="1">
        <v>39</v>
      </c>
      <c r="B39" s="1" t="s">
        <v>197</v>
      </c>
      <c r="C39" s="1" t="s">
        <v>198</v>
      </c>
      <c r="D39" s="1" t="s">
        <v>199</v>
      </c>
      <c r="E39" s="1" t="s">
        <v>11</v>
      </c>
      <c r="F39" s="2" t="s">
        <v>4080</v>
      </c>
      <c r="G39" s="1" t="s">
        <v>13</v>
      </c>
      <c r="H39" s="6" t="e" vm="17">
        <v>#VALUE!</v>
      </c>
    </row>
    <row r="40" spans="1:8" x14ac:dyDescent="0.25">
      <c r="A40" s="1">
        <v>40</v>
      </c>
      <c r="B40" s="1" t="s">
        <v>201</v>
      </c>
      <c r="C40" s="1" t="s">
        <v>202</v>
      </c>
      <c r="D40" s="1" t="s">
        <v>203</v>
      </c>
      <c r="E40" s="1" t="s">
        <v>18</v>
      </c>
      <c r="F40" s="2" t="s">
        <v>4081</v>
      </c>
      <c r="G40" s="1" t="s">
        <v>13</v>
      </c>
      <c r="H40" s="6" t="e" vm="30">
        <v>#VALUE!</v>
      </c>
    </row>
    <row r="41" spans="1:8" x14ac:dyDescent="0.25">
      <c r="A41" s="1">
        <v>41</v>
      </c>
      <c r="B41" s="1" t="s">
        <v>206</v>
      </c>
      <c r="C41" s="1" t="s">
        <v>207</v>
      </c>
      <c r="D41" s="1" t="s">
        <v>208</v>
      </c>
      <c r="E41" s="1" t="s">
        <v>11</v>
      </c>
      <c r="F41" s="2" t="s">
        <v>4082</v>
      </c>
      <c r="G41" s="1" t="s">
        <v>13</v>
      </c>
      <c r="H41" s="6" t="e" vm="31">
        <v>#VALUE!</v>
      </c>
    </row>
    <row r="42" spans="1:8" x14ac:dyDescent="0.25">
      <c r="A42" s="1">
        <v>42</v>
      </c>
      <c r="B42" s="1" t="s">
        <v>211</v>
      </c>
      <c r="C42" s="1" t="s">
        <v>212</v>
      </c>
      <c r="D42" s="1" t="s">
        <v>213</v>
      </c>
      <c r="E42" s="1" t="s">
        <v>11</v>
      </c>
      <c r="F42" s="2" t="s">
        <v>4083</v>
      </c>
      <c r="G42" s="1" t="s">
        <v>13</v>
      </c>
      <c r="H42" s="6" t="e" vm="32">
        <v>#VALUE!</v>
      </c>
    </row>
    <row r="43" spans="1:8" x14ac:dyDescent="0.25">
      <c r="A43" s="1">
        <v>43</v>
      </c>
      <c r="B43" s="1" t="s">
        <v>216</v>
      </c>
      <c r="C43" s="1" t="s">
        <v>217</v>
      </c>
      <c r="D43" s="1" t="s">
        <v>218</v>
      </c>
      <c r="E43" s="1" t="s">
        <v>11</v>
      </c>
      <c r="F43" s="2" t="s">
        <v>4084</v>
      </c>
      <c r="G43" s="1" t="s">
        <v>13</v>
      </c>
      <c r="H43" s="6" t="e" vm="17">
        <v>#VALUE!</v>
      </c>
    </row>
    <row r="44" spans="1:8" x14ac:dyDescent="0.25">
      <c r="A44" s="1">
        <v>44</v>
      </c>
      <c r="B44" s="1" t="s">
        <v>220</v>
      </c>
      <c r="C44" s="1" t="s">
        <v>221</v>
      </c>
      <c r="D44" s="1" t="s">
        <v>222</v>
      </c>
      <c r="E44" s="1" t="s">
        <v>18</v>
      </c>
      <c r="F44" s="2" t="s">
        <v>4085</v>
      </c>
      <c r="G44" s="1" t="s">
        <v>13</v>
      </c>
      <c r="H44" s="6" t="e" vm="33">
        <v>#VALUE!</v>
      </c>
    </row>
    <row r="45" spans="1:8" x14ac:dyDescent="0.25">
      <c r="A45" s="1">
        <v>45</v>
      </c>
      <c r="B45" s="1" t="s">
        <v>225</v>
      </c>
      <c r="C45" s="1" t="s">
        <v>226</v>
      </c>
      <c r="D45" s="1" t="s">
        <v>227</v>
      </c>
      <c r="E45" s="1" t="s">
        <v>4045</v>
      </c>
      <c r="F45" s="2" t="s">
        <v>4086</v>
      </c>
      <c r="G45" s="1" t="s">
        <v>13</v>
      </c>
      <c r="H45" s="6" t="e" vm="34">
        <v>#VALUE!</v>
      </c>
    </row>
    <row r="46" spans="1:8" x14ac:dyDescent="0.25">
      <c r="A46" s="1">
        <v>46</v>
      </c>
      <c r="B46" s="1" t="s">
        <v>231</v>
      </c>
      <c r="C46" s="1" t="s">
        <v>232</v>
      </c>
      <c r="D46" s="1" t="s">
        <v>233</v>
      </c>
      <c r="E46" s="1" t="s">
        <v>18</v>
      </c>
      <c r="F46" s="2" t="s">
        <v>4087</v>
      </c>
      <c r="G46" s="1" t="s">
        <v>13</v>
      </c>
      <c r="H46" s="6" t="e" vm="20">
        <v>#VALUE!</v>
      </c>
    </row>
    <row r="47" spans="1:8" x14ac:dyDescent="0.25">
      <c r="A47" s="1">
        <v>47</v>
      </c>
      <c r="B47" s="1" t="s">
        <v>235</v>
      </c>
      <c r="C47" s="1" t="s">
        <v>236</v>
      </c>
      <c r="D47" s="1" t="s">
        <v>237</v>
      </c>
      <c r="E47" s="1" t="s">
        <v>11</v>
      </c>
      <c r="F47" s="2" t="s">
        <v>4088</v>
      </c>
      <c r="G47" s="1" t="s">
        <v>13</v>
      </c>
      <c r="H47" s="6" t="e" vm="9">
        <v>#VALUE!</v>
      </c>
    </row>
    <row r="48" spans="1:8" x14ac:dyDescent="0.25">
      <c r="A48" s="1">
        <v>48</v>
      </c>
      <c r="B48" s="1" t="s">
        <v>239</v>
      </c>
      <c r="C48" s="1" t="s">
        <v>240</v>
      </c>
      <c r="D48" s="1" t="s">
        <v>241</v>
      </c>
      <c r="E48" s="1" t="s">
        <v>11</v>
      </c>
      <c r="F48" s="2" t="s">
        <v>4089</v>
      </c>
      <c r="G48" s="1" t="s">
        <v>13</v>
      </c>
      <c r="H48" s="6" t="e" vm="35">
        <v>#VALUE!</v>
      </c>
    </row>
    <row r="49" spans="1:8" x14ac:dyDescent="0.25">
      <c r="A49" s="1">
        <v>49</v>
      </c>
      <c r="B49" s="1" t="s">
        <v>244</v>
      </c>
      <c r="C49" s="1" t="s">
        <v>245</v>
      </c>
      <c r="D49" s="1" t="s">
        <v>246</v>
      </c>
      <c r="E49" s="1" t="s">
        <v>11</v>
      </c>
      <c r="F49" s="2" t="s">
        <v>4090</v>
      </c>
      <c r="G49" s="1" t="s">
        <v>13</v>
      </c>
      <c r="H49" s="6" t="e" vm="24">
        <v>#VALUE!</v>
      </c>
    </row>
    <row r="50" spans="1:8" x14ac:dyDescent="0.25">
      <c r="A50" s="1">
        <v>50</v>
      </c>
      <c r="B50" s="1" t="s">
        <v>248</v>
      </c>
      <c r="C50" s="1" t="s">
        <v>249</v>
      </c>
      <c r="D50" s="1" t="s">
        <v>250</v>
      </c>
      <c r="E50" s="1" t="s">
        <v>11</v>
      </c>
      <c r="F50" s="2" t="s">
        <v>4091</v>
      </c>
      <c r="G50" s="1" t="s">
        <v>13</v>
      </c>
      <c r="H50" s="6" t="e" vm="36">
        <v>#VALUE!</v>
      </c>
    </row>
    <row r="51" spans="1:8" x14ac:dyDescent="0.25">
      <c r="A51" s="1">
        <v>51</v>
      </c>
      <c r="B51" s="1" t="s">
        <v>253</v>
      </c>
      <c r="C51" s="1" t="s">
        <v>254</v>
      </c>
      <c r="D51" s="1" t="s">
        <v>255</v>
      </c>
      <c r="E51" s="1" t="s">
        <v>11</v>
      </c>
      <c r="F51" s="2" t="s">
        <v>4092</v>
      </c>
      <c r="G51" s="1" t="s">
        <v>13</v>
      </c>
      <c r="H51" s="6" t="e" vm="8">
        <v>#VALUE!</v>
      </c>
    </row>
    <row r="52" spans="1:8" x14ac:dyDescent="0.25">
      <c r="A52" s="1">
        <v>52</v>
      </c>
      <c r="B52" s="1" t="s">
        <v>257</v>
      </c>
      <c r="C52" s="1" t="s">
        <v>258</v>
      </c>
      <c r="D52" s="1" t="s">
        <v>259</v>
      </c>
      <c r="E52" s="1" t="s">
        <v>18</v>
      </c>
      <c r="F52" s="2" t="s">
        <v>4093</v>
      </c>
      <c r="G52" s="1" t="s">
        <v>13</v>
      </c>
      <c r="H52" s="6" t="e" vm="37">
        <v>#VALUE!</v>
      </c>
    </row>
    <row r="53" spans="1:8" x14ac:dyDescent="0.25">
      <c r="A53" s="1">
        <v>53</v>
      </c>
      <c r="B53" s="1" t="s">
        <v>262</v>
      </c>
      <c r="C53" s="1" t="s">
        <v>263</v>
      </c>
      <c r="D53" s="1" t="s">
        <v>264</v>
      </c>
      <c r="E53" s="1" t="s">
        <v>11</v>
      </c>
      <c r="F53" s="2" t="s">
        <v>4094</v>
      </c>
      <c r="G53" s="1" t="s">
        <v>13</v>
      </c>
      <c r="H53" s="6" t="e" vm="38">
        <v>#VALUE!</v>
      </c>
    </row>
    <row r="54" spans="1:8" x14ac:dyDescent="0.25">
      <c r="A54" s="1">
        <v>54</v>
      </c>
      <c r="B54" s="1" t="s">
        <v>267</v>
      </c>
      <c r="C54" s="1" t="s">
        <v>268</v>
      </c>
      <c r="D54" s="1" t="s">
        <v>269</v>
      </c>
      <c r="E54" s="1" t="s">
        <v>11</v>
      </c>
      <c r="F54" s="2" t="s">
        <v>4095</v>
      </c>
      <c r="G54" s="1" t="s">
        <v>13</v>
      </c>
      <c r="H54" s="6" t="e" vm="30">
        <v>#VALUE!</v>
      </c>
    </row>
    <row r="55" spans="1:8" x14ac:dyDescent="0.25">
      <c r="A55" s="1">
        <v>55</v>
      </c>
      <c r="B55" s="1" t="s">
        <v>271</v>
      </c>
      <c r="C55" s="1" t="s">
        <v>272</v>
      </c>
      <c r="D55" s="1" t="s">
        <v>273</v>
      </c>
      <c r="E55" s="1" t="s">
        <v>4045</v>
      </c>
      <c r="F55" s="2" t="s">
        <v>4096</v>
      </c>
      <c r="G55" s="1" t="s">
        <v>13</v>
      </c>
      <c r="H55" s="6" t="e" vm="39">
        <v>#VALUE!</v>
      </c>
    </row>
    <row r="56" spans="1:8" x14ac:dyDescent="0.25">
      <c r="A56" s="1">
        <v>56</v>
      </c>
      <c r="B56" s="1" t="s">
        <v>277</v>
      </c>
      <c r="C56" s="1" t="s">
        <v>278</v>
      </c>
      <c r="D56" s="1" t="s">
        <v>279</v>
      </c>
      <c r="E56" s="1" t="s">
        <v>4045</v>
      </c>
      <c r="F56" s="2" t="s">
        <v>4097</v>
      </c>
      <c r="G56" s="1" t="s">
        <v>13</v>
      </c>
      <c r="H56" s="6" t="e" vm="40">
        <v>#VALUE!</v>
      </c>
    </row>
    <row r="57" spans="1:8" x14ac:dyDescent="0.25">
      <c r="A57" s="1">
        <v>57</v>
      </c>
      <c r="B57" s="1" t="s">
        <v>283</v>
      </c>
      <c r="C57" s="1" t="s">
        <v>284</v>
      </c>
      <c r="D57" s="1" t="s">
        <v>285</v>
      </c>
      <c r="E57" s="1" t="s">
        <v>18</v>
      </c>
      <c r="F57" s="2" t="s">
        <v>4098</v>
      </c>
      <c r="G57" s="1" t="s">
        <v>13</v>
      </c>
      <c r="H57" s="6" t="e" vm="41">
        <v>#VALUE!</v>
      </c>
    </row>
    <row r="58" spans="1:8" x14ac:dyDescent="0.25">
      <c r="A58" s="1">
        <v>60</v>
      </c>
      <c r="B58" s="1" t="s">
        <v>297</v>
      </c>
      <c r="C58" s="1" t="s">
        <v>298</v>
      </c>
      <c r="D58" s="1" t="s">
        <v>299</v>
      </c>
      <c r="E58" s="1" t="s">
        <v>11</v>
      </c>
      <c r="F58" s="2" t="s">
        <v>4099</v>
      </c>
      <c r="G58" s="1" t="s">
        <v>13</v>
      </c>
      <c r="H58" s="6" t="e" vm="21">
        <v>#VALUE!</v>
      </c>
    </row>
    <row r="59" spans="1:8" x14ac:dyDescent="0.25">
      <c r="A59" s="1">
        <v>61</v>
      </c>
      <c r="B59" s="1" t="s">
        <v>42</v>
      </c>
      <c r="C59" s="1" t="s">
        <v>301</v>
      </c>
      <c r="D59" s="1" t="s">
        <v>302</v>
      </c>
      <c r="E59" s="1" t="s">
        <v>11</v>
      </c>
      <c r="F59" s="2" t="s">
        <v>4100</v>
      </c>
      <c r="G59" s="1" t="s">
        <v>13</v>
      </c>
      <c r="H59" s="6" t="e" vm="15">
        <v>#VALUE!</v>
      </c>
    </row>
    <row r="60" spans="1:8" x14ac:dyDescent="0.25">
      <c r="A60" s="1">
        <v>62</v>
      </c>
      <c r="B60" s="1" t="s">
        <v>304</v>
      </c>
      <c r="C60" s="1" t="s">
        <v>305</v>
      </c>
      <c r="D60" s="1" t="s">
        <v>306</v>
      </c>
      <c r="E60" s="1" t="s">
        <v>18</v>
      </c>
      <c r="F60" s="2" t="s">
        <v>4101</v>
      </c>
      <c r="G60" s="1" t="s">
        <v>13</v>
      </c>
      <c r="H60" s="6" t="e" vm="42">
        <v>#VALUE!</v>
      </c>
    </row>
    <row r="61" spans="1:8" x14ac:dyDescent="0.25">
      <c r="A61" s="1">
        <v>63</v>
      </c>
      <c r="B61" s="1" t="s">
        <v>309</v>
      </c>
      <c r="C61" s="1" t="s">
        <v>310</v>
      </c>
      <c r="D61" s="1" t="s">
        <v>311</v>
      </c>
      <c r="E61" s="1" t="s">
        <v>18</v>
      </c>
      <c r="F61" s="2" t="s">
        <v>4102</v>
      </c>
      <c r="G61" s="1" t="s">
        <v>13</v>
      </c>
      <c r="H61" s="6" t="e" vm="4">
        <v>#VALUE!</v>
      </c>
    </row>
    <row r="62" spans="1:8" x14ac:dyDescent="0.25">
      <c r="A62" s="1">
        <v>64</v>
      </c>
      <c r="B62" s="1" t="s">
        <v>313</v>
      </c>
      <c r="C62" s="1" t="s">
        <v>314</v>
      </c>
      <c r="D62" s="1" t="s">
        <v>315</v>
      </c>
      <c r="E62" s="1" t="s">
        <v>4045</v>
      </c>
      <c r="F62" s="2" t="s">
        <v>4103</v>
      </c>
      <c r="G62" s="1" t="s">
        <v>13</v>
      </c>
      <c r="H62" s="6" t="e" vm="43">
        <v>#VALUE!</v>
      </c>
    </row>
    <row r="63" spans="1:8" x14ac:dyDescent="0.25">
      <c r="A63" s="1">
        <v>65</v>
      </c>
      <c r="B63" s="1" t="s">
        <v>318</v>
      </c>
      <c r="C63" s="1" t="s">
        <v>319</v>
      </c>
      <c r="D63" s="1" t="s">
        <v>320</v>
      </c>
      <c r="E63" s="1" t="s">
        <v>11</v>
      </c>
      <c r="F63" s="2" t="s">
        <v>4104</v>
      </c>
      <c r="G63" s="1" t="s">
        <v>13</v>
      </c>
      <c r="H63" s="6" t="e" vm="44">
        <v>#VALUE!</v>
      </c>
    </row>
    <row r="64" spans="1:8" x14ac:dyDescent="0.25">
      <c r="A64" s="1">
        <v>66</v>
      </c>
      <c r="B64" s="1" t="s">
        <v>323</v>
      </c>
      <c r="C64" s="1" t="s">
        <v>324</v>
      </c>
      <c r="D64" s="1" t="s">
        <v>325</v>
      </c>
      <c r="E64" s="1" t="s">
        <v>11</v>
      </c>
      <c r="F64" s="2" t="s">
        <v>4105</v>
      </c>
      <c r="G64" s="1" t="s">
        <v>13</v>
      </c>
      <c r="H64" s="6" t="e" vm="20">
        <v>#VALUE!</v>
      </c>
    </row>
    <row r="65" spans="1:8" x14ac:dyDescent="0.25">
      <c r="A65" s="1">
        <v>68</v>
      </c>
      <c r="B65" s="1" t="s">
        <v>332</v>
      </c>
      <c r="C65" s="1" t="s">
        <v>333</v>
      </c>
      <c r="D65" s="1" t="s">
        <v>334</v>
      </c>
      <c r="E65" s="1" t="s">
        <v>18</v>
      </c>
      <c r="F65" s="2" t="s">
        <v>4106</v>
      </c>
      <c r="G65" s="1" t="s">
        <v>13</v>
      </c>
      <c r="H65" s="6" t="e" vm="45">
        <v>#VALUE!</v>
      </c>
    </row>
    <row r="66" spans="1:8" x14ac:dyDescent="0.25">
      <c r="A66" s="1">
        <v>69</v>
      </c>
      <c r="B66" s="1" t="s">
        <v>337</v>
      </c>
      <c r="C66" s="1" t="s">
        <v>338</v>
      </c>
      <c r="D66" s="1" t="s">
        <v>339</v>
      </c>
      <c r="E66" s="1" t="s">
        <v>11</v>
      </c>
      <c r="F66" s="2" t="s">
        <v>4107</v>
      </c>
      <c r="G66" s="1" t="s">
        <v>13</v>
      </c>
      <c r="H66" s="6" t="e" vm="27">
        <v>#VALUE!</v>
      </c>
    </row>
    <row r="67" spans="1:8" x14ac:dyDescent="0.25">
      <c r="A67" s="1">
        <v>70</v>
      </c>
      <c r="B67" s="1" t="s">
        <v>341</v>
      </c>
      <c r="C67" s="1" t="s">
        <v>342</v>
      </c>
      <c r="D67" s="1" t="s">
        <v>343</v>
      </c>
      <c r="E67" s="1" t="s">
        <v>11</v>
      </c>
      <c r="F67" s="2" t="s">
        <v>4108</v>
      </c>
      <c r="G67" s="1" t="s">
        <v>13</v>
      </c>
      <c r="H67" s="6" t="e" vm="46">
        <v>#VALUE!</v>
      </c>
    </row>
    <row r="68" spans="1:8" x14ac:dyDescent="0.25">
      <c r="A68" s="1">
        <v>71</v>
      </c>
      <c r="B68" s="1" t="s">
        <v>4109</v>
      </c>
      <c r="C68" s="1" t="s">
        <v>347</v>
      </c>
      <c r="D68" s="1" t="s">
        <v>348</v>
      </c>
      <c r="E68" s="1" t="s">
        <v>11</v>
      </c>
      <c r="F68" s="2" t="s">
        <v>4110</v>
      </c>
      <c r="G68" s="1" t="s">
        <v>13</v>
      </c>
      <c r="H68" s="6" t="s">
        <v>4040</v>
      </c>
    </row>
    <row r="69" spans="1:8" x14ac:dyDescent="0.25">
      <c r="A69" s="1">
        <v>72</v>
      </c>
      <c r="B69" s="1" t="s">
        <v>351</v>
      </c>
      <c r="C69" s="1" t="s">
        <v>352</v>
      </c>
      <c r="D69" s="1" t="s">
        <v>353</v>
      </c>
      <c r="E69" s="1" t="s">
        <v>11</v>
      </c>
      <c r="F69" s="2" t="s">
        <v>4111</v>
      </c>
      <c r="G69" s="1" t="s">
        <v>13</v>
      </c>
      <c r="H69" s="6" t="e" vm="42">
        <v>#VALUE!</v>
      </c>
    </row>
    <row r="70" spans="1:8" x14ac:dyDescent="0.25">
      <c r="A70" s="1">
        <v>74</v>
      </c>
      <c r="B70" s="1" t="s">
        <v>361</v>
      </c>
      <c r="C70" s="1" t="s">
        <v>362</v>
      </c>
      <c r="D70" s="1" t="s">
        <v>363</v>
      </c>
      <c r="E70" s="1" t="s">
        <v>11</v>
      </c>
      <c r="F70" s="2" t="s">
        <v>4112</v>
      </c>
      <c r="G70" s="1" t="s">
        <v>13</v>
      </c>
      <c r="H70" s="6" t="e" vm="47">
        <v>#VALUE!</v>
      </c>
    </row>
    <row r="71" spans="1:8" x14ac:dyDescent="0.25">
      <c r="A71" s="1">
        <v>76</v>
      </c>
      <c r="B71" s="1" t="s">
        <v>370</v>
      </c>
      <c r="C71" s="1" t="s">
        <v>371</v>
      </c>
      <c r="D71" s="1" t="s">
        <v>372</v>
      </c>
      <c r="E71" s="1" t="s">
        <v>18</v>
      </c>
      <c r="F71" s="2" t="s">
        <v>4113</v>
      </c>
      <c r="G71" s="1" t="s">
        <v>13</v>
      </c>
      <c r="H71" s="6" t="e" vm="48">
        <v>#VALUE!</v>
      </c>
    </row>
    <row r="72" spans="1:8" x14ac:dyDescent="0.25">
      <c r="A72" s="1">
        <v>77</v>
      </c>
      <c r="B72" s="1" t="s">
        <v>375</v>
      </c>
      <c r="C72" s="1" t="s">
        <v>376</v>
      </c>
      <c r="D72" s="1" t="s">
        <v>377</v>
      </c>
      <c r="E72" s="1" t="s">
        <v>18</v>
      </c>
      <c r="F72" s="2" t="s">
        <v>4114</v>
      </c>
      <c r="G72" s="1" t="s">
        <v>13</v>
      </c>
      <c r="H72" s="6" t="e" vm="49">
        <v>#VALUE!</v>
      </c>
    </row>
    <row r="73" spans="1:8" x14ac:dyDescent="0.25">
      <c r="A73" s="1">
        <v>78</v>
      </c>
      <c r="B73" s="1" t="s">
        <v>380</v>
      </c>
      <c r="C73" s="1" t="s">
        <v>381</v>
      </c>
      <c r="D73" s="1" t="s">
        <v>382</v>
      </c>
      <c r="E73" s="1" t="s">
        <v>11</v>
      </c>
      <c r="F73" s="2" t="s">
        <v>4115</v>
      </c>
      <c r="G73" s="1" t="s">
        <v>13</v>
      </c>
      <c r="H73" s="6" t="e" vm="13">
        <v>#VALUE!</v>
      </c>
    </row>
    <row r="74" spans="1:8" x14ac:dyDescent="0.25">
      <c r="A74" s="1">
        <v>79</v>
      </c>
      <c r="B74" s="1" t="s">
        <v>384</v>
      </c>
      <c r="C74" s="1" t="s">
        <v>385</v>
      </c>
      <c r="D74" s="1" t="s">
        <v>386</v>
      </c>
      <c r="E74" s="1" t="s">
        <v>4045</v>
      </c>
      <c r="F74" s="2" t="s">
        <v>4116</v>
      </c>
      <c r="G74" s="1" t="s">
        <v>13</v>
      </c>
      <c r="H74" s="6" t="e" vm="6">
        <v>#VALUE!</v>
      </c>
    </row>
    <row r="75" spans="1:8" x14ac:dyDescent="0.25">
      <c r="A75" s="1">
        <v>80</v>
      </c>
      <c r="B75" s="1" t="s">
        <v>388</v>
      </c>
      <c r="C75" s="1" t="s">
        <v>389</v>
      </c>
      <c r="D75" s="1" t="s">
        <v>390</v>
      </c>
      <c r="E75" s="1" t="s">
        <v>11</v>
      </c>
      <c r="F75" s="2" t="s">
        <v>4117</v>
      </c>
      <c r="G75" s="1" t="s">
        <v>13</v>
      </c>
      <c r="H75" s="6" t="e" vm="23">
        <v>#VALUE!</v>
      </c>
    </row>
    <row r="76" spans="1:8" x14ac:dyDescent="0.25">
      <c r="A76" s="1">
        <v>81</v>
      </c>
      <c r="B76" s="1" t="s">
        <v>392</v>
      </c>
      <c r="C76" s="1" t="s">
        <v>393</v>
      </c>
      <c r="D76" s="1" t="s">
        <v>394</v>
      </c>
      <c r="E76" s="1" t="s">
        <v>4045</v>
      </c>
      <c r="F76" s="2" t="s">
        <v>4118</v>
      </c>
      <c r="G76" s="1" t="s">
        <v>13</v>
      </c>
      <c r="H76" s="6" t="e" vm="41">
        <v>#VALUE!</v>
      </c>
    </row>
    <row r="77" spans="1:8" x14ac:dyDescent="0.25">
      <c r="A77" s="1">
        <v>82</v>
      </c>
      <c r="B77" s="1" t="s">
        <v>150</v>
      </c>
      <c r="C77" s="1" t="s">
        <v>396</v>
      </c>
      <c r="D77" s="1" t="s">
        <v>397</v>
      </c>
      <c r="E77" s="1" t="s">
        <v>18</v>
      </c>
      <c r="F77" s="2" t="s">
        <v>4119</v>
      </c>
      <c r="G77" s="1" t="s">
        <v>13</v>
      </c>
      <c r="H77" s="6" t="s">
        <v>4039</v>
      </c>
    </row>
    <row r="78" spans="1:8" x14ac:dyDescent="0.25">
      <c r="A78" s="1">
        <v>83</v>
      </c>
      <c r="B78" s="1" t="s">
        <v>400</v>
      </c>
      <c r="C78" s="1" t="s">
        <v>401</v>
      </c>
      <c r="D78" s="1" t="s">
        <v>402</v>
      </c>
      <c r="E78" s="1" t="s">
        <v>18</v>
      </c>
      <c r="F78" s="2" t="s">
        <v>4120</v>
      </c>
      <c r="G78" s="1" t="s">
        <v>13</v>
      </c>
      <c r="H78" s="6" t="e" vm="50">
        <v>#VALUE!</v>
      </c>
    </row>
    <row r="79" spans="1:8" x14ac:dyDescent="0.25">
      <c r="A79" s="1">
        <v>84</v>
      </c>
      <c r="B79" s="1" t="s">
        <v>405</v>
      </c>
      <c r="C79" s="1" t="s">
        <v>406</v>
      </c>
      <c r="D79" s="1" t="s">
        <v>407</v>
      </c>
      <c r="E79" s="1" t="s">
        <v>11</v>
      </c>
      <c r="F79" s="2" t="s">
        <v>4121</v>
      </c>
      <c r="G79" s="1" t="s">
        <v>13</v>
      </c>
      <c r="H79" s="6" t="e" vm="18">
        <v>#VALUE!</v>
      </c>
    </row>
    <row r="80" spans="1:8" x14ac:dyDescent="0.25">
      <c r="A80" s="1">
        <v>85</v>
      </c>
      <c r="B80" s="1" t="s">
        <v>409</v>
      </c>
      <c r="C80" s="1" t="s">
        <v>410</v>
      </c>
      <c r="D80" s="1" t="s">
        <v>411</v>
      </c>
      <c r="E80" s="1" t="s">
        <v>18</v>
      </c>
      <c r="F80" s="2" t="s">
        <v>4122</v>
      </c>
      <c r="G80" s="1" t="s">
        <v>13</v>
      </c>
      <c r="H80" s="6" t="e" vm="9">
        <v>#VALUE!</v>
      </c>
    </row>
    <row r="81" spans="1:8" x14ac:dyDescent="0.25">
      <c r="A81" s="1">
        <v>86</v>
      </c>
      <c r="B81" s="1" t="s">
        <v>413</v>
      </c>
      <c r="C81" s="1" t="s">
        <v>414</v>
      </c>
      <c r="D81" s="1" t="s">
        <v>415</v>
      </c>
      <c r="E81" s="1" t="s">
        <v>11</v>
      </c>
      <c r="F81" s="2" t="s">
        <v>4123</v>
      </c>
      <c r="G81" s="1" t="s">
        <v>13</v>
      </c>
      <c r="H81" s="6" t="e" vm="23">
        <v>#VALUE!</v>
      </c>
    </row>
    <row r="82" spans="1:8" x14ac:dyDescent="0.25">
      <c r="A82" s="1">
        <v>87</v>
      </c>
      <c r="B82" s="1" t="s">
        <v>417</v>
      </c>
      <c r="C82" s="1" t="s">
        <v>418</v>
      </c>
      <c r="D82" s="1" t="s">
        <v>419</v>
      </c>
      <c r="E82" s="1" t="s">
        <v>18</v>
      </c>
      <c r="F82" s="2" t="s">
        <v>4124</v>
      </c>
      <c r="G82" s="1" t="s">
        <v>13</v>
      </c>
      <c r="H82" s="6" t="e" vm="32">
        <v>#VALUE!</v>
      </c>
    </row>
    <row r="83" spans="1:8" x14ac:dyDescent="0.25">
      <c r="A83" s="1">
        <v>88</v>
      </c>
      <c r="B83" s="1" t="s">
        <v>421</v>
      </c>
      <c r="C83" s="1" t="s">
        <v>422</v>
      </c>
      <c r="D83" s="1" t="s">
        <v>423</v>
      </c>
      <c r="E83" s="1" t="s">
        <v>18</v>
      </c>
      <c r="F83" s="2" t="s">
        <v>4125</v>
      </c>
      <c r="G83" s="1" t="s">
        <v>13</v>
      </c>
      <c r="H83" s="6" t="e" vm="51">
        <v>#VALUE!</v>
      </c>
    </row>
    <row r="84" spans="1:8" x14ac:dyDescent="0.25">
      <c r="A84" s="1">
        <v>89</v>
      </c>
      <c r="B84" s="1" t="s">
        <v>426</v>
      </c>
      <c r="C84" s="1" t="s">
        <v>427</v>
      </c>
      <c r="D84" s="1" t="s">
        <v>428</v>
      </c>
      <c r="E84" s="1" t="s">
        <v>18</v>
      </c>
      <c r="F84" s="2" t="s">
        <v>4126</v>
      </c>
      <c r="G84" s="1" t="s">
        <v>13</v>
      </c>
      <c r="H84" s="6" t="e" vm="11">
        <v>#VALUE!</v>
      </c>
    </row>
    <row r="85" spans="1:8" x14ac:dyDescent="0.25">
      <c r="A85" s="1">
        <v>90</v>
      </c>
      <c r="B85" s="1" t="s">
        <v>430</v>
      </c>
      <c r="C85" s="1" t="s">
        <v>431</v>
      </c>
      <c r="D85" s="1" t="s">
        <v>432</v>
      </c>
      <c r="E85" s="1" t="s">
        <v>18</v>
      </c>
      <c r="F85" s="2" t="s">
        <v>4127</v>
      </c>
      <c r="G85" s="1" t="s">
        <v>13</v>
      </c>
      <c r="H85" s="6" t="e" vm="5">
        <v>#VALUE!</v>
      </c>
    </row>
    <row r="86" spans="1:8" x14ac:dyDescent="0.25">
      <c r="A86" s="1">
        <v>91</v>
      </c>
      <c r="B86" s="1" t="s">
        <v>434</v>
      </c>
      <c r="C86" s="1" t="s">
        <v>435</v>
      </c>
      <c r="D86" s="1" t="s">
        <v>436</v>
      </c>
      <c r="E86" s="1" t="s">
        <v>11</v>
      </c>
      <c r="F86" s="2" t="s">
        <v>4128</v>
      </c>
      <c r="G86" s="1" t="s">
        <v>13</v>
      </c>
      <c r="H86" s="6" t="e" vm="52">
        <v>#VALUE!</v>
      </c>
    </row>
    <row r="87" spans="1:8" x14ac:dyDescent="0.25">
      <c r="A87" s="1">
        <v>92</v>
      </c>
      <c r="B87" s="1" t="s">
        <v>439</v>
      </c>
      <c r="C87" s="1" t="s">
        <v>440</v>
      </c>
      <c r="D87" s="1" t="s">
        <v>441</v>
      </c>
      <c r="E87" s="1" t="s">
        <v>11</v>
      </c>
      <c r="F87" s="2" t="s">
        <v>4129</v>
      </c>
      <c r="G87" s="1" t="s">
        <v>13</v>
      </c>
      <c r="H87" s="6" t="e" vm="36">
        <v>#VALUE!</v>
      </c>
    </row>
    <row r="88" spans="1:8" x14ac:dyDescent="0.25">
      <c r="A88" s="1">
        <v>93</v>
      </c>
      <c r="B88" s="1" t="s">
        <v>443</v>
      </c>
      <c r="C88" s="1" t="s">
        <v>444</v>
      </c>
      <c r="D88" s="1" t="s">
        <v>445</v>
      </c>
      <c r="E88" s="1" t="s">
        <v>18</v>
      </c>
      <c r="F88" s="2" t="s">
        <v>4130</v>
      </c>
      <c r="G88" s="1" t="s">
        <v>13</v>
      </c>
      <c r="H88" s="6" t="e" vm="47">
        <v>#VALUE!</v>
      </c>
    </row>
    <row r="89" spans="1:8" x14ac:dyDescent="0.25">
      <c r="A89" s="1">
        <v>95</v>
      </c>
      <c r="B89" s="1" t="s">
        <v>451</v>
      </c>
      <c r="C89" s="1" t="s">
        <v>452</v>
      </c>
      <c r="D89" s="1" t="s">
        <v>453</v>
      </c>
      <c r="E89" s="1" t="s">
        <v>11</v>
      </c>
      <c r="F89" s="2" t="s">
        <v>4131</v>
      </c>
      <c r="G89" s="1" t="s">
        <v>13</v>
      </c>
      <c r="H89" s="6" t="e" vm="5">
        <v>#VALUE!</v>
      </c>
    </row>
    <row r="90" spans="1:8" x14ac:dyDescent="0.25">
      <c r="A90" s="1">
        <v>96</v>
      </c>
      <c r="B90" s="1" t="s">
        <v>455</v>
      </c>
      <c r="C90" s="1" t="s">
        <v>456</v>
      </c>
      <c r="D90" s="1" t="s">
        <v>457</v>
      </c>
      <c r="E90" s="1" t="s">
        <v>4045</v>
      </c>
      <c r="F90" s="2" t="s">
        <v>4132</v>
      </c>
      <c r="G90" s="1" t="s">
        <v>13</v>
      </c>
      <c r="H90" s="6" t="e" vm="6">
        <v>#VALUE!</v>
      </c>
    </row>
    <row r="91" spans="1:8" x14ac:dyDescent="0.25">
      <c r="A91" s="1">
        <v>97</v>
      </c>
      <c r="B91" s="1" t="s">
        <v>459</v>
      </c>
      <c r="C91" s="1" t="s">
        <v>460</v>
      </c>
      <c r="D91" s="1" t="s">
        <v>461</v>
      </c>
      <c r="E91" s="1" t="s">
        <v>18</v>
      </c>
      <c r="F91" s="2" t="s">
        <v>4133</v>
      </c>
      <c r="G91" s="1" t="s">
        <v>13</v>
      </c>
      <c r="H91" s="6" t="e" vm="33">
        <v>#VALUE!</v>
      </c>
    </row>
    <row r="92" spans="1:8" x14ac:dyDescent="0.25">
      <c r="A92" s="1">
        <v>117</v>
      </c>
      <c r="B92" s="1" t="s">
        <v>541</v>
      </c>
      <c r="C92" s="1" t="s">
        <v>542</v>
      </c>
      <c r="D92" s="1" t="s">
        <v>543</v>
      </c>
      <c r="E92" s="1" t="s">
        <v>11</v>
      </c>
      <c r="F92" s="2" t="s">
        <v>4134</v>
      </c>
      <c r="G92" s="1" t="s">
        <v>13</v>
      </c>
      <c r="H92" s="6" t="e" vm="4">
        <v>#VALUE!</v>
      </c>
    </row>
    <row r="93" spans="1:8" x14ac:dyDescent="0.25">
      <c r="A93" s="1">
        <v>119</v>
      </c>
      <c r="B93" s="1" t="s">
        <v>550</v>
      </c>
      <c r="C93" s="1" t="s">
        <v>551</v>
      </c>
      <c r="D93" s="1" t="s">
        <v>552</v>
      </c>
      <c r="E93" s="1" t="s">
        <v>11</v>
      </c>
      <c r="F93" s="2" t="s">
        <v>4135</v>
      </c>
      <c r="G93" s="1" t="s">
        <v>13</v>
      </c>
      <c r="H93" s="6" t="e" vm="31">
        <v>#VALUE!</v>
      </c>
    </row>
    <row r="94" spans="1:8" x14ac:dyDescent="0.25">
      <c r="A94" s="1">
        <v>120</v>
      </c>
      <c r="B94" s="1" t="s">
        <v>554</v>
      </c>
      <c r="C94" s="1" t="s">
        <v>555</v>
      </c>
      <c r="D94" s="1" t="s">
        <v>556</v>
      </c>
      <c r="E94" s="1" t="s">
        <v>18</v>
      </c>
      <c r="F94" s="2" t="s">
        <v>4136</v>
      </c>
      <c r="G94" s="1" t="s">
        <v>13</v>
      </c>
      <c r="H94" s="6" t="e" vm="53">
        <v>#VALUE!</v>
      </c>
    </row>
    <row r="95" spans="1:8" x14ac:dyDescent="0.25">
      <c r="A95" s="1">
        <v>121</v>
      </c>
      <c r="B95" s="1" t="s">
        <v>559</v>
      </c>
      <c r="C95" s="1" t="s">
        <v>560</v>
      </c>
      <c r="D95" s="1" t="s">
        <v>561</v>
      </c>
      <c r="E95" s="1" t="s">
        <v>18</v>
      </c>
      <c r="F95" s="2" t="s">
        <v>4137</v>
      </c>
      <c r="G95" s="1" t="s">
        <v>13</v>
      </c>
      <c r="H95" s="6" t="e" vm="54">
        <v>#VALUE!</v>
      </c>
    </row>
    <row r="96" spans="1:8" x14ac:dyDescent="0.25">
      <c r="A96" s="1">
        <v>122</v>
      </c>
      <c r="B96" s="1" t="s">
        <v>563</v>
      </c>
      <c r="C96" s="1" t="s">
        <v>564</v>
      </c>
      <c r="D96" s="1" t="s">
        <v>565</v>
      </c>
      <c r="E96" s="1" t="s">
        <v>4045</v>
      </c>
      <c r="F96" s="2" t="s">
        <v>4138</v>
      </c>
      <c r="G96" s="1" t="s">
        <v>13</v>
      </c>
      <c r="H96" s="6" t="e" vm="55">
        <v>#VALUE!</v>
      </c>
    </row>
    <row r="97" spans="1:8" x14ac:dyDescent="0.25">
      <c r="A97" s="1">
        <v>123</v>
      </c>
      <c r="B97" s="1" t="s">
        <v>568</v>
      </c>
      <c r="C97" s="1" t="s">
        <v>569</v>
      </c>
      <c r="D97" s="1" t="s">
        <v>570</v>
      </c>
      <c r="E97" s="1" t="s">
        <v>18</v>
      </c>
      <c r="F97" s="2" t="s">
        <v>4139</v>
      </c>
      <c r="G97" s="1" t="s">
        <v>13</v>
      </c>
      <c r="H97" s="6" t="e" vm="53">
        <v>#VALUE!</v>
      </c>
    </row>
    <row r="98" spans="1:8" x14ac:dyDescent="0.25">
      <c r="A98" s="1">
        <v>125</v>
      </c>
      <c r="B98" s="1" t="s">
        <v>576</v>
      </c>
      <c r="C98" s="1" t="s">
        <v>577</v>
      </c>
      <c r="D98" s="1" t="s">
        <v>578</v>
      </c>
      <c r="E98" s="1" t="s">
        <v>18</v>
      </c>
      <c r="F98" s="2" t="s">
        <v>4140</v>
      </c>
      <c r="G98" s="1" t="s">
        <v>13</v>
      </c>
      <c r="H98" s="6" t="e" vm="4">
        <v>#VALUE!</v>
      </c>
    </row>
    <row r="99" spans="1:8" x14ac:dyDescent="0.25">
      <c r="A99" s="1">
        <v>126</v>
      </c>
      <c r="B99" s="1" t="s">
        <v>580</v>
      </c>
      <c r="C99" s="1" t="s">
        <v>581</v>
      </c>
      <c r="D99" s="1" t="s">
        <v>582</v>
      </c>
      <c r="E99" s="1" t="s">
        <v>11</v>
      </c>
      <c r="F99" s="2" t="s">
        <v>4141</v>
      </c>
      <c r="G99" s="1" t="s">
        <v>13</v>
      </c>
      <c r="H99" s="6" t="e" vm="56">
        <v>#VALUE!</v>
      </c>
    </row>
    <row r="100" spans="1:8" x14ac:dyDescent="0.25">
      <c r="A100" s="1">
        <v>127</v>
      </c>
      <c r="B100" s="1" t="s">
        <v>584</v>
      </c>
      <c r="C100" s="1" t="s">
        <v>585</v>
      </c>
      <c r="D100" s="1" t="s">
        <v>586</v>
      </c>
      <c r="E100" s="1" t="s">
        <v>18</v>
      </c>
      <c r="F100" s="2" t="s">
        <v>4142</v>
      </c>
      <c r="G100" s="1" t="s">
        <v>13</v>
      </c>
      <c r="H100" s="6" t="e" vm="57">
        <v>#VALUE!</v>
      </c>
    </row>
    <row r="101" spans="1:8" x14ac:dyDescent="0.25">
      <c r="A101" s="1">
        <v>128</v>
      </c>
      <c r="B101" s="1" t="s">
        <v>589</v>
      </c>
      <c r="C101" s="1" t="s">
        <v>590</v>
      </c>
      <c r="D101" s="1" t="s">
        <v>591</v>
      </c>
      <c r="E101" s="1" t="s">
        <v>11</v>
      </c>
      <c r="F101" s="2" t="s">
        <v>4143</v>
      </c>
      <c r="G101" s="1" t="s">
        <v>13</v>
      </c>
      <c r="H101" s="6" t="e" vm="58">
        <v>#VALUE!</v>
      </c>
    </row>
    <row r="102" spans="1:8" x14ac:dyDescent="0.25">
      <c r="A102" s="1">
        <v>129</v>
      </c>
      <c r="B102" s="1" t="s">
        <v>593</v>
      </c>
      <c r="C102" s="1" t="s">
        <v>594</v>
      </c>
      <c r="D102" s="1" t="s">
        <v>595</v>
      </c>
      <c r="E102" s="1" t="s">
        <v>11</v>
      </c>
      <c r="F102" s="2" t="s">
        <v>4144</v>
      </c>
      <c r="G102" s="1" t="s">
        <v>13</v>
      </c>
      <c r="H102" s="6" t="e" vm="59">
        <v>#VALUE!</v>
      </c>
    </row>
    <row r="103" spans="1:8" x14ac:dyDescent="0.25">
      <c r="A103" s="1">
        <v>130</v>
      </c>
      <c r="B103" s="1" t="s">
        <v>598</v>
      </c>
      <c r="C103" s="1" t="s">
        <v>599</v>
      </c>
      <c r="D103" s="1" t="s">
        <v>600</v>
      </c>
      <c r="E103" s="1" t="s">
        <v>18</v>
      </c>
      <c r="F103" s="2" t="s">
        <v>4145</v>
      </c>
      <c r="G103" s="1" t="s">
        <v>13</v>
      </c>
      <c r="H103" s="6" t="e" vm="60">
        <v>#VALUE!</v>
      </c>
    </row>
    <row r="104" spans="1:8" x14ac:dyDescent="0.25">
      <c r="A104" s="1">
        <v>131</v>
      </c>
      <c r="B104" s="1" t="s">
        <v>603</v>
      </c>
      <c r="C104" s="1" t="s">
        <v>604</v>
      </c>
      <c r="D104" s="1" t="s">
        <v>605</v>
      </c>
      <c r="E104" s="1" t="s">
        <v>18</v>
      </c>
      <c r="F104" s="2" t="s">
        <v>4146</v>
      </c>
      <c r="G104" s="1" t="s">
        <v>13</v>
      </c>
      <c r="H104" s="6" t="e" vm="34">
        <v>#VALUE!</v>
      </c>
    </row>
    <row r="105" spans="1:8" x14ac:dyDescent="0.25">
      <c r="A105" s="1">
        <v>132</v>
      </c>
      <c r="B105" s="1" t="s">
        <v>607</v>
      </c>
      <c r="C105" s="1" t="s">
        <v>608</v>
      </c>
      <c r="D105" s="1" t="s">
        <v>609</v>
      </c>
      <c r="E105" s="1" t="s">
        <v>11</v>
      </c>
      <c r="F105" s="2" t="s">
        <v>4147</v>
      </c>
      <c r="G105" s="1" t="s">
        <v>13</v>
      </c>
      <c r="H105" s="6" t="e" vm="23">
        <v>#VALUE!</v>
      </c>
    </row>
    <row r="106" spans="1:8" x14ac:dyDescent="0.25">
      <c r="A106" s="1">
        <v>133</v>
      </c>
      <c r="B106" s="1" t="s">
        <v>611</v>
      </c>
      <c r="C106" s="1" t="s">
        <v>612</v>
      </c>
      <c r="D106" s="1" t="s">
        <v>613</v>
      </c>
      <c r="E106" s="1" t="s">
        <v>11</v>
      </c>
      <c r="F106" s="2" t="s">
        <v>4148</v>
      </c>
      <c r="G106" s="1" t="s">
        <v>13</v>
      </c>
      <c r="H106" s="6" t="e" vm="43">
        <v>#VALUE!</v>
      </c>
    </row>
    <row r="107" spans="1:8" x14ac:dyDescent="0.25">
      <c r="A107" s="1">
        <v>134</v>
      </c>
      <c r="B107" s="1" t="s">
        <v>615</v>
      </c>
      <c r="C107" s="1" t="s">
        <v>616</v>
      </c>
      <c r="D107" s="1" t="s">
        <v>617</v>
      </c>
      <c r="E107" s="1" t="s">
        <v>11</v>
      </c>
      <c r="F107" s="2" t="s">
        <v>4149</v>
      </c>
      <c r="G107" s="1" t="s">
        <v>13</v>
      </c>
      <c r="H107" s="6" t="e" vm="61">
        <v>#VALUE!</v>
      </c>
    </row>
    <row r="108" spans="1:8" x14ac:dyDescent="0.25">
      <c r="A108" s="1">
        <v>135</v>
      </c>
      <c r="B108" s="1" t="s">
        <v>620</v>
      </c>
      <c r="C108" s="1" t="s">
        <v>621</v>
      </c>
      <c r="D108" s="1" t="s">
        <v>622</v>
      </c>
      <c r="E108" s="1" t="s">
        <v>4045</v>
      </c>
      <c r="F108" s="2" t="s">
        <v>4150</v>
      </c>
      <c r="G108" s="1" t="s">
        <v>13</v>
      </c>
      <c r="H108" s="6" t="e" vm="4">
        <v>#VALUE!</v>
      </c>
    </row>
    <row r="109" spans="1:8" x14ac:dyDescent="0.25">
      <c r="A109" s="1">
        <v>136</v>
      </c>
      <c r="B109" s="1" t="s">
        <v>624</v>
      </c>
      <c r="C109" s="1" t="s">
        <v>625</v>
      </c>
      <c r="D109" s="1" t="s">
        <v>626</v>
      </c>
      <c r="E109" s="1" t="s">
        <v>11</v>
      </c>
      <c r="F109" s="2" t="s">
        <v>4151</v>
      </c>
      <c r="G109" s="1" t="s">
        <v>13</v>
      </c>
      <c r="H109" s="6" t="e" vm="62">
        <v>#VALUE!</v>
      </c>
    </row>
    <row r="110" spans="1:8" x14ac:dyDescent="0.25">
      <c r="A110" s="1">
        <v>137</v>
      </c>
      <c r="B110" s="1" t="s">
        <v>629</v>
      </c>
      <c r="C110" s="1" t="s">
        <v>630</v>
      </c>
      <c r="D110" s="1" t="s">
        <v>631</v>
      </c>
      <c r="E110" s="1" t="s">
        <v>11</v>
      </c>
      <c r="F110" s="2" t="s">
        <v>4152</v>
      </c>
      <c r="G110" s="1" t="s">
        <v>13</v>
      </c>
      <c r="H110" s="6" t="e" vm="28">
        <v>#VALUE!</v>
      </c>
    </row>
    <row r="111" spans="1:8" x14ac:dyDescent="0.25">
      <c r="A111" s="1">
        <v>138</v>
      </c>
      <c r="B111" s="1" t="s">
        <v>633</v>
      </c>
      <c r="C111" s="1" t="s">
        <v>634</v>
      </c>
      <c r="D111" s="1" t="s">
        <v>635</v>
      </c>
      <c r="E111" s="1" t="s">
        <v>18</v>
      </c>
      <c r="F111" s="2" t="s">
        <v>4153</v>
      </c>
      <c r="G111" s="1" t="s">
        <v>13</v>
      </c>
      <c r="H111" s="6" t="e" vm="56">
        <v>#VALUE!</v>
      </c>
    </row>
    <row r="112" spans="1:8" x14ac:dyDescent="0.25">
      <c r="A112" s="1">
        <v>139</v>
      </c>
      <c r="B112" s="1" t="s">
        <v>637</v>
      </c>
      <c r="C112" s="1" t="s">
        <v>638</v>
      </c>
      <c r="D112" s="1" t="s">
        <v>639</v>
      </c>
      <c r="E112" s="1" t="s">
        <v>18</v>
      </c>
      <c r="F112" s="2" t="s">
        <v>4154</v>
      </c>
      <c r="G112" s="1" t="s">
        <v>13</v>
      </c>
      <c r="H112" s="6" t="e" vm="63">
        <v>#VALUE!</v>
      </c>
    </row>
    <row r="113" spans="1:8" x14ac:dyDescent="0.25">
      <c r="A113" s="1">
        <v>140</v>
      </c>
      <c r="B113" s="1" t="s">
        <v>642</v>
      </c>
      <c r="C113" s="1" t="s">
        <v>643</v>
      </c>
      <c r="D113" s="1" t="s">
        <v>644</v>
      </c>
      <c r="E113" s="1" t="s">
        <v>18</v>
      </c>
      <c r="F113" s="2" t="s">
        <v>4155</v>
      </c>
      <c r="G113" s="1" t="s">
        <v>13</v>
      </c>
      <c r="H113" s="6" t="e" vm="64">
        <v>#VALUE!</v>
      </c>
    </row>
    <row r="114" spans="1:8" x14ac:dyDescent="0.25">
      <c r="A114" s="1">
        <v>141</v>
      </c>
      <c r="B114" s="1" t="s">
        <v>646</v>
      </c>
      <c r="C114" s="1" t="s">
        <v>647</v>
      </c>
      <c r="D114" s="1" t="s">
        <v>648</v>
      </c>
      <c r="E114" s="1" t="s">
        <v>4045</v>
      </c>
      <c r="F114" s="2" t="s">
        <v>4156</v>
      </c>
      <c r="G114" s="1" t="s">
        <v>13</v>
      </c>
      <c r="H114" s="6" t="e" vm="65">
        <v>#VALUE!</v>
      </c>
    </row>
    <row r="115" spans="1:8" x14ac:dyDescent="0.25">
      <c r="A115" s="1">
        <v>142</v>
      </c>
      <c r="B115" s="1" t="s">
        <v>651</v>
      </c>
      <c r="C115" s="1" t="s">
        <v>652</v>
      </c>
      <c r="D115" s="1" t="s">
        <v>653</v>
      </c>
      <c r="E115" s="1" t="s">
        <v>11</v>
      </c>
      <c r="F115" s="2" t="s">
        <v>4157</v>
      </c>
      <c r="G115" s="1" t="s">
        <v>13</v>
      </c>
      <c r="H115" s="6" t="e" vm="66">
        <v>#VALUE!</v>
      </c>
    </row>
    <row r="116" spans="1:8" x14ac:dyDescent="0.25">
      <c r="A116" s="1">
        <v>143</v>
      </c>
      <c r="B116" s="1" t="s">
        <v>656</v>
      </c>
      <c r="C116" s="1" t="s">
        <v>657</v>
      </c>
      <c r="D116" s="1" t="s">
        <v>658</v>
      </c>
      <c r="E116" s="1" t="s">
        <v>18</v>
      </c>
      <c r="F116" s="2" t="s">
        <v>4158</v>
      </c>
      <c r="G116" s="1" t="s">
        <v>13</v>
      </c>
      <c r="H116" s="6" t="e" vm="67">
        <v>#VALUE!</v>
      </c>
    </row>
    <row r="117" spans="1:8" x14ac:dyDescent="0.25">
      <c r="A117" s="1">
        <v>144</v>
      </c>
      <c r="B117" s="1" t="s">
        <v>661</v>
      </c>
      <c r="C117" s="1" t="s">
        <v>662</v>
      </c>
      <c r="D117" s="1" t="s">
        <v>663</v>
      </c>
      <c r="E117" s="1" t="s">
        <v>18</v>
      </c>
      <c r="F117" s="2" t="s">
        <v>4159</v>
      </c>
      <c r="G117" s="1" t="s">
        <v>13</v>
      </c>
      <c r="H117" s="6" t="e" vm="56">
        <v>#VALUE!</v>
      </c>
    </row>
    <row r="118" spans="1:8" x14ac:dyDescent="0.25">
      <c r="A118" s="1">
        <v>145</v>
      </c>
      <c r="B118" s="1" t="s">
        <v>665</v>
      </c>
      <c r="C118" s="1" t="s">
        <v>666</v>
      </c>
      <c r="D118" s="1" t="s">
        <v>667</v>
      </c>
      <c r="E118" s="1" t="s">
        <v>4045</v>
      </c>
      <c r="F118" s="2" t="s">
        <v>4160</v>
      </c>
      <c r="G118" s="1" t="s">
        <v>13</v>
      </c>
      <c r="H118" s="6" t="e" vm="1">
        <v>#VALUE!</v>
      </c>
    </row>
    <row r="119" spans="1:8" x14ac:dyDescent="0.25">
      <c r="A119" s="1">
        <v>146</v>
      </c>
      <c r="B119" s="1" t="s">
        <v>669</v>
      </c>
      <c r="C119" s="1" t="s">
        <v>670</v>
      </c>
      <c r="D119" s="1" t="s">
        <v>671</v>
      </c>
      <c r="E119" s="1" t="s">
        <v>4045</v>
      </c>
      <c r="F119" s="2" t="s">
        <v>4161</v>
      </c>
      <c r="G119" s="1" t="s">
        <v>13</v>
      </c>
      <c r="H119" s="6" t="e" vm="68">
        <v>#VALUE!</v>
      </c>
    </row>
    <row r="120" spans="1:8" x14ac:dyDescent="0.25">
      <c r="A120" s="1">
        <v>147</v>
      </c>
      <c r="B120" s="1" t="s">
        <v>674</v>
      </c>
      <c r="C120" s="1" t="s">
        <v>675</v>
      </c>
      <c r="D120" s="1" t="s">
        <v>676</v>
      </c>
      <c r="E120" s="1" t="s">
        <v>18</v>
      </c>
      <c r="F120" s="2" t="s">
        <v>4162</v>
      </c>
      <c r="G120" s="1" t="s">
        <v>13</v>
      </c>
      <c r="H120" s="6" t="s">
        <v>4041</v>
      </c>
    </row>
    <row r="121" spans="1:8" x14ac:dyDescent="0.25">
      <c r="A121" s="1">
        <v>148</v>
      </c>
      <c r="B121" s="1" t="s">
        <v>679</v>
      </c>
      <c r="C121" s="1" t="s">
        <v>680</v>
      </c>
      <c r="D121" s="1" t="s">
        <v>681</v>
      </c>
      <c r="E121" s="1" t="s">
        <v>18</v>
      </c>
      <c r="F121" s="2" t="s">
        <v>4163</v>
      </c>
      <c r="G121" s="1" t="s">
        <v>13</v>
      </c>
      <c r="H121" s="6" t="e" vm="1">
        <v>#VALUE!</v>
      </c>
    </row>
    <row r="122" spans="1:8" x14ac:dyDescent="0.25">
      <c r="A122" s="1">
        <v>149</v>
      </c>
      <c r="B122" s="1" t="s">
        <v>683</v>
      </c>
      <c r="C122" s="1" t="s">
        <v>684</v>
      </c>
      <c r="D122" s="1" t="s">
        <v>685</v>
      </c>
      <c r="E122" s="1" t="s">
        <v>18</v>
      </c>
      <c r="F122" s="2" t="s">
        <v>4164</v>
      </c>
      <c r="G122" s="1" t="s">
        <v>13</v>
      </c>
      <c r="H122" s="6" t="e" vm="69">
        <v>#VALUE!</v>
      </c>
    </row>
    <row r="123" spans="1:8" x14ac:dyDescent="0.25">
      <c r="A123" s="1">
        <v>150</v>
      </c>
      <c r="B123" s="1" t="s">
        <v>688</v>
      </c>
      <c r="C123" s="1" t="s">
        <v>689</v>
      </c>
      <c r="D123" s="1" t="s">
        <v>690</v>
      </c>
      <c r="E123" s="1" t="s">
        <v>11</v>
      </c>
      <c r="F123" s="2" t="s">
        <v>4165</v>
      </c>
      <c r="G123" s="1" t="s">
        <v>13</v>
      </c>
      <c r="H123" s="6" t="e" vm="8">
        <v>#VALUE!</v>
      </c>
    </row>
    <row r="124" spans="1:8" x14ac:dyDescent="0.25">
      <c r="A124" s="1">
        <v>151</v>
      </c>
      <c r="B124" s="1" t="s">
        <v>692</v>
      </c>
      <c r="C124" s="1" t="s">
        <v>693</v>
      </c>
      <c r="D124" s="1" t="s">
        <v>694</v>
      </c>
      <c r="E124" s="1" t="s">
        <v>11</v>
      </c>
      <c r="F124" s="2" t="s">
        <v>4166</v>
      </c>
      <c r="G124" s="1" t="s">
        <v>13</v>
      </c>
      <c r="H124" s="6" t="e" vm="23">
        <v>#VALUE!</v>
      </c>
    </row>
    <row r="125" spans="1:8" x14ac:dyDescent="0.25">
      <c r="A125" s="1">
        <v>152</v>
      </c>
      <c r="B125" s="1" t="s">
        <v>696</v>
      </c>
      <c r="C125" s="1" t="s">
        <v>697</v>
      </c>
      <c r="D125" s="1" t="s">
        <v>698</v>
      </c>
      <c r="E125" s="1" t="s">
        <v>11</v>
      </c>
      <c r="F125" s="2" t="s">
        <v>4167</v>
      </c>
      <c r="G125" s="1" t="s">
        <v>13</v>
      </c>
      <c r="H125" s="6" t="e" vm="70">
        <v>#VALUE!</v>
      </c>
    </row>
    <row r="126" spans="1:8" x14ac:dyDescent="0.25">
      <c r="A126" s="1">
        <v>153</v>
      </c>
      <c r="B126" s="1" t="s">
        <v>701</v>
      </c>
      <c r="C126" s="1" t="s">
        <v>702</v>
      </c>
      <c r="D126" s="1" t="s">
        <v>703</v>
      </c>
      <c r="E126" s="1" t="s">
        <v>18</v>
      </c>
      <c r="F126" s="2" t="s">
        <v>4168</v>
      </c>
      <c r="G126" s="1" t="s">
        <v>13</v>
      </c>
      <c r="H126" s="6" t="e" vm="71">
        <v>#VALUE!</v>
      </c>
    </row>
    <row r="127" spans="1:8" x14ac:dyDescent="0.25">
      <c r="A127" s="1">
        <v>154</v>
      </c>
      <c r="B127" s="1" t="s">
        <v>706</v>
      </c>
      <c r="C127" s="1" t="s">
        <v>707</v>
      </c>
      <c r="D127" s="1" t="s">
        <v>708</v>
      </c>
      <c r="E127" s="1" t="s">
        <v>11</v>
      </c>
      <c r="F127" s="2" t="s">
        <v>4169</v>
      </c>
      <c r="G127" s="1" t="s">
        <v>13</v>
      </c>
      <c r="H127" s="6" t="e" vm="25">
        <v>#VALUE!</v>
      </c>
    </row>
    <row r="128" spans="1:8" x14ac:dyDescent="0.25">
      <c r="A128" s="1">
        <v>155</v>
      </c>
      <c r="B128" s="1" t="s">
        <v>710</v>
      </c>
      <c r="C128" s="1" t="s">
        <v>711</v>
      </c>
      <c r="D128" s="1" t="s">
        <v>712</v>
      </c>
      <c r="E128" s="1" t="s">
        <v>18</v>
      </c>
      <c r="F128" s="2" t="s">
        <v>4170</v>
      </c>
      <c r="G128" s="1" t="s">
        <v>13</v>
      </c>
      <c r="H128" s="6" t="e" vm="1">
        <v>#VALUE!</v>
      </c>
    </row>
    <row r="129" spans="1:8" x14ac:dyDescent="0.25">
      <c r="A129" s="1">
        <v>156</v>
      </c>
      <c r="B129" s="1" t="s">
        <v>714</v>
      </c>
      <c r="C129" s="1" t="s">
        <v>715</v>
      </c>
      <c r="D129" s="1" t="s">
        <v>716</v>
      </c>
      <c r="E129" s="1" t="s">
        <v>11</v>
      </c>
      <c r="F129" s="2" t="s">
        <v>4171</v>
      </c>
      <c r="G129" s="1" t="s">
        <v>13</v>
      </c>
      <c r="H129" s="6" t="e" vm="53">
        <v>#VALUE!</v>
      </c>
    </row>
    <row r="130" spans="1:8" x14ac:dyDescent="0.25">
      <c r="A130" s="1">
        <v>157</v>
      </c>
      <c r="B130" s="1" t="s">
        <v>718</v>
      </c>
      <c r="C130" s="1" t="s">
        <v>719</v>
      </c>
      <c r="D130" s="1" t="s">
        <v>720</v>
      </c>
      <c r="E130" s="1" t="s">
        <v>11</v>
      </c>
      <c r="F130" s="2" t="s">
        <v>4172</v>
      </c>
      <c r="G130" s="1" t="s">
        <v>13</v>
      </c>
      <c r="H130" s="6" t="e" vm="1">
        <v>#VALUE!</v>
      </c>
    </row>
    <row r="131" spans="1:8" x14ac:dyDescent="0.25">
      <c r="A131" s="1">
        <v>158</v>
      </c>
      <c r="B131" s="1" t="s">
        <v>722</v>
      </c>
      <c r="C131" s="1" t="s">
        <v>723</v>
      </c>
      <c r="D131" s="1" t="s">
        <v>724</v>
      </c>
      <c r="E131" s="1" t="s">
        <v>11</v>
      </c>
      <c r="F131" s="2" t="s">
        <v>4173</v>
      </c>
      <c r="G131" s="1" t="s">
        <v>13</v>
      </c>
      <c r="H131" s="6" t="e" vm="34">
        <v>#VALUE!</v>
      </c>
    </row>
    <row r="132" spans="1:8" x14ac:dyDescent="0.25">
      <c r="A132" s="1">
        <v>159</v>
      </c>
      <c r="B132" s="1" t="s">
        <v>726</v>
      </c>
      <c r="C132" s="1" t="s">
        <v>727</v>
      </c>
      <c r="D132" s="1" t="s">
        <v>728</v>
      </c>
      <c r="E132" s="1" t="s">
        <v>18</v>
      </c>
      <c r="F132" s="2" t="s">
        <v>4174</v>
      </c>
      <c r="G132" s="1" t="s">
        <v>13</v>
      </c>
      <c r="H132" s="6" t="e" vm="9">
        <v>#VALUE!</v>
      </c>
    </row>
    <row r="133" spans="1:8" x14ac:dyDescent="0.25">
      <c r="A133" s="1">
        <v>160</v>
      </c>
      <c r="B133" s="1" t="s">
        <v>730</v>
      </c>
      <c r="C133" s="1" t="s">
        <v>731</v>
      </c>
      <c r="D133" s="1" t="s">
        <v>732</v>
      </c>
      <c r="E133" s="1" t="s">
        <v>11</v>
      </c>
      <c r="F133" s="2" t="s">
        <v>4175</v>
      </c>
      <c r="G133" s="1" t="s">
        <v>13</v>
      </c>
      <c r="H133" s="6" t="e" vm="33">
        <v>#VALUE!</v>
      </c>
    </row>
    <row r="134" spans="1:8" x14ac:dyDescent="0.25">
      <c r="A134" s="1">
        <v>161</v>
      </c>
      <c r="B134" s="1" t="s">
        <v>734</v>
      </c>
      <c r="C134" s="1" t="s">
        <v>735</v>
      </c>
      <c r="D134" s="1" t="s">
        <v>736</v>
      </c>
      <c r="E134" s="1" t="s">
        <v>18</v>
      </c>
      <c r="F134" s="2" t="s">
        <v>4176</v>
      </c>
      <c r="G134" s="1" t="s">
        <v>13</v>
      </c>
      <c r="H134" s="6" t="e" vm="37">
        <v>#VALUE!</v>
      </c>
    </row>
    <row r="135" spans="1:8" x14ac:dyDescent="0.25">
      <c r="A135" s="1">
        <v>162</v>
      </c>
      <c r="B135" s="1" t="s">
        <v>738</v>
      </c>
      <c r="C135" s="1" t="s">
        <v>739</v>
      </c>
      <c r="D135" s="1" t="s">
        <v>740</v>
      </c>
      <c r="E135" s="1" t="s">
        <v>11</v>
      </c>
      <c r="F135" s="2" t="s">
        <v>4177</v>
      </c>
      <c r="G135" s="1" t="s">
        <v>13</v>
      </c>
      <c r="H135" s="6" t="e" vm="38">
        <v>#VALUE!</v>
      </c>
    </row>
    <row r="136" spans="1:8" x14ac:dyDescent="0.25">
      <c r="A136" s="1">
        <v>163</v>
      </c>
      <c r="B136" s="1" t="s">
        <v>742</v>
      </c>
      <c r="C136" s="1" t="s">
        <v>743</v>
      </c>
      <c r="D136" s="1" t="s">
        <v>744</v>
      </c>
      <c r="E136" s="1" t="s">
        <v>11</v>
      </c>
      <c r="F136" s="2" t="s">
        <v>4178</v>
      </c>
      <c r="G136" s="1" t="s">
        <v>13</v>
      </c>
      <c r="H136" s="6" t="e" vm="26">
        <v>#VALUE!</v>
      </c>
    </row>
    <row r="137" spans="1:8" x14ac:dyDescent="0.25">
      <c r="A137" s="1">
        <v>164</v>
      </c>
      <c r="B137" s="1" t="s">
        <v>746</v>
      </c>
      <c r="C137" s="1" t="s">
        <v>747</v>
      </c>
      <c r="D137" s="1" t="s">
        <v>748</v>
      </c>
      <c r="E137" s="1" t="s">
        <v>18</v>
      </c>
      <c r="F137" s="2" t="s">
        <v>4179</v>
      </c>
      <c r="G137" s="1" t="s">
        <v>13</v>
      </c>
      <c r="H137" s="6" t="e" vm="18">
        <v>#VALUE!</v>
      </c>
    </row>
    <row r="138" spans="1:8" x14ac:dyDescent="0.25">
      <c r="A138" s="1">
        <v>165</v>
      </c>
      <c r="B138" s="1" t="s">
        <v>750</v>
      </c>
      <c r="C138" s="1" t="s">
        <v>751</v>
      </c>
      <c r="D138" s="1" t="s">
        <v>752</v>
      </c>
      <c r="E138" s="1" t="s">
        <v>11</v>
      </c>
      <c r="F138" s="2" t="s">
        <v>4180</v>
      </c>
      <c r="G138" s="1" t="s">
        <v>13</v>
      </c>
      <c r="H138" s="6" t="s">
        <v>4040</v>
      </c>
    </row>
    <row r="139" spans="1:8" x14ac:dyDescent="0.25">
      <c r="A139" s="1">
        <v>166</v>
      </c>
      <c r="B139" s="1" t="s">
        <v>754</v>
      </c>
      <c r="C139" s="1" t="s">
        <v>755</v>
      </c>
      <c r="D139" s="1" t="s">
        <v>756</v>
      </c>
      <c r="E139" s="1" t="s">
        <v>11</v>
      </c>
      <c r="F139" s="2" t="s">
        <v>4181</v>
      </c>
      <c r="G139" s="1" t="s">
        <v>13</v>
      </c>
      <c r="H139" s="6" t="e" vm="49">
        <v>#VALUE!</v>
      </c>
    </row>
    <row r="140" spans="1:8" x14ac:dyDescent="0.25">
      <c r="A140" s="1">
        <v>167</v>
      </c>
      <c r="B140" s="1" t="s">
        <v>758</v>
      </c>
      <c r="C140" s="1" t="s">
        <v>759</v>
      </c>
      <c r="D140" s="1" t="s">
        <v>760</v>
      </c>
      <c r="E140" s="1" t="s">
        <v>11</v>
      </c>
      <c r="F140" s="2" t="s">
        <v>4182</v>
      </c>
      <c r="G140" s="1" t="s">
        <v>13</v>
      </c>
      <c r="H140" s="6" t="e" vm="58">
        <v>#VALUE!</v>
      </c>
    </row>
    <row r="141" spans="1:8" x14ac:dyDescent="0.25">
      <c r="A141" s="1">
        <v>168</v>
      </c>
      <c r="B141" s="1" t="s">
        <v>762</v>
      </c>
      <c r="C141" s="1" t="s">
        <v>763</v>
      </c>
      <c r="D141" s="1" t="s">
        <v>764</v>
      </c>
      <c r="E141" s="1" t="s">
        <v>11</v>
      </c>
      <c r="F141" s="2" t="s">
        <v>4183</v>
      </c>
      <c r="G141" s="1" t="s">
        <v>13</v>
      </c>
      <c r="H141" s="6" t="e" vm="30">
        <v>#VALUE!</v>
      </c>
    </row>
    <row r="142" spans="1:8" x14ac:dyDescent="0.25">
      <c r="A142" s="1">
        <v>169</v>
      </c>
      <c r="B142" s="1" t="s">
        <v>766</v>
      </c>
      <c r="C142" s="1" t="s">
        <v>767</v>
      </c>
      <c r="D142" s="1" t="s">
        <v>768</v>
      </c>
      <c r="E142" s="1" t="s">
        <v>4045</v>
      </c>
      <c r="F142" s="2" t="s">
        <v>4184</v>
      </c>
      <c r="G142" s="1" t="s">
        <v>13</v>
      </c>
      <c r="H142" s="6" t="e" vm="10">
        <v>#VALUE!</v>
      </c>
    </row>
    <row r="143" spans="1:8" x14ac:dyDescent="0.25">
      <c r="A143" s="1">
        <v>170</v>
      </c>
      <c r="B143" s="1" t="s">
        <v>771</v>
      </c>
      <c r="C143" s="1" t="s">
        <v>772</v>
      </c>
      <c r="D143" s="1" t="s">
        <v>773</v>
      </c>
      <c r="E143" s="1" t="s">
        <v>11</v>
      </c>
      <c r="F143" s="2" t="s">
        <v>4185</v>
      </c>
      <c r="G143" s="1" t="s">
        <v>13</v>
      </c>
      <c r="H143" s="6" t="e" vm="5">
        <v>#VALUE!</v>
      </c>
    </row>
    <row r="144" spans="1:8" x14ac:dyDescent="0.25">
      <c r="A144" s="1">
        <v>171</v>
      </c>
      <c r="B144" s="1" t="s">
        <v>775</v>
      </c>
      <c r="C144" s="1" t="s">
        <v>776</v>
      </c>
      <c r="D144" s="1" t="s">
        <v>777</v>
      </c>
      <c r="E144" s="1" t="s">
        <v>18</v>
      </c>
      <c r="F144" s="2" t="s">
        <v>4186</v>
      </c>
      <c r="G144" s="1" t="s">
        <v>13</v>
      </c>
      <c r="H144" s="6" t="e" vm="72">
        <v>#VALUE!</v>
      </c>
    </row>
    <row r="145" spans="1:8" x14ac:dyDescent="0.25">
      <c r="A145" s="1">
        <v>172</v>
      </c>
      <c r="B145" s="1" t="s">
        <v>780</v>
      </c>
      <c r="C145" s="1" t="s">
        <v>781</v>
      </c>
      <c r="D145" s="1" t="s">
        <v>782</v>
      </c>
      <c r="E145" s="1" t="s">
        <v>18</v>
      </c>
      <c r="F145" s="2" t="s">
        <v>4187</v>
      </c>
      <c r="G145" s="1" t="s">
        <v>13</v>
      </c>
      <c r="H145" s="6" t="e" vm="64">
        <v>#VALUE!</v>
      </c>
    </row>
    <row r="146" spans="1:8" x14ac:dyDescent="0.25">
      <c r="A146" s="1">
        <v>173</v>
      </c>
      <c r="B146" s="1" t="s">
        <v>784</v>
      </c>
      <c r="C146" s="1" t="s">
        <v>785</v>
      </c>
      <c r="D146" s="1" t="s">
        <v>786</v>
      </c>
      <c r="E146" s="1" t="s">
        <v>11</v>
      </c>
      <c r="F146" s="2" t="s">
        <v>4188</v>
      </c>
      <c r="G146" s="1" t="s">
        <v>13</v>
      </c>
      <c r="H146" s="6" t="e" vm="3">
        <v>#VALUE!</v>
      </c>
    </row>
    <row r="147" spans="1:8" x14ac:dyDescent="0.25">
      <c r="A147" s="1">
        <v>174</v>
      </c>
      <c r="B147" s="1" t="s">
        <v>788</v>
      </c>
      <c r="C147" s="1" t="s">
        <v>789</v>
      </c>
      <c r="D147" s="1" t="s">
        <v>790</v>
      </c>
      <c r="E147" s="1" t="s">
        <v>11</v>
      </c>
      <c r="F147" s="2" t="s">
        <v>4189</v>
      </c>
      <c r="G147" s="1" t="s">
        <v>13</v>
      </c>
      <c r="H147" s="6" t="e" vm="1">
        <v>#VALUE!</v>
      </c>
    </row>
    <row r="148" spans="1:8" x14ac:dyDescent="0.25">
      <c r="A148" s="1">
        <v>175</v>
      </c>
      <c r="B148" s="1" t="s">
        <v>792</v>
      </c>
      <c r="C148" s="1" t="s">
        <v>793</v>
      </c>
      <c r="D148" s="1" t="s">
        <v>794</v>
      </c>
      <c r="E148" s="1" t="s">
        <v>11</v>
      </c>
      <c r="F148" s="2" t="s">
        <v>4190</v>
      </c>
      <c r="G148" s="1" t="s">
        <v>13</v>
      </c>
      <c r="H148" s="6" t="s">
        <v>4040</v>
      </c>
    </row>
    <row r="149" spans="1:8" x14ac:dyDescent="0.25">
      <c r="A149" s="1">
        <v>176</v>
      </c>
      <c r="B149" s="1" t="s">
        <v>796</v>
      </c>
      <c r="C149" s="1" t="s">
        <v>797</v>
      </c>
      <c r="D149" s="1" t="s">
        <v>798</v>
      </c>
      <c r="E149" s="1" t="s">
        <v>11</v>
      </c>
      <c r="F149" s="2" t="s">
        <v>4191</v>
      </c>
      <c r="G149" s="1" t="s">
        <v>13</v>
      </c>
      <c r="H149" s="6" t="e" vm="12">
        <v>#VALUE!</v>
      </c>
    </row>
    <row r="150" spans="1:8" x14ac:dyDescent="0.25">
      <c r="A150" s="1">
        <v>177</v>
      </c>
      <c r="B150" s="1" t="s">
        <v>800</v>
      </c>
      <c r="C150" s="1" t="s">
        <v>801</v>
      </c>
      <c r="D150" s="1" t="s">
        <v>802</v>
      </c>
      <c r="E150" s="1" t="s">
        <v>18</v>
      </c>
      <c r="F150" s="2" t="s">
        <v>4192</v>
      </c>
      <c r="G150" s="1" t="s">
        <v>13</v>
      </c>
      <c r="H150" s="6" t="e" vm="73">
        <v>#VALUE!</v>
      </c>
    </row>
    <row r="151" spans="1:8" x14ac:dyDescent="0.25">
      <c r="A151" s="1">
        <v>178</v>
      </c>
      <c r="B151" s="1" t="s">
        <v>805</v>
      </c>
      <c r="C151" s="1" t="s">
        <v>806</v>
      </c>
      <c r="D151" s="1" t="s">
        <v>807</v>
      </c>
      <c r="E151" s="1" t="s">
        <v>18</v>
      </c>
      <c r="F151" s="2" t="s">
        <v>4193</v>
      </c>
      <c r="G151" s="1" t="s">
        <v>13</v>
      </c>
      <c r="H151" s="6" t="e" vm="74">
        <v>#VALUE!</v>
      </c>
    </row>
    <row r="152" spans="1:8" x14ac:dyDescent="0.25">
      <c r="A152" s="1">
        <v>179</v>
      </c>
      <c r="B152" s="1" t="s">
        <v>810</v>
      </c>
      <c r="C152" s="1" t="s">
        <v>811</v>
      </c>
      <c r="D152" s="1" t="s">
        <v>812</v>
      </c>
      <c r="E152" s="1" t="s">
        <v>11</v>
      </c>
      <c r="F152" s="2" t="s">
        <v>4194</v>
      </c>
      <c r="G152" s="1" t="s">
        <v>13</v>
      </c>
      <c r="H152" s="6" t="e" vm="75">
        <v>#VALUE!</v>
      </c>
    </row>
    <row r="153" spans="1:8" x14ac:dyDescent="0.25">
      <c r="A153" s="1">
        <v>180</v>
      </c>
      <c r="B153" s="1" t="s">
        <v>815</v>
      </c>
      <c r="C153" s="1" t="s">
        <v>816</v>
      </c>
      <c r="D153" s="1" t="s">
        <v>817</v>
      </c>
      <c r="E153" s="1" t="s">
        <v>11</v>
      </c>
      <c r="F153" s="2" t="s">
        <v>4195</v>
      </c>
      <c r="G153" s="1" t="s">
        <v>13</v>
      </c>
      <c r="H153" s="6" t="e" vm="17">
        <v>#VALUE!</v>
      </c>
    </row>
    <row r="154" spans="1:8" x14ac:dyDescent="0.25">
      <c r="A154" s="1">
        <v>181</v>
      </c>
      <c r="B154" s="1" t="s">
        <v>819</v>
      </c>
      <c r="C154" s="1" t="s">
        <v>820</v>
      </c>
      <c r="D154" s="1" t="s">
        <v>821</v>
      </c>
      <c r="E154" s="1" t="s">
        <v>18</v>
      </c>
      <c r="F154" s="2" t="s">
        <v>4196</v>
      </c>
      <c r="G154" s="1" t="s">
        <v>13</v>
      </c>
      <c r="H154" s="6" t="e" vm="35">
        <v>#VALUE!</v>
      </c>
    </row>
    <row r="155" spans="1:8" x14ac:dyDescent="0.25">
      <c r="A155" s="1">
        <v>182</v>
      </c>
      <c r="B155" s="1" t="s">
        <v>823</v>
      </c>
      <c r="C155" s="1" t="s">
        <v>824</v>
      </c>
      <c r="D155" s="1" t="s">
        <v>825</v>
      </c>
      <c r="E155" s="1" t="s">
        <v>11</v>
      </c>
      <c r="F155" s="2" t="s">
        <v>4197</v>
      </c>
      <c r="G155" s="1" t="s">
        <v>13</v>
      </c>
      <c r="H155" s="6" t="e" vm="65">
        <v>#VALUE!</v>
      </c>
    </row>
    <row r="156" spans="1:8" x14ac:dyDescent="0.25">
      <c r="A156" s="1">
        <v>183</v>
      </c>
      <c r="B156" s="1" t="s">
        <v>827</v>
      </c>
      <c r="C156" s="1" t="s">
        <v>828</v>
      </c>
      <c r="D156" s="1" t="s">
        <v>829</v>
      </c>
      <c r="E156" s="1" t="s">
        <v>11</v>
      </c>
      <c r="F156" s="2" t="s">
        <v>4198</v>
      </c>
      <c r="G156" s="1" t="s">
        <v>13</v>
      </c>
      <c r="H156" s="6" t="e" vm="6">
        <v>#VALUE!</v>
      </c>
    </row>
    <row r="157" spans="1:8" x14ac:dyDescent="0.25">
      <c r="A157" s="1">
        <v>184</v>
      </c>
      <c r="B157" s="1" t="s">
        <v>831</v>
      </c>
      <c r="C157" s="1" t="s">
        <v>832</v>
      </c>
      <c r="D157" s="1" t="s">
        <v>833</v>
      </c>
      <c r="E157" s="1" t="s">
        <v>18</v>
      </c>
      <c r="F157" s="2" t="s">
        <v>4199</v>
      </c>
      <c r="G157" s="1" t="s">
        <v>13</v>
      </c>
      <c r="H157" s="6" t="e" vm="12">
        <v>#VALUE!</v>
      </c>
    </row>
    <row r="158" spans="1:8" x14ac:dyDescent="0.25">
      <c r="A158" s="1">
        <v>185</v>
      </c>
      <c r="B158" s="1" t="s">
        <v>835</v>
      </c>
      <c r="C158" s="1" t="s">
        <v>836</v>
      </c>
      <c r="D158" s="1" t="s">
        <v>837</v>
      </c>
      <c r="E158" s="1" t="s">
        <v>11</v>
      </c>
      <c r="F158" s="2" t="s">
        <v>4200</v>
      </c>
      <c r="G158" s="1" t="s">
        <v>13</v>
      </c>
      <c r="H158" s="6" t="e" vm="76">
        <v>#VALUE!</v>
      </c>
    </row>
    <row r="159" spans="1:8" x14ac:dyDescent="0.25">
      <c r="A159" s="1">
        <v>186</v>
      </c>
      <c r="B159" s="1" t="s">
        <v>840</v>
      </c>
      <c r="C159" s="1" t="s">
        <v>841</v>
      </c>
      <c r="D159" s="1" t="s">
        <v>842</v>
      </c>
      <c r="E159" s="1" t="s">
        <v>11</v>
      </c>
      <c r="F159" s="2" t="s">
        <v>4201</v>
      </c>
      <c r="G159" s="1" t="s">
        <v>13</v>
      </c>
      <c r="H159" s="6" t="e" vm="27">
        <v>#VALUE!</v>
      </c>
    </row>
    <row r="160" spans="1:8" x14ac:dyDescent="0.25">
      <c r="A160" s="1">
        <v>187</v>
      </c>
      <c r="B160" s="1" t="s">
        <v>844</v>
      </c>
      <c r="C160" s="1" t="s">
        <v>845</v>
      </c>
      <c r="D160" s="1" t="s">
        <v>846</v>
      </c>
      <c r="E160" s="1" t="s">
        <v>11</v>
      </c>
      <c r="F160" s="2" t="s">
        <v>4202</v>
      </c>
      <c r="G160" s="1" t="s">
        <v>13</v>
      </c>
      <c r="H160" s="6" t="e" vm="56">
        <v>#VALUE!</v>
      </c>
    </row>
    <row r="161" spans="1:8" x14ac:dyDescent="0.25">
      <c r="A161" s="1">
        <v>188</v>
      </c>
      <c r="B161" s="1" t="s">
        <v>848</v>
      </c>
      <c r="C161" s="1" t="s">
        <v>849</v>
      </c>
      <c r="D161" s="1" t="s">
        <v>850</v>
      </c>
      <c r="E161" s="1" t="s">
        <v>18</v>
      </c>
      <c r="F161" s="2" t="s">
        <v>4203</v>
      </c>
      <c r="G161" s="1" t="s">
        <v>13</v>
      </c>
      <c r="H161" s="6" t="e" vm="70">
        <v>#VALUE!</v>
      </c>
    </row>
    <row r="162" spans="1:8" x14ac:dyDescent="0.25">
      <c r="A162" s="1">
        <v>189</v>
      </c>
      <c r="B162" s="1" t="s">
        <v>852</v>
      </c>
      <c r="C162" s="1" t="s">
        <v>853</v>
      </c>
      <c r="D162" s="1" t="s">
        <v>854</v>
      </c>
      <c r="E162" s="1" t="s">
        <v>11</v>
      </c>
      <c r="F162" s="2" t="s">
        <v>4204</v>
      </c>
      <c r="G162" s="1" t="s">
        <v>13</v>
      </c>
      <c r="H162" s="6" t="e" vm="64">
        <v>#VALUE!</v>
      </c>
    </row>
    <row r="163" spans="1:8" x14ac:dyDescent="0.25">
      <c r="A163" s="1">
        <v>190</v>
      </c>
      <c r="B163" s="1" t="s">
        <v>856</v>
      </c>
      <c r="C163" s="1" t="s">
        <v>857</v>
      </c>
      <c r="D163" s="1" t="s">
        <v>858</v>
      </c>
      <c r="E163" s="1" t="s">
        <v>11</v>
      </c>
      <c r="F163" s="2" t="s">
        <v>4205</v>
      </c>
      <c r="G163" s="1" t="s">
        <v>13</v>
      </c>
      <c r="H163" s="6" t="e" vm="16">
        <v>#VALUE!</v>
      </c>
    </row>
    <row r="164" spans="1:8" x14ac:dyDescent="0.25">
      <c r="A164" s="1">
        <v>191</v>
      </c>
      <c r="B164" s="1" t="s">
        <v>860</v>
      </c>
      <c r="C164" s="1" t="s">
        <v>861</v>
      </c>
      <c r="D164" s="1" t="s">
        <v>862</v>
      </c>
      <c r="E164" s="1" t="s">
        <v>4045</v>
      </c>
      <c r="F164" s="2" t="s">
        <v>4206</v>
      </c>
      <c r="G164" s="1" t="s">
        <v>13</v>
      </c>
      <c r="H164" s="6" t="s">
        <v>4041</v>
      </c>
    </row>
    <row r="165" spans="1:8" x14ac:dyDescent="0.25">
      <c r="A165" s="1">
        <v>192</v>
      </c>
      <c r="B165" s="1" t="s">
        <v>864</v>
      </c>
      <c r="C165" s="1" t="s">
        <v>865</v>
      </c>
      <c r="D165" s="1" t="s">
        <v>866</v>
      </c>
      <c r="E165" s="1" t="s">
        <v>18</v>
      </c>
      <c r="F165" s="2" t="s">
        <v>4207</v>
      </c>
      <c r="G165" s="1" t="s">
        <v>13</v>
      </c>
      <c r="H165" s="6" t="e" vm="63">
        <v>#VALUE!</v>
      </c>
    </row>
    <row r="166" spans="1:8" x14ac:dyDescent="0.25">
      <c r="A166" s="1">
        <v>193</v>
      </c>
      <c r="B166" s="1" t="s">
        <v>868</v>
      </c>
      <c r="C166" s="1" t="s">
        <v>869</v>
      </c>
      <c r="D166" s="1" t="s">
        <v>870</v>
      </c>
      <c r="E166" s="1" t="s">
        <v>4045</v>
      </c>
      <c r="F166" s="2" t="s">
        <v>4208</v>
      </c>
      <c r="G166" s="1" t="s">
        <v>13</v>
      </c>
      <c r="H166" s="6" t="e" vm="65">
        <v>#VALUE!</v>
      </c>
    </row>
    <row r="167" spans="1:8" x14ac:dyDescent="0.25">
      <c r="A167" s="1">
        <v>194</v>
      </c>
      <c r="B167" s="1" t="s">
        <v>872</v>
      </c>
      <c r="C167" s="1" t="s">
        <v>873</v>
      </c>
      <c r="D167" s="1" t="s">
        <v>874</v>
      </c>
      <c r="E167" s="1" t="s">
        <v>18</v>
      </c>
      <c r="F167" s="2" t="s">
        <v>4209</v>
      </c>
      <c r="G167" s="1" t="s">
        <v>13</v>
      </c>
      <c r="H167" s="6" t="e" vm="34">
        <v>#VALUE!</v>
      </c>
    </row>
    <row r="168" spans="1:8" x14ac:dyDescent="0.25">
      <c r="A168" s="1">
        <v>195</v>
      </c>
      <c r="B168" s="1" t="s">
        <v>876</v>
      </c>
      <c r="C168" s="1" t="s">
        <v>877</v>
      </c>
      <c r="D168" s="1" t="s">
        <v>878</v>
      </c>
      <c r="E168" s="1" t="s">
        <v>11</v>
      </c>
      <c r="F168" s="2" t="s">
        <v>4210</v>
      </c>
      <c r="G168" s="1" t="s">
        <v>13</v>
      </c>
      <c r="H168" s="6" t="e" vm="25">
        <v>#VALUE!</v>
      </c>
    </row>
    <row r="169" spans="1:8" x14ac:dyDescent="0.25">
      <c r="A169" s="1">
        <v>196</v>
      </c>
      <c r="B169" s="1" t="s">
        <v>880</v>
      </c>
      <c r="C169" s="1" t="s">
        <v>881</v>
      </c>
      <c r="D169" s="1" t="s">
        <v>882</v>
      </c>
      <c r="E169" s="1" t="s">
        <v>18</v>
      </c>
      <c r="F169" s="2" t="s">
        <v>4211</v>
      </c>
      <c r="G169" s="1" t="s">
        <v>13</v>
      </c>
      <c r="H169" s="6" t="e" vm="66">
        <v>#VALUE!</v>
      </c>
    </row>
    <row r="170" spans="1:8" x14ac:dyDescent="0.25">
      <c r="A170" s="1">
        <v>197</v>
      </c>
      <c r="B170" s="1" t="s">
        <v>884</v>
      </c>
      <c r="C170" s="1" t="s">
        <v>885</v>
      </c>
      <c r="D170" s="1" t="s">
        <v>886</v>
      </c>
      <c r="E170" s="1" t="s">
        <v>11</v>
      </c>
      <c r="F170" s="2" t="s">
        <v>4212</v>
      </c>
      <c r="G170" s="1" t="s">
        <v>13</v>
      </c>
      <c r="H170" s="6" t="e" vm="18">
        <v>#VALUE!</v>
      </c>
    </row>
    <row r="171" spans="1:8" x14ac:dyDescent="0.25">
      <c r="A171" s="1">
        <v>198</v>
      </c>
      <c r="B171" s="1" t="s">
        <v>888</v>
      </c>
      <c r="C171" s="1" t="s">
        <v>889</v>
      </c>
      <c r="D171" s="1" t="s">
        <v>890</v>
      </c>
      <c r="E171" s="1" t="s">
        <v>18</v>
      </c>
      <c r="F171" s="2" t="s">
        <v>4213</v>
      </c>
      <c r="G171" s="1" t="s">
        <v>13</v>
      </c>
      <c r="H171" s="6" t="e" vm="30">
        <v>#VALUE!</v>
      </c>
    </row>
    <row r="172" spans="1:8" x14ac:dyDescent="0.25">
      <c r="A172" s="1">
        <v>199</v>
      </c>
      <c r="B172" s="1" t="s">
        <v>892</v>
      </c>
      <c r="C172" s="1" t="s">
        <v>893</v>
      </c>
      <c r="D172" s="1" t="s">
        <v>894</v>
      </c>
      <c r="E172" s="1" t="s">
        <v>18</v>
      </c>
      <c r="F172" s="2" t="s">
        <v>4214</v>
      </c>
      <c r="G172" s="1" t="s">
        <v>13</v>
      </c>
      <c r="H172" s="6" t="e" vm="21">
        <v>#VALUE!</v>
      </c>
    </row>
    <row r="173" spans="1:8" x14ac:dyDescent="0.25">
      <c r="A173" s="1">
        <v>200</v>
      </c>
      <c r="B173" s="1" t="s">
        <v>896</v>
      </c>
      <c r="C173" s="1" t="s">
        <v>897</v>
      </c>
      <c r="D173" s="1" t="s">
        <v>898</v>
      </c>
      <c r="E173" s="1" t="s">
        <v>11</v>
      </c>
      <c r="F173" s="2" t="s">
        <v>4215</v>
      </c>
      <c r="G173" s="1" t="s">
        <v>13</v>
      </c>
      <c r="H173" s="6" t="e" vm="52">
        <v>#VALUE!</v>
      </c>
    </row>
    <row r="174" spans="1:8" x14ac:dyDescent="0.25">
      <c r="A174" s="1">
        <v>201</v>
      </c>
      <c r="B174" s="1" t="s">
        <v>900</v>
      </c>
      <c r="C174" s="1" t="s">
        <v>901</v>
      </c>
      <c r="D174" s="1" t="s">
        <v>902</v>
      </c>
      <c r="E174" s="1" t="s">
        <v>11</v>
      </c>
      <c r="F174" s="2" t="s">
        <v>4216</v>
      </c>
      <c r="G174" s="1" t="s">
        <v>13</v>
      </c>
      <c r="H174" s="6" t="e" vm="54">
        <v>#VALUE!</v>
      </c>
    </row>
    <row r="175" spans="1:8" x14ac:dyDescent="0.25">
      <c r="A175" s="1">
        <v>202</v>
      </c>
      <c r="B175" s="1" t="s">
        <v>904</v>
      </c>
      <c r="C175" s="1" t="s">
        <v>905</v>
      </c>
      <c r="D175" s="1" t="s">
        <v>906</v>
      </c>
      <c r="E175" s="1" t="s">
        <v>11</v>
      </c>
      <c r="F175" s="2" t="s">
        <v>4217</v>
      </c>
      <c r="G175" s="1" t="s">
        <v>13</v>
      </c>
      <c r="H175" s="6" t="e" vm="71">
        <v>#VALUE!</v>
      </c>
    </row>
    <row r="176" spans="1:8" x14ac:dyDescent="0.25">
      <c r="A176" s="1">
        <v>203</v>
      </c>
      <c r="B176" s="1" t="s">
        <v>908</v>
      </c>
      <c r="C176" s="1" t="s">
        <v>909</v>
      </c>
      <c r="D176" s="1" t="s">
        <v>910</v>
      </c>
      <c r="E176" s="1" t="s">
        <v>11</v>
      </c>
      <c r="F176" s="2" t="s">
        <v>4218</v>
      </c>
      <c r="G176" s="1" t="s">
        <v>13</v>
      </c>
      <c r="H176" s="6" t="e" vm="32">
        <v>#VALUE!</v>
      </c>
    </row>
    <row r="177" spans="1:8" x14ac:dyDescent="0.25">
      <c r="A177" s="1">
        <v>205</v>
      </c>
      <c r="B177" s="1" t="s">
        <v>917</v>
      </c>
      <c r="C177" s="1" t="s">
        <v>918</v>
      </c>
      <c r="D177" s="1" t="s">
        <v>919</v>
      </c>
      <c r="E177" s="1" t="s">
        <v>11</v>
      </c>
      <c r="F177" s="2" t="s">
        <v>4219</v>
      </c>
      <c r="G177" s="1" t="s">
        <v>13</v>
      </c>
      <c r="H177" s="6" t="s">
        <v>4041</v>
      </c>
    </row>
    <row r="178" spans="1:8" x14ac:dyDescent="0.25">
      <c r="A178" s="1">
        <v>206</v>
      </c>
      <c r="B178" s="1" t="s">
        <v>921</v>
      </c>
      <c r="C178" s="1" t="s">
        <v>922</v>
      </c>
      <c r="D178" s="1" t="s">
        <v>923</v>
      </c>
      <c r="E178" s="1" t="s">
        <v>11</v>
      </c>
      <c r="F178" s="2" t="s">
        <v>4220</v>
      </c>
      <c r="G178" s="1" t="s">
        <v>13</v>
      </c>
      <c r="H178" s="6" t="s">
        <v>4037</v>
      </c>
    </row>
    <row r="179" spans="1:8" x14ac:dyDescent="0.25">
      <c r="A179" s="1">
        <v>207</v>
      </c>
      <c r="B179" s="1" t="s">
        <v>925</v>
      </c>
      <c r="C179" s="1" t="s">
        <v>926</v>
      </c>
      <c r="D179" s="1" t="s">
        <v>927</v>
      </c>
      <c r="E179" s="1" t="s">
        <v>18</v>
      </c>
      <c r="F179" s="2" t="s">
        <v>4221</v>
      </c>
      <c r="G179" s="1" t="s">
        <v>13</v>
      </c>
      <c r="H179" s="6" t="e" vm="31">
        <v>#VALUE!</v>
      </c>
    </row>
    <row r="180" spans="1:8" x14ac:dyDescent="0.25">
      <c r="A180" s="1">
        <v>208</v>
      </c>
      <c r="B180" s="1" t="s">
        <v>929</v>
      </c>
      <c r="C180" s="1" t="s">
        <v>930</v>
      </c>
      <c r="D180" s="1" t="s">
        <v>931</v>
      </c>
      <c r="E180" s="1" t="s">
        <v>18</v>
      </c>
      <c r="F180" s="2" t="s">
        <v>4222</v>
      </c>
      <c r="G180" s="1" t="s">
        <v>13</v>
      </c>
      <c r="H180" s="6" t="e" vm="77">
        <v>#VALUE!</v>
      </c>
    </row>
    <row r="181" spans="1:8" x14ac:dyDescent="0.25">
      <c r="A181" s="1">
        <v>209</v>
      </c>
      <c r="B181" s="1" t="s">
        <v>934</v>
      </c>
      <c r="C181" s="1" t="s">
        <v>935</v>
      </c>
      <c r="D181" s="1" t="s">
        <v>936</v>
      </c>
      <c r="E181" s="1" t="s">
        <v>18</v>
      </c>
      <c r="F181" s="2" t="s">
        <v>4223</v>
      </c>
      <c r="G181" s="1" t="s">
        <v>13</v>
      </c>
      <c r="H181" s="6" t="e" vm="20">
        <v>#VALUE!</v>
      </c>
    </row>
    <row r="182" spans="1:8" x14ac:dyDescent="0.25">
      <c r="A182" s="1">
        <v>210</v>
      </c>
      <c r="B182" s="1" t="s">
        <v>938</v>
      </c>
      <c r="C182" s="1" t="s">
        <v>939</v>
      </c>
      <c r="D182" s="1" t="s">
        <v>940</v>
      </c>
      <c r="E182" s="1" t="s">
        <v>11</v>
      </c>
      <c r="F182" s="2" t="s">
        <v>4224</v>
      </c>
      <c r="G182" s="1" t="s">
        <v>13</v>
      </c>
      <c r="H182" s="6" t="e" vm="19">
        <v>#VALUE!</v>
      </c>
    </row>
    <row r="183" spans="1:8" x14ac:dyDescent="0.25">
      <c r="A183" s="1">
        <v>211</v>
      </c>
      <c r="B183" s="1" t="s">
        <v>942</v>
      </c>
      <c r="C183" s="1" t="s">
        <v>943</v>
      </c>
      <c r="D183" s="1" t="s">
        <v>944</v>
      </c>
      <c r="E183" s="1" t="s">
        <v>11</v>
      </c>
      <c r="F183" s="2" t="s">
        <v>4225</v>
      </c>
      <c r="G183" s="1" t="s">
        <v>13</v>
      </c>
      <c r="H183" s="6" t="e" vm="73">
        <v>#VALUE!</v>
      </c>
    </row>
    <row r="184" spans="1:8" x14ac:dyDescent="0.25">
      <c r="A184" s="1">
        <v>212</v>
      </c>
      <c r="B184" s="1" t="s">
        <v>946</v>
      </c>
      <c r="C184" s="1" t="s">
        <v>947</v>
      </c>
      <c r="D184" s="1" t="s">
        <v>948</v>
      </c>
      <c r="E184" s="1" t="s">
        <v>11</v>
      </c>
      <c r="F184" s="2" t="s">
        <v>4226</v>
      </c>
      <c r="G184" s="1" t="s">
        <v>13</v>
      </c>
      <c r="H184" s="6" t="e" vm="74">
        <v>#VALUE!</v>
      </c>
    </row>
    <row r="185" spans="1:8" x14ac:dyDescent="0.25">
      <c r="A185" s="1">
        <v>213</v>
      </c>
      <c r="B185" s="1" t="s">
        <v>950</v>
      </c>
      <c r="C185" s="1" t="s">
        <v>951</v>
      </c>
      <c r="D185" s="1" t="s">
        <v>952</v>
      </c>
      <c r="E185" s="1" t="s">
        <v>11</v>
      </c>
      <c r="F185" s="2" t="s">
        <v>4227</v>
      </c>
      <c r="G185" s="1" t="s">
        <v>13</v>
      </c>
      <c r="H185" s="6" t="e" vm="78">
        <v>#VALUE!</v>
      </c>
    </row>
    <row r="186" spans="1:8" x14ac:dyDescent="0.25">
      <c r="A186" s="1">
        <v>214</v>
      </c>
      <c r="B186" s="1" t="s">
        <v>954</v>
      </c>
      <c r="C186" s="1" t="s">
        <v>955</v>
      </c>
      <c r="D186" s="1" t="s">
        <v>956</v>
      </c>
      <c r="E186" s="1" t="s">
        <v>4045</v>
      </c>
      <c r="F186" s="2" t="s">
        <v>4228</v>
      </c>
      <c r="G186" s="1" t="s">
        <v>13</v>
      </c>
      <c r="H186" s="6" t="e" vm="41">
        <v>#VALUE!</v>
      </c>
    </row>
    <row r="187" spans="1:8" x14ac:dyDescent="0.25">
      <c r="A187" s="1">
        <v>216</v>
      </c>
      <c r="B187" s="1" t="s">
        <v>962</v>
      </c>
      <c r="C187" s="1" t="s">
        <v>963</v>
      </c>
      <c r="D187" s="1" t="s">
        <v>964</v>
      </c>
      <c r="E187" s="1" t="s">
        <v>11</v>
      </c>
      <c r="F187" s="2" t="s">
        <v>4229</v>
      </c>
      <c r="G187" s="1" t="s">
        <v>13</v>
      </c>
      <c r="H187" s="6" t="e" vm="63">
        <v>#VALUE!</v>
      </c>
    </row>
    <row r="188" spans="1:8" x14ac:dyDescent="0.25">
      <c r="A188" s="1">
        <v>217</v>
      </c>
      <c r="B188" s="1" t="s">
        <v>966</v>
      </c>
      <c r="C188" s="1" t="s">
        <v>967</v>
      </c>
      <c r="D188" s="1" t="s">
        <v>968</v>
      </c>
      <c r="E188" s="1" t="s">
        <v>18</v>
      </c>
      <c r="F188" s="2" t="s">
        <v>4230</v>
      </c>
      <c r="G188" s="1" t="s">
        <v>13</v>
      </c>
      <c r="H188" s="6" t="e" vm="79">
        <v>#VALUE!</v>
      </c>
    </row>
    <row r="189" spans="1:8" x14ac:dyDescent="0.25">
      <c r="A189" s="1">
        <v>218</v>
      </c>
      <c r="B189" s="1" t="s">
        <v>970</v>
      </c>
      <c r="C189" s="1" t="s">
        <v>971</v>
      </c>
      <c r="D189" s="1" t="s">
        <v>972</v>
      </c>
      <c r="E189" s="1" t="s">
        <v>11</v>
      </c>
      <c r="F189" s="2" t="s">
        <v>4231</v>
      </c>
      <c r="G189" s="1" t="s">
        <v>13</v>
      </c>
      <c r="H189" s="6" t="s">
        <v>4040</v>
      </c>
    </row>
    <row r="190" spans="1:8" x14ac:dyDescent="0.25">
      <c r="A190" s="1">
        <v>219</v>
      </c>
      <c r="B190" s="1" t="s">
        <v>974</v>
      </c>
      <c r="C190" s="1" t="s">
        <v>975</v>
      </c>
      <c r="D190" s="1" t="s">
        <v>976</v>
      </c>
      <c r="E190" s="1" t="s">
        <v>18</v>
      </c>
      <c r="F190" s="2" t="s">
        <v>4232</v>
      </c>
      <c r="G190" s="1" t="s">
        <v>13</v>
      </c>
      <c r="H190" s="6" t="s">
        <v>4038</v>
      </c>
    </row>
    <row r="191" spans="1:8" x14ac:dyDescent="0.25">
      <c r="A191" s="1">
        <v>220</v>
      </c>
      <c r="B191" s="1" t="s">
        <v>978</v>
      </c>
      <c r="C191" s="1" t="s">
        <v>979</v>
      </c>
      <c r="D191" s="1" t="s">
        <v>980</v>
      </c>
      <c r="E191" s="1" t="s">
        <v>11</v>
      </c>
      <c r="F191" s="2" t="s">
        <v>4233</v>
      </c>
      <c r="G191" s="1" t="s">
        <v>13</v>
      </c>
      <c r="H191" s="6" t="s">
        <v>4037</v>
      </c>
    </row>
    <row r="192" spans="1:8" x14ac:dyDescent="0.25">
      <c r="A192" s="1">
        <v>221</v>
      </c>
      <c r="B192" s="1" t="s">
        <v>982</v>
      </c>
      <c r="C192" s="1" t="s">
        <v>983</v>
      </c>
      <c r="D192" s="1" t="s">
        <v>984</v>
      </c>
      <c r="E192" s="1" t="s">
        <v>11</v>
      </c>
      <c r="F192" s="2" t="s">
        <v>4234</v>
      </c>
      <c r="G192" s="1" t="s">
        <v>13</v>
      </c>
      <c r="H192" s="6" t="e" vm="25">
        <v>#VALUE!</v>
      </c>
    </row>
    <row r="193" spans="1:8" x14ac:dyDescent="0.25">
      <c r="A193" s="1">
        <v>222</v>
      </c>
      <c r="B193" s="1" t="s">
        <v>986</v>
      </c>
      <c r="C193" s="1" t="s">
        <v>987</v>
      </c>
      <c r="D193" s="1" t="s">
        <v>988</v>
      </c>
      <c r="E193" s="1" t="s">
        <v>18</v>
      </c>
      <c r="F193" s="2" t="s">
        <v>4235</v>
      </c>
      <c r="G193" s="1" t="s">
        <v>13</v>
      </c>
      <c r="H193" s="6" t="e" vm="64">
        <v>#VALUE!</v>
      </c>
    </row>
    <row r="194" spans="1:8" x14ac:dyDescent="0.25">
      <c r="A194" s="1">
        <v>223</v>
      </c>
      <c r="B194" s="1" t="s">
        <v>990</v>
      </c>
      <c r="C194" s="1" t="s">
        <v>991</v>
      </c>
      <c r="D194" s="1" t="s">
        <v>992</v>
      </c>
      <c r="E194" s="1" t="s">
        <v>11</v>
      </c>
      <c r="F194" s="2" t="s">
        <v>4236</v>
      </c>
      <c r="G194" s="1" t="s">
        <v>13</v>
      </c>
      <c r="H194" s="6" t="e" vm="74">
        <v>#VALUE!</v>
      </c>
    </row>
    <row r="195" spans="1:8" x14ac:dyDescent="0.25">
      <c r="A195" s="1">
        <v>224</v>
      </c>
      <c r="B195" s="1" t="s">
        <v>283</v>
      </c>
      <c r="C195" s="1" t="s">
        <v>994</v>
      </c>
      <c r="D195" s="1" t="s">
        <v>995</v>
      </c>
      <c r="E195" s="1" t="s">
        <v>4045</v>
      </c>
      <c r="F195" s="2" t="s">
        <v>4237</v>
      </c>
      <c r="G195" s="1" t="s">
        <v>13</v>
      </c>
      <c r="H195" s="6" t="e" vm="7">
        <v>#VALUE!</v>
      </c>
    </row>
    <row r="196" spans="1:8" x14ac:dyDescent="0.25">
      <c r="A196" s="1">
        <v>225</v>
      </c>
      <c r="B196" s="1" t="s">
        <v>997</v>
      </c>
      <c r="C196" s="1" t="s">
        <v>998</v>
      </c>
      <c r="D196" s="1" t="s">
        <v>999</v>
      </c>
      <c r="E196" s="1" t="s">
        <v>18</v>
      </c>
      <c r="F196" s="2" t="s">
        <v>4238</v>
      </c>
      <c r="G196" s="1" t="s">
        <v>13</v>
      </c>
      <c r="H196" s="6" t="e" vm="28">
        <v>#VALUE!</v>
      </c>
    </row>
    <row r="197" spans="1:8" x14ac:dyDescent="0.25">
      <c r="A197" s="1">
        <v>226</v>
      </c>
      <c r="B197" s="1" t="s">
        <v>1001</v>
      </c>
      <c r="C197" s="1" t="s">
        <v>1002</v>
      </c>
      <c r="D197" s="1" t="s">
        <v>1003</v>
      </c>
      <c r="E197" s="1" t="s">
        <v>18</v>
      </c>
      <c r="F197" s="2" t="s">
        <v>4239</v>
      </c>
      <c r="G197" s="1" t="s">
        <v>13</v>
      </c>
      <c r="H197" s="6" t="e" vm="11">
        <v>#VALUE!</v>
      </c>
    </row>
    <row r="198" spans="1:8" x14ac:dyDescent="0.25">
      <c r="A198" s="1">
        <v>227</v>
      </c>
      <c r="B198" s="1" t="s">
        <v>1005</v>
      </c>
      <c r="C198" s="1" t="s">
        <v>1006</v>
      </c>
      <c r="D198" s="1" t="s">
        <v>1007</v>
      </c>
      <c r="E198" s="1" t="s">
        <v>11</v>
      </c>
      <c r="F198" s="2" t="s">
        <v>4240</v>
      </c>
      <c r="G198" s="1" t="s">
        <v>13</v>
      </c>
      <c r="H198" s="6" t="e" vm="6">
        <v>#VALUE!</v>
      </c>
    </row>
    <row r="199" spans="1:8" x14ac:dyDescent="0.25">
      <c r="A199" s="1">
        <v>228</v>
      </c>
      <c r="B199" s="1" t="s">
        <v>1009</v>
      </c>
      <c r="C199" s="1" t="s">
        <v>1010</v>
      </c>
      <c r="D199" s="1" t="s">
        <v>1011</v>
      </c>
      <c r="E199" s="1" t="s">
        <v>4045</v>
      </c>
      <c r="F199" s="2" t="s">
        <v>4241</v>
      </c>
      <c r="G199" s="1" t="s">
        <v>13</v>
      </c>
      <c r="H199" s="6" t="e" vm="47">
        <v>#VALUE!</v>
      </c>
    </row>
    <row r="200" spans="1:8" x14ac:dyDescent="0.25">
      <c r="A200" s="1">
        <v>229</v>
      </c>
      <c r="B200" s="1" t="s">
        <v>1013</v>
      </c>
      <c r="C200" s="1" t="s">
        <v>1014</v>
      </c>
      <c r="D200" s="1" t="s">
        <v>1015</v>
      </c>
      <c r="E200" s="1" t="s">
        <v>18</v>
      </c>
      <c r="F200" s="2" t="s">
        <v>4242</v>
      </c>
      <c r="G200" s="1" t="s">
        <v>13</v>
      </c>
      <c r="H200" s="6" t="e" vm="80">
        <v>#VALUE!</v>
      </c>
    </row>
    <row r="201" spans="1:8" x14ac:dyDescent="0.25">
      <c r="A201" s="1">
        <v>230</v>
      </c>
      <c r="B201" s="1" t="s">
        <v>1018</v>
      </c>
      <c r="C201" s="1" t="s">
        <v>1019</v>
      </c>
      <c r="D201" s="1" t="s">
        <v>1020</v>
      </c>
      <c r="E201" s="1" t="s">
        <v>11</v>
      </c>
      <c r="F201" s="2" t="s">
        <v>4243</v>
      </c>
      <c r="G201" s="1" t="s">
        <v>13</v>
      </c>
      <c r="H201" s="6" t="e" vm="42">
        <v>#VALUE!</v>
      </c>
    </row>
    <row r="202" spans="1:8" x14ac:dyDescent="0.25">
      <c r="A202" s="1">
        <v>231</v>
      </c>
      <c r="B202" s="1" t="s">
        <v>1022</v>
      </c>
      <c r="C202" s="1" t="s">
        <v>1023</v>
      </c>
      <c r="D202" s="1" t="s">
        <v>1024</v>
      </c>
      <c r="E202" s="1" t="s">
        <v>18</v>
      </c>
      <c r="F202" s="2" t="s">
        <v>4244</v>
      </c>
      <c r="G202" s="1" t="s">
        <v>13</v>
      </c>
      <c r="H202" s="6" t="e" vm="2">
        <v>#VALUE!</v>
      </c>
    </row>
    <row r="203" spans="1:8" x14ac:dyDescent="0.25">
      <c r="A203" s="1">
        <v>232</v>
      </c>
      <c r="B203" s="1" t="s">
        <v>1026</v>
      </c>
      <c r="C203" s="1" t="s">
        <v>1027</v>
      </c>
      <c r="D203" s="1" t="s">
        <v>1028</v>
      </c>
      <c r="E203" s="1" t="s">
        <v>18</v>
      </c>
      <c r="F203" s="2" t="s">
        <v>4245</v>
      </c>
      <c r="G203" s="1" t="s">
        <v>13</v>
      </c>
      <c r="H203" s="6" t="e" vm="16">
        <v>#VALUE!</v>
      </c>
    </row>
    <row r="204" spans="1:8" x14ac:dyDescent="0.25">
      <c r="A204" s="1">
        <v>234</v>
      </c>
      <c r="B204" s="1" t="s">
        <v>1034</v>
      </c>
      <c r="C204" s="1" t="s">
        <v>1035</v>
      </c>
      <c r="D204" s="1" t="s">
        <v>1036</v>
      </c>
      <c r="E204" s="1" t="s">
        <v>18</v>
      </c>
      <c r="F204" s="2" t="s">
        <v>4246</v>
      </c>
      <c r="G204" s="1" t="s">
        <v>13</v>
      </c>
      <c r="H204" s="6" t="e" vm="72">
        <v>#VALUE!</v>
      </c>
    </row>
    <row r="205" spans="1:8" x14ac:dyDescent="0.25">
      <c r="A205" s="1">
        <v>235</v>
      </c>
      <c r="B205" s="1" t="s">
        <v>1038</v>
      </c>
      <c r="C205" s="1" t="s">
        <v>1039</v>
      </c>
      <c r="D205" s="1" t="s">
        <v>1040</v>
      </c>
      <c r="E205" s="1" t="s">
        <v>11</v>
      </c>
      <c r="F205" s="2" t="s">
        <v>4247</v>
      </c>
      <c r="G205" s="1" t="s">
        <v>13</v>
      </c>
      <c r="H205" s="6" t="e" vm="39">
        <v>#VALUE!</v>
      </c>
    </row>
    <row r="206" spans="1:8" x14ac:dyDescent="0.25">
      <c r="A206" s="1">
        <v>236</v>
      </c>
      <c r="B206" s="1" t="s">
        <v>1042</v>
      </c>
      <c r="C206" s="1" t="s">
        <v>1043</v>
      </c>
      <c r="D206" s="1" t="s">
        <v>1044</v>
      </c>
      <c r="E206" s="1" t="s">
        <v>11</v>
      </c>
      <c r="F206" s="2" t="s">
        <v>4248</v>
      </c>
      <c r="G206" s="1" t="s">
        <v>13</v>
      </c>
      <c r="H206" s="6" t="e" vm="74">
        <v>#VALUE!</v>
      </c>
    </row>
    <row r="207" spans="1:8" x14ac:dyDescent="0.25">
      <c r="A207" s="1">
        <v>237</v>
      </c>
      <c r="B207" s="1" t="s">
        <v>1046</v>
      </c>
      <c r="C207" s="1" t="s">
        <v>1047</v>
      </c>
      <c r="D207" s="1" t="s">
        <v>1048</v>
      </c>
      <c r="E207" s="1" t="s">
        <v>18</v>
      </c>
      <c r="F207" s="2" t="s">
        <v>4249</v>
      </c>
      <c r="G207" s="1" t="s">
        <v>13</v>
      </c>
      <c r="H207" s="6" t="e" vm="70">
        <v>#VALUE!</v>
      </c>
    </row>
    <row r="208" spans="1:8" x14ac:dyDescent="0.25">
      <c r="A208" s="1">
        <v>238</v>
      </c>
      <c r="B208" s="1" t="s">
        <v>1050</v>
      </c>
      <c r="C208" s="1" t="s">
        <v>1051</v>
      </c>
      <c r="D208" s="1" t="s">
        <v>1052</v>
      </c>
      <c r="E208" s="1" t="s">
        <v>18</v>
      </c>
      <c r="F208" s="2" t="s">
        <v>4250</v>
      </c>
      <c r="G208" s="1" t="s">
        <v>13</v>
      </c>
      <c r="H208" s="6" t="s">
        <v>4037</v>
      </c>
    </row>
    <row r="209" spans="1:8" x14ac:dyDescent="0.25">
      <c r="A209" s="1">
        <v>239</v>
      </c>
      <c r="B209" s="1" t="s">
        <v>1054</v>
      </c>
      <c r="C209" s="1" t="s">
        <v>1055</v>
      </c>
      <c r="D209" s="1" t="s">
        <v>1056</v>
      </c>
      <c r="E209" s="1" t="s">
        <v>11</v>
      </c>
      <c r="F209" s="2" t="s">
        <v>4251</v>
      </c>
      <c r="G209" s="1" t="s">
        <v>13</v>
      </c>
      <c r="H209" s="6" t="e" vm="26">
        <v>#VALUE!</v>
      </c>
    </row>
    <row r="210" spans="1:8" x14ac:dyDescent="0.25">
      <c r="A210" s="1">
        <v>240</v>
      </c>
      <c r="B210" s="1" t="s">
        <v>1058</v>
      </c>
      <c r="C210" s="1" t="s">
        <v>1059</v>
      </c>
      <c r="D210" s="1" t="s">
        <v>1060</v>
      </c>
      <c r="E210" s="1" t="s">
        <v>18</v>
      </c>
      <c r="F210" s="2" t="s">
        <v>4252</v>
      </c>
      <c r="G210" s="1" t="s">
        <v>13</v>
      </c>
      <c r="H210" s="6" t="e" vm="72">
        <v>#VALUE!</v>
      </c>
    </row>
    <row r="211" spans="1:8" x14ac:dyDescent="0.25">
      <c r="A211" s="1">
        <v>241</v>
      </c>
      <c r="B211" s="1" t="s">
        <v>1062</v>
      </c>
      <c r="C211" s="1" t="s">
        <v>1063</v>
      </c>
      <c r="D211" s="1" t="s">
        <v>1064</v>
      </c>
      <c r="E211" s="1" t="s">
        <v>18</v>
      </c>
      <c r="F211" s="2" t="s">
        <v>4253</v>
      </c>
      <c r="G211" s="1" t="s">
        <v>13</v>
      </c>
      <c r="H211" s="6" t="e" vm="21">
        <v>#VALUE!</v>
      </c>
    </row>
    <row r="212" spans="1:8" x14ac:dyDescent="0.25">
      <c r="A212" s="1">
        <v>242</v>
      </c>
      <c r="B212" s="1" t="s">
        <v>1066</v>
      </c>
      <c r="C212" s="1" t="s">
        <v>1067</v>
      </c>
      <c r="D212" s="1" t="s">
        <v>1068</v>
      </c>
      <c r="E212" s="1" t="s">
        <v>11</v>
      </c>
      <c r="F212" s="2" t="s">
        <v>4254</v>
      </c>
      <c r="G212" s="1" t="s">
        <v>13</v>
      </c>
      <c r="H212" s="6" t="e" vm="12">
        <v>#VALUE!</v>
      </c>
    </row>
    <row r="213" spans="1:8" x14ac:dyDescent="0.25">
      <c r="A213" s="1">
        <v>243</v>
      </c>
      <c r="B213" s="1" t="s">
        <v>1070</v>
      </c>
      <c r="C213" s="1" t="s">
        <v>1071</v>
      </c>
      <c r="D213" s="1" t="s">
        <v>1072</v>
      </c>
      <c r="E213" s="1" t="s">
        <v>11</v>
      </c>
      <c r="F213" s="2" t="s">
        <v>4255</v>
      </c>
      <c r="G213" s="1" t="s">
        <v>13</v>
      </c>
      <c r="H213" s="6" t="e" vm="1">
        <v>#VALUE!</v>
      </c>
    </row>
    <row r="214" spans="1:8" x14ac:dyDescent="0.25">
      <c r="A214" s="1">
        <v>244</v>
      </c>
      <c r="B214" s="1" t="s">
        <v>1074</v>
      </c>
      <c r="C214" s="1" t="s">
        <v>1075</v>
      </c>
      <c r="D214" s="1" t="s">
        <v>1076</v>
      </c>
      <c r="E214" s="1" t="s">
        <v>11</v>
      </c>
      <c r="F214" s="2" t="s">
        <v>4256</v>
      </c>
      <c r="G214" s="1" t="s">
        <v>13</v>
      </c>
      <c r="H214" s="6" t="e" vm="21">
        <v>#VALUE!</v>
      </c>
    </row>
    <row r="215" spans="1:8" x14ac:dyDescent="0.25">
      <c r="A215" s="1">
        <v>245</v>
      </c>
      <c r="B215" s="1" t="s">
        <v>1078</v>
      </c>
      <c r="C215" s="1" t="s">
        <v>1079</v>
      </c>
      <c r="D215" s="1" t="s">
        <v>1080</v>
      </c>
      <c r="E215" s="1" t="s">
        <v>18</v>
      </c>
      <c r="F215" s="2" t="s">
        <v>4257</v>
      </c>
      <c r="G215" s="1" t="s">
        <v>13</v>
      </c>
      <c r="H215" s="6" t="e" vm="43">
        <v>#VALUE!</v>
      </c>
    </row>
    <row r="216" spans="1:8" x14ac:dyDescent="0.25">
      <c r="A216" s="1">
        <v>246</v>
      </c>
      <c r="B216" s="1" t="s">
        <v>1082</v>
      </c>
      <c r="C216" s="1" t="s">
        <v>1083</v>
      </c>
      <c r="D216" s="1" t="s">
        <v>1084</v>
      </c>
      <c r="E216" s="1" t="s">
        <v>18</v>
      </c>
      <c r="F216" s="2" t="s">
        <v>4258</v>
      </c>
      <c r="G216" s="1" t="s">
        <v>13</v>
      </c>
      <c r="H216" s="6" t="e" vm="12">
        <v>#VALUE!</v>
      </c>
    </row>
    <row r="217" spans="1:8" x14ac:dyDescent="0.25">
      <c r="A217" s="1">
        <v>247</v>
      </c>
      <c r="B217" s="1" t="s">
        <v>1086</v>
      </c>
      <c r="C217" s="1" t="s">
        <v>1087</v>
      </c>
      <c r="D217" s="1" t="s">
        <v>1088</v>
      </c>
      <c r="E217" s="1" t="s">
        <v>18</v>
      </c>
      <c r="F217" s="2" t="s">
        <v>4259</v>
      </c>
      <c r="G217" s="1" t="s">
        <v>13</v>
      </c>
      <c r="H217" s="6" t="e" vm="58">
        <v>#VALUE!</v>
      </c>
    </row>
    <row r="218" spans="1:8" x14ac:dyDescent="0.25">
      <c r="A218" s="1">
        <v>248</v>
      </c>
      <c r="B218" s="1" t="s">
        <v>1090</v>
      </c>
      <c r="C218" s="1" t="s">
        <v>1091</v>
      </c>
      <c r="D218" s="1" t="s">
        <v>1092</v>
      </c>
      <c r="E218" s="1" t="s">
        <v>4045</v>
      </c>
      <c r="F218" s="2" t="s">
        <v>4260</v>
      </c>
      <c r="G218" s="1" t="s">
        <v>13</v>
      </c>
      <c r="H218" s="6" t="e" vm="35">
        <v>#VALUE!</v>
      </c>
    </row>
    <row r="219" spans="1:8" x14ac:dyDescent="0.25">
      <c r="A219" s="1">
        <v>250</v>
      </c>
      <c r="B219" s="1" t="s">
        <v>1098</v>
      </c>
      <c r="C219" s="1" t="s">
        <v>1099</v>
      </c>
      <c r="D219" s="1" t="s">
        <v>1100</v>
      </c>
      <c r="E219" s="1" t="s">
        <v>18</v>
      </c>
      <c r="F219" s="2" t="s">
        <v>4261</v>
      </c>
      <c r="G219" s="1" t="s">
        <v>13</v>
      </c>
      <c r="H219" s="6" t="e" vm="60">
        <v>#VALUE!</v>
      </c>
    </row>
    <row r="220" spans="1:8" x14ac:dyDescent="0.25">
      <c r="A220" s="1">
        <v>252</v>
      </c>
      <c r="B220" s="1" t="s">
        <v>1107</v>
      </c>
      <c r="C220" s="1" t="s">
        <v>1108</v>
      </c>
      <c r="D220" s="1" t="s">
        <v>1109</v>
      </c>
      <c r="E220" s="1" t="s">
        <v>18</v>
      </c>
      <c r="F220" s="2" t="s">
        <v>4262</v>
      </c>
      <c r="G220" s="1" t="s">
        <v>13</v>
      </c>
      <c r="H220" s="6" t="e" vm="72">
        <v>#VALUE!</v>
      </c>
    </row>
    <row r="221" spans="1:8" x14ac:dyDescent="0.25">
      <c r="A221" s="1">
        <v>253</v>
      </c>
      <c r="B221" s="1" t="s">
        <v>1111</v>
      </c>
      <c r="C221" s="1" t="s">
        <v>1112</v>
      </c>
      <c r="D221" s="1" t="s">
        <v>1113</v>
      </c>
      <c r="E221" s="1" t="s">
        <v>4045</v>
      </c>
      <c r="F221" s="2" t="s">
        <v>4263</v>
      </c>
      <c r="G221" s="1" t="s">
        <v>13</v>
      </c>
      <c r="H221" s="6" t="e" vm="11">
        <v>#VALUE!</v>
      </c>
    </row>
    <row r="222" spans="1:8" x14ac:dyDescent="0.25">
      <c r="A222" s="1">
        <v>254</v>
      </c>
      <c r="B222" s="1" t="s">
        <v>1115</v>
      </c>
      <c r="C222" s="1" t="s">
        <v>1116</v>
      </c>
      <c r="D222" s="1" t="s">
        <v>1117</v>
      </c>
      <c r="E222" s="1" t="s">
        <v>18</v>
      </c>
      <c r="F222" s="2" t="s">
        <v>4264</v>
      </c>
      <c r="G222" s="1" t="s">
        <v>13</v>
      </c>
      <c r="H222" s="6" t="e" vm="11">
        <v>#VALUE!</v>
      </c>
    </row>
    <row r="223" spans="1:8" x14ac:dyDescent="0.25">
      <c r="A223" s="1">
        <v>255</v>
      </c>
      <c r="B223" s="1" t="s">
        <v>1119</v>
      </c>
      <c r="C223" s="1" t="s">
        <v>1120</v>
      </c>
      <c r="D223" s="1" t="s">
        <v>1121</v>
      </c>
      <c r="E223" s="1" t="s">
        <v>18</v>
      </c>
      <c r="F223" s="2" t="s">
        <v>4265</v>
      </c>
      <c r="G223" s="1" t="s">
        <v>13</v>
      </c>
      <c r="H223" s="6" t="e" vm="81">
        <v>#VALUE!</v>
      </c>
    </row>
    <row r="224" spans="1:8" x14ac:dyDescent="0.25">
      <c r="A224" s="1">
        <v>256</v>
      </c>
      <c r="B224" s="1" t="s">
        <v>1123</v>
      </c>
      <c r="C224" s="1" t="s">
        <v>1124</v>
      </c>
      <c r="D224" s="1" t="s">
        <v>1125</v>
      </c>
      <c r="E224" s="1" t="s">
        <v>11</v>
      </c>
      <c r="F224" s="2" t="s">
        <v>4266</v>
      </c>
      <c r="G224" s="1" t="s">
        <v>13</v>
      </c>
      <c r="H224" s="6" t="e" vm="20">
        <v>#VALUE!</v>
      </c>
    </row>
    <row r="225" spans="1:8" x14ac:dyDescent="0.25">
      <c r="A225" s="1">
        <v>257</v>
      </c>
      <c r="B225" s="1" t="s">
        <v>1127</v>
      </c>
      <c r="C225" s="1" t="s">
        <v>1128</v>
      </c>
      <c r="D225" s="1" t="s">
        <v>1129</v>
      </c>
      <c r="E225" s="1" t="s">
        <v>11</v>
      </c>
      <c r="F225" s="2" t="s">
        <v>4267</v>
      </c>
      <c r="G225" s="1" t="s">
        <v>13</v>
      </c>
      <c r="H225" s="6" t="e" vm="15">
        <v>#VALUE!</v>
      </c>
    </row>
    <row r="226" spans="1:8" x14ac:dyDescent="0.25">
      <c r="A226" s="1">
        <v>258</v>
      </c>
      <c r="B226" s="1" t="s">
        <v>1131</v>
      </c>
      <c r="C226" s="1" t="s">
        <v>1132</v>
      </c>
      <c r="D226" s="1" t="s">
        <v>1133</v>
      </c>
      <c r="E226" s="1" t="s">
        <v>18</v>
      </c>
      <c r="F226" s="2" t="s">
        <v>4268</v>
      </c>
      <c r="G226" s="1" t="s">
        <v>13</v>
      </c>
      <c r="H226" s="6" t="s">
        <v>4040</v>
      </c>
    </row>
    <row r="227" spans="1:8" x14ac:dyDescent="0.25">
      <c r="A227" s="1">
        <v>259</v>
      </c>
      <c r="B227" s="1" t="s">
        <v>1135</v>
      </c>
      <c r="C227" s="1" t="s">
        <v>1136</v>
      </c>
      <c r="D227" s="1" t="s">
        <v>1137</v>
      </c>
      <c r="E227" s="1" t="s">
        <v>4045</v>
      </c>
      <c r="F227" s="2" t="s">
        <v>4269</v>
      </c>
      <c r="G227" s="1" t="s">
        <v>13</v>
      </c>
      <c r="H227" s="6" t="e" vm="1">
        <v>#VALUE!</v>
      </c>
    </row>
    <row r="228" spans="1:8" x14ac:dyDescent="0.25">
      <c r="A228" s="1">
        <v>260</v>
      </c>
      <c r="B228" s="1" t="s">
        <v>1139</v>
      </c>
      <c r="C228" s="1" t="s">
        <v>1140</v>
      </c>
      <c r="D228" s="1" t="s">
        <v>1141</v>
      </c>
      <c r="E228" s="1" t="s">
        <v>11</v>
      </c>
      <c r="F228" s="2" t="s">
        <v>4270</v>
      </c>
      <c r="G228" s="1" t="s">
        <v>13</v>
      </c>
      <c r="H228" s="6" t="e" vm="13">
        <v>#VALUE!</v>
      </c>
    </row>
    <row r="229" spans="1:8" x14ac:dyDescent="0.25">
      <c r="A229" s="1">
        <v>261</v>
      </c>
      <c r="B229" s="1" t="s">
        <v>1143</v>
      </c>
      <c r="C229" s="1" t="s">
        <v>1144</v>
      </c>
      <c r="D229" s="1" t="s">
        <v>1145</v>
      </c>
      <c r="E229" s="1" t="s">
        <v>4045</v>
      </c>
      <c r="F229" s="2" t="s">
        <v>4271</v>
      </c>
      <c r="G229" s="1" t="s">
        <v>13</v>
      </c>
      <c r="H229" s="6" t="e" vm="32">
        <v>#VALUE!</v>
      </c>
    </row>
    <row r="230" spans="1:8" x14ac:dyDescent="0.25">
      <c r="A230" s="1">
        <v>262</v>
      </c>
      <c r="B230" s="1" t="s">
        <v>1147</v>
      </c>
      <c r="C230" s="1" t="s">
        <v>1148</v>
      </c>
      <c r="D230" s="1" t="s">
        <v>1149</v>
      </c>
      <c r="E230" s="1" t="s">
        <v>18</v>
      </c>
      <c r="F230" s="2" t="s">
        <v>4272</v>
      </c>
      <c r="G230" s="1" t="s">
        <v>13</v>
      </c>
      <c r="H230" s="6" t="e" vm="29">
        <v>#VALUE!</v>
      </c>
    </row>
    <row r="231" spans="1:8" x14ac:dyDescent="0.25">
      <c r="A231" s="1">
        <v>263</v>
      </c>
      <c r="B231" s="1" t="s">
        <v>1151</v>
      </c>
      <c r="C231" s="1" t="s">
        <v>1152</v>
      </c>
      <c r="D231" s="1" t="s">
        <v>1153</v>
      </c>
      <c r="E231" s="1" t="s">
        <v>11</v>
      </c>
      <c r="F231" s="2" t="s">
        <v>4273</v>
      </c>
      <c r="G231" s="1" t="s">
        <v>13</v>
      </c>
      <c r="H231" s="6" t="e" vm="46">
        <v>#VALUE!</v>
      </c>
    </row>
    <row r="232" spans="1:8" x14ac:dyDescent="0.25">
      <c r="A232" s="1">
        <v>264</v>
      </c>
      <c r="B232" s="1" t="s">
        <v>1155</v>
      </c>
      <c r="C232" s="1" t="s">
        <v>1156</v>
      </c>
      <c r="D232" s="1" t="s">
        <v>1157</v>
      </c>
      <c r="E232" s="1" t="s">
        <v>18</v>
      </c>
      <c r="F232" s="2" t="s">
        <v>4274</v>
      </c>
      <c r="G232" s="1" t="s">
        <v>13</v>
      </c>
      <c r="H232" s="6" t="e" vm="30">
        <v>#VALUE!</v>
      </c>
    </row>
    <row r="233" spans="1:8" x14ac:dyDescent="0.25">
      <c r="A233" s="1">
        <v>265</v>
      </c>
      <c r="B233" s="1" t="s">
        <v>1159</v>
      </c>
      <c r="C233" s="1" t="s">
        <v>1160</v>
      </c>
      <c r="D233" s="1" t="s">
        <v>1161</v>
      </c>
      <c r="E233" s="1" t="s">
        <v>11</v>
      </c>
      <c r="F233" s="2" t="s">
        <v>4275</v>
      </c>
      <c r="G233" s="1" t="s">
        <v>13</v>
      </c>
      <c r="H233" s="6" t="e" vm="5">
        <v>#VALUE!</v>
      </c>
    </row>
    <row r="234" spans="1:8" x14ac:dyDescent="0.25">
      <c r="A234" s="1">
        <v>266</v>
      </c>
      <c r="B234" s="1" t="s">
        <v>1163</v>
      </c>
      <c r="C234" s="1" t="s">
        <v>1164</v>
      </c>
      <c r="D234" s="1" t="s">
        <v>1165</v>
      </c>
      <c r="E234" s="1" t="s">
        <v>11</v>
      </c>
      <c r="F234" s="2" t="s">
        <v>4276</v>
      </c>
      <c r="G234" s="1" t="s">
        <v>13</v>
      </c>
      <c r="H234" s="6" t="e" vm="55">
        <v>#VALUE!</v>
      </c>
    </row>
    <row r="235" spans="1:8" x14ac:dyDescent="0.25">
      <c r="A235" s="1">
        <v>267</v>
      </c>
      <c r="B235" s="1" t="s">
        <v>1167</v>
      </c>
      <c r="C235" s="1" t="s">
        <v>1168</v>
      </c>
      <c r="D235" s="1" t="s">
        <v>1169</v>
      </c>
      <c r="E235" s="1" t="s">
        <v>11</v>
      </c>
      <c r="F235" s="2" t="s">
        <v>4277</v>
      </c>
      <c r="G235" s="1" t="s">
        <v>13</v>
      </c>
      <c r="H235" s="6" t="e" vm="17">
        <v>#VALUE!</v>
      </c>
    </row>
    <row r="236" spans="1:8" x14ac:dyDescent="0.25">
      <c r="A236" s="1">
        <v>268</v>
      </c>
      <c r="B236" s="1" t="s">
        <v>1171</v>
      </c>
      <c r="C236" s="1" t="s">
        <v>1172</v>
      </c>
      <c r="D236" s="1" t="s">
        <v>1173</v>
      </c>
      <c r="E236" s="1" t="s">
        <v>11</v>
      </c>
      <c r="F236" s="2" t="s">
        <v>4278</v>
      </c>
      <c r="G236" s="1" t="s">
        <v>13</v>
      </c>
      <c r="H236" s="6" t="e" vm="15">
        <v>#VALUE!</v>
      </c>
    </row>
    <row r="237" spans="1:8" x14ac:dyDescent="0.25">
      <c r="A237" s="1">
        <v>269</v>
      </c>
      <c r="B237" s="1" t="s">
        <v>1175</v>
      </c>
      <c r="C237" s="1" t="s">
        <v>1176</v>
      </c>
      <c r="D237" s="1" t="s">
        <v>1177</v>
      </c>
      <c r="E237" s="1" t="s">
        <v>11</v>
      </c>
      <c r="F237" s="2" t="s">
        <v>4279</v>
      </c>
      <c r="G237" s="1" t="s">
        <v>13</v>
      </c>
      <c r="H237" s="6" t="e" vm="54">
        <v>#VALUE!</v>
      </c>
    </row>
    <row r="238" spans="1:8" x14ac:dyDescent="0.25">
      <c r="A238" s="1">
        <v>270</v>
      </c>
      <c r="B238" s="1" t="s">
        <v>1179</v>
      </c>
      <c r="C238" s="1" t="s">
        <v>1180</v>
      </c>
      <c r="D238" s="1" t="s">
        <v>1181</v>
      </c>
      <c r="E238" s="1" t="s">
        <v>4045</v>
      </c>
      <c r="F238" s="2" t="s">
        <v>4280</v>
      </c>
      <c r="G238" s="1" t="s">
        <v>13</v>
      </c>
      <c r="H238" s="6" t="e" vm="35">
        <v>#VALUE!</v>
      </c>
    </row>
    <row r="239" spans="1:8" x14ac:dyDescent="0.25">
      <c r="A239" s="1">
        <v>271</v>
      </c>
      <c r="B239" s="1" t="s">
        <v>1183</v>
      </c>
      <c r="C239" s="1" t="s">
        <v>1184</v>
      </c>
      <c r="D239" s="1" t="s">
        <v>1185</v>
      </c>
      <c r="E239" s="1" t="s">
        <v>18</v>
      </c>
      <c r="F239" s="2" t="s">
        <v>4281</v>
      </c>
      <c r="G239" s="1" t="s">
        <v>13</v>
      </c>
      <c r="H239" s="6" t="e" vm="82">
        <v>#VALUE!</v>
      </c>
    </row>
    <row r="240" spans="1:8" x14ac:dyDescent="0.25">
      <c r="A240" s="1">
        <v>272</v>
      </c>
      <c r="B240" s="1" t="s">
        <v>1188</v>
      </c>
      <c r="C240" s="1" t="s">
        <v>1189</v>
      </c>
      <c r="D240" s="1" t="s">
        <v>1190</v>
      </c>
      <c r="E240" s="1" t="s">
        <v>18</v>
      </c>
      <c r="F240" s="2" t="s">
        <v>4282</v>
      </c>
      <c r="G240" s="1" t="s">
        <v>13</v>
      </c>
      <c r="H240" s="6" t="e" vm="83">
        <v>#VALUE!</v>
      </c>
    </row>
    <row r="241" spans="1:8" x14ac:dyDescent="0.25">
      <c r="A241" s="1">
        <v>273</v>
      </c>
      <c r="B241" s="1" t="s">
        <v>1192</v>
      </c>
      <c r="C241" s="1" t="s">
        <v>1193</v>
      </c>
      <c r="D241" s="1" t="s">
        <v>1194</v>
      </c>
      <c r="E241" s="1" t="s">
        <v>18</v>
      </c>
      <c r="F241" s="2" t="s">
        <v>4283</v>
      </c>
      <c r="G241" s="1" t="s">
        <v>13</v>
      </c>
      <c r="H241" s="6" t="e" vm="67">
        <v>#VALUE!</v>
      </c>
    </row>
    <row r="242" spans="1:8" x14ac:dyDescent="0.25">
      <c r="A242" s="1">
        <v>274</v>
      </c>
      <c r="B242" s="1" t="s">
        <v>1196</v>
      </c>
      <c r="C242" s="1" t="s">
        <v>1197</v>
      </c>
      <c r="D242" s="1" t="s">
        <v>1198</v>
      </c>
      <c r="E242" s="1" t="s">
        <v>11</v>
      </c>
      <c r="F242" s="2" t="s">
        <v>4284</v>
      </c>
      <c r="G242" s="1" t="s">
        <v>13</v>
      </c>
      <c r="H242" s="6" t="e" vm="46">
        <v>#VALUE!</v>
      </c>
    </row>
    <row r="243" spans="1:8" x14ac:dyDescent="0.25">
      <c r="A243" s="1">
        <v>275</v>
      </c>
      <c r="B243" s="1" t="s">
        <v>1200</v>
      </c>
      <c r="C243" s="1" t="s">
        <v>1201</v>
      </c>
      <c r="D243" s="1" t="s">
        <v>1202</v>
      </c>
      <c r="E243" s="1" t="s">
        <v>11</v>
      </c>
      <c r="F243" s="2" t="s">
        <v>4285</v>
      </c>
      <c r="G243" s="1" t="s">
        <v>13</v>
      </c>
      <c r="H243" s="6" t="e" vm="47">
        <v>#VALUE!</v>
      </c>
    </row>
    <row r="244" spans="1:8" x14ac:dyDescent="0.25">
      <c r="A244" s="1">
        <v>276</v>
      </c>
      <c r="B244" s="1" t="s">
        <v>1204</v>
      </c>
      <c r="C244" s="1" t="s">
        <v>1205</v>
      </c>
      <c r="D244" s="1" t="s">
        <v>1206</v>
      </c>
      <c r="E244" s="1" t="s">
        <v>11</v>
      </c>
      <c r="F244" s="2" t="s">
        <v>4286</v>
      </c>
      <c r="G244" s="1" t="s">
        <v>13</v>
      </c>
      <c r="H244" s="6" t="e" vm="6">
        <v>#VALUE!</v>
      </c>
    </row>
    <row r="245" spans="1:8" x14ac:dyDescent="0.25">
      <c r="A245" s="1">
        <v>277</v>
      </c>
      <c r="B245" s="1" t="s">
        <v>1208</v>
      </c>
      <c r="C245" s="1" t="s">
        <v>1209</v>
      </c>
      <c r="D245" s="1" t="s">
        <v>1210</v>
      </c>
      <c r="E245" s="1" t="s">
        <v>11</v>
      </c>
      <c r="F245" s="2" t="s">
        <v>4287</v>
      </c>
      <c r="G245" s="1" t="s">
        <v>13</v>
      </c>
      <c r="H245" s="6" t="e" vm="84">
        <v>#VALUE!</v>
      </c>
    </row>
    <row r="246" spans="1:8" x14ac:dyDescent="0.25">
      <c r="A246" s="1">
        <v>278</v>
      </c>
      <c r="B246" s="1" t="s">
        <v>1213</v>
      </c>
      <c r="C246" s="1" t="s">
        <v>1214</v>
      </c>
      <c r="D246" s="1" t="s">
        <v>1215</v>
      </c>
      <c r="E246" s="1" t="s">
        <v>11</v>
      </c>
      <c r="F246" s="2" t="s">
        <v>4288</v>
      </c>
      <c r="G246" s="1" t="s">
        <v>13</v>
      </c>
      <c r="H246" s="6" t="s">
        <v>4041</v>
      </c>
    </row>
    <row r="247" spans="1:8" x14ac:dyDescent="0.25">
      <c r="A247" s="1">
        <v>279</v>
      </c>
      <c r="B247" s="1" t="s">
        <v>1217</v>
      </c>
      <c r="C247" s="1" t="s">
        <v>1218</v>
      </c>
      <c r="D247" s="1" t="s">
        <v>1219</v>
      </c>
      <c r="E247" s="1" t="s">
        <v>18</v>
      </c>
      <c r="F247" s="2" t="s">
        <v>4289</v>
      </c>
      <c r="G247" s="1" t="s">
        <v>13</v>
      </c>
      <c r="H247" s="6" t="e" vm="84">
        <v>#VALUE!</v>
      </c>
    </row>
    <row r="248" spans="1:8" x14ac:dyDescent="0.25">
      <c r="A248" s="1">
        <v>282</v>
      </c>
      <c r="B248" s="1" t="s">
        <v>1230</v>
      </c>
      <c r="C248" s="1" t="s">
        <v>1231</v>
      </c>
      <c r="D248" s="1" t="s">
        <v>1232</v>
      </c>
      <c r="E248" s="1" t="s">
        <v>11</v>
      </c>
      <c r="F248" s="2" t="s">
        <v>4290</v>
      </c>
      <c r="G248" s="1" t="s">
        <v>13</v>
      </c>
      <c r="H248" s="6" t="e" vm="25">
        <v>#VALUE!</v>
      </c>
    </row>
    <row r="249" spans="1:8" x14ac:dyDescent="0.25">
      <c r="A249" s="1">
        <v>283</v>
      </c>
      <c r="B249" s="1" t="s">
        <v>1234</v>
      </c>
      <c r="C249" s="1" t="s">
        <v>1235</v>
      </c>
      <c r="D249" s="1" t="s">
        <v>1236</v>
      </c>
      <c r="E249" s="1" t="s">
        <v>11</v>
      </c>
      <c r="F249" s="2" t="s">
        <v>4291</v>
      </c>
      <c r="G249" s="1" t="s">
        <v>13</v>
      </c>
      <c r="H249" s="6" t="e" vm="41">
        <v>#VALUE!</v>
      </c>
    </row>
    <row r="250" spans="1:8" x14ac:dyDescent="0.25">
      <c r="A250" s="1">
        <v>284</v>
      </c>
      <c r="B250" s="1" t="s">
        <v>1238</v>
      </c>
      <c r="C250" s="1" t="s">
        <v>1239</v>
      </c>
      <c r="D250" s="1" t="s">
        <v>1240</v>
      </c>
      <c r="E250" s="1" t="s">
        <v>11</v>
      </c>
      <c r="F250" s="2" t="s">
        <v>4292</v>
      </c>
      <c r="G250" s="1" t="s">
        <v>13</v>
      </c>
      <c r="H250" s="6" t="e" vm="20">
        <v>#VALUE!</v>
      </c>
    </row>
    <row r="251" spans="1:8" x14ac:dyDescent="0.25">
      <c r="A251" s="1">
        <v>286</v>
      </c>
      <c r="B251" s="1" t="s">
        <v>1246</v>
      </c>
      <c r="C251" s="1" t="s">
        <v>1247</v>
      </c>
      <c r="D251" s="1" t="s">
        <v>1248</v>
      </c>
      <c r="E251" s="1" t="s">
        <v>18</v>
      </c>
      <c r="F251" s="2" t="s">
        <v>4293</v>
      </c>
      <c r="G251" s="1" t="s">
        <v>13</v>
      </c>
      <c r="H251" s="6" t="e" vm="78">
        <v>#VALUE!</v>
      </c>
    </row>
    <row r="252" spans="1:8" x14ac:dyDescent="0.25">
      <c r="A252" s="1">
        <v>287</v>
      </c>
      <c r="B252" s="1" t="s">
        <v>1250</v>
      </c>
      <c r="C252" s="1" t="s">
        <v>1251</v>
      </c>
      <c r="D252" s="1" t="s">
        <v>1252</v>
      </c>
      <c r="E252" s="1" t="s">
        <v>18</v>
      </c>
      <c r="F252" s="2" t="s">
        <v>4294</v>
      </c>
      <c r="G252" s="1" t="s">
        <v>13</v>
      </c>
      <c r="H252" s="6" t="e" vm="50">
        <v>#VALUE!</v>
      </c>
    </row>
    <row r="253" spans="1:8" x14ac:dyDescent="0.25">
      <c r="A253" s="1">
        <v>290</v>
      </c>
      <c r="B253" s="1" t="s">
        <v>1262</v>
      </c>
      <c r="C253" s="1" t="s">
        <v>1263</v>
      </c>
      <c r="D253" s="1" t="s">
        <v>1264</v>
      </c>
      <c r="E253" s="1" t="s">
        <v>11</v>
      </c>
      <c r="F253" s="2" t="s">
        <v>4295</v>
      </c>
      <c r="G253" s="1" t="s">
        <v>13</v>
      </c>
      <c r="H253" s="6" t="e" vm="75">
        <v>#VALUE!</v>
      </c>
    </row>
    <row r="254" spans="1:8" x14ac:dyDescent="0.25">
      <c r="A254" s="1">
        <v>292</v>
      </c>
      <c r="B254" s="1" t="s">
        <v>1270</v>
      </c>
      <c r="C254" s="1" t="s">
        <v>1271</v>
      </c>
      <c r="D254" s="1" t="s">
        <v>1272</v>
      </c>
      <c r="E254" s="1" t="s">
        <v>18</v>
      </c>
      <c r="F254" s="2" t="s">
        <v>4296</v>
      </c>
      <c r="G254" s="1" t="s">
        <v>13</v>
      </c>
      <c r="H254" s="6" t="e" vm="35">
        <v>#VALUE!</v>
      </c>
    </row>
    <row r="255" spans="1:8" x14ac:dyDescent="0.25">
      <c r="A255" s="1">
        <v>293</v>
      </c>
      <c r="B255" s="1" t="s">
        <v>1274</v>
      </c>
      <c r="C255" s="1" t="s">
        <v>1275</v>
      </c>
      <c r="D255" s="1" t="s">
        <v>1276</v>
      </c>
      <c r="E255" s="1" t="s">
        <v>18</v>
      </c>
      <c r="F255" s="2" t="s">
        <v>4297</v>
      </c>
      <c r="G255" s="1" t="s">
        <v>13</v>
      </c>
      <c r="H255" s="6" t="e" vm="74">
        <v>#VALUE!</v>
      </c>
    </row>
    <row r="256" spans="1:8" x14ac:dyDescent="0.25">
      <c r="A256" s="1">
        <v>294</v>
      </c>
      <c r="B256" s="1" t="s">
        <v>1278</v>
      </c>
      <c r="C256" s="1" t="s">
        <v>1279</v>
      </c>
      <c r="D256" s="1" t="s">
        <v>1280</v>
      </c>
      <c r="E256" s="1" t="s">
        <v>18</v>
      </c>
      <c r="F256" s="2" t="s">
        <v>4298</v>
      </c>
      <c r="G256" s="1" t="s">
        <v>13</v>
      </c>
      <c r="H256" s="6" t="e" vm="23">
        <v>#VALUE!</v>
      </c>
    </row>
    <row r="257" spans="1:8" x14ac:dyDescent="0.25">
      <c r="A257" s="1">
        <v>296</v>
      </c>
      <c r="B257" s="1" t="s">
        <v>1286</v>
      </c>
      <c r="C257" s="1" t="s">
        <v>1287</v>
      </c>
      <c r="D257" s="1" t="s">
        <v>1288</v>
      </c>
      <c r="E257" s="1" t="s">
        <v>11</v>
      </c>
      <c r="F257" s="2" t="s">
        <v>4299</v>
      </c>
      <c r="G257" s="1" t="s">
        <v>13</v>
      </c>
      <c r="H257" s="6" t="e" vm="33">
        <v>#VALUE!</v>
      </c>
    </row>
    <row r="258" spans="1:8" x14ac:dyDescent="0.25">
      <c r="A258" s="1">
        <v>297</v>
      </c>
      <c r="B258" s="1" t="s">
        <v>1290</v>
      </c>
      <c r="C258" s="1" t="s">
        <v>1291</v>
      </c>
      <c r="D258" s="1" t="s">
        <v>1292</v>
      </c>
      <c r="E258" s="1" t="s">
        <v>18</v>
      </c>
      <c r="F258" s="2" t="s">
        <v>4300</v>
      </c>
      <c r="G258" s="1" t="s">
        <v>13</v>
      </c>
      <c r="H258" s="6" t="e" vm="74">
        <v>#VALUE!</v>
      </c>
    </row>
    <row r="259" spans="1:8" x14ac:dyDescent="0.25">
      <c r="A259" s="1">
        <v>298</v>
      </c>
      <c r="B259" s="1" t="s">
        <v>1294</v>
      </c>
      <c r="C259" s="1" t="s">
        <v>1295</v>
      </c>
      <c r="D259" s="1" t="s">
        <v>1296</v>
      </c>
      <c r="E259" s="1" t="s">
        <v>18</v>
      </c>
      <c r="F259" s="2" t="s">
        <v>4301</v>
      </c>
      <c r="G259" s="1" t="s">
        <v>13</v>
      </c>
      <c r="H259" s="6" t="e" vm="44">
        <v>#VALUE!</v>
      </c>
    </row>
    <row r="260" spans="1:8" x14ac:dyDescent="0.25">
      <c r="A260" s="1">
        <v>299</v>
      </c>
      <c r="B260" s="1" t="s">
        <v>1298</v>
      </c>
      <c r="C260" s="1" t="s">
        <v>1299</v>
      </c>
      <c r="D260" s="1" t="s">
        <v>1300</v>
      </c>
      <c r="E260" s="1" t="s">
        <v>18</v>
      </c>
      <c r="F260" s="2" t="s">
        <v>4302</v>
      </c>
      <c r="G260" s="1" t="s">
        <v>13</v>
      </c>
      <c r="H260" s="6" t="e" vm="84">
        <v>#VALUE!</v>
      </c>
    </row>
    <row r="261" spans="1:8" x14ac:dyDescent="0.25">
      <c r="A261" s="1">
        <v>300</v>
      </c>
      <c r="B261" s="1" t="s">
        <v>1302</v>
      </c>
      <c r="C261" s="1" t="s">
        <v>1303</v>
      </c>
      <c r="D261" s="1" t="s">
        <v>1304</v>
      </c>
      <c r="E261" s="1" t="s">
        <v>11</v>
      </c>
      <c r="F261" s="2" t="s">
        <v>4303</v>
      </c>
      <c r="G261" s="1" t="s">
        <v>13</v>
      </c>
      <c r="H261" s="6" t="e" vm="81">
        <v>#VALUE!</v>
      </c>
    </row>
    <row r="262" spans="1:8" x14ac:dyDescent="0.25">
      <c r="A262" s="1">
        <v>301</v>
      </c>
      <c r="B262" s="1" t="s">
        <v>1306</v>
      </c>
      <c r="C262" s="1" t="s">
        <v>1307</v>
      </c>
      <c r="D262" s="1" t="s">
        <v>1308</v>
      </c>
      <c r="E262" s="1" t="s">
        <v>11</v>
      </c>
      <c r="F262" s="2" t="s">
        <v>4304</v>
      </c>
      <c r="G262" s="1" t="s">
        <v>13</v>
      </c>
      <c r="H262" s="6" t="e" vm="50">
        <v>#VALUE!</v>
      </c>
    </row>
    <row r="263" spans="1:8" x14ac:dyDescent="0.25">
      <c r="A263" s="1">
        <v>303</v>
      </c>
      <c r="B263" s="1" t="s">
        <v>1314</v>
      </c>
      <c r="C263" s="1" t="s">
        <v>1315</v>
      </c>
      <c r="D263" s="1" t="s">
        <v>1316</v>
      </c>
      <c r="E263" s="1" t="s">
        <v>18</v>
      </c>
      <c r="F263" s="2" t="s">
        <v>4305</v>
      </c>
      <c r="G263" s="1" t="s">
        <v>13</v>
      </c>
      <c r="H263" s="6" t="e" vm="10">
        <v>#VALUE!</v>
      </c>
    </row>
    <row r="264" spans="1:8" x14ac:dyDescent="0.25">
      <c r="A264" s="1">
        <v>304</v>
      </c>
      <c r="B264" s="1" t="s">
        <v>1318</v>
      </c>
      <c r="C264" s="1" t="s">
        <v>1319</v>
      </c>
      <c r="D264" s="1" t="s">
        <v>1320</v>
      </c>
      <c r="E264" s="1" t="s">
        <v>11</v>
      </c>
      <c r="F264" s="2" t="s">
        <v>4306</v>
      </c>
      <c r="G264" s="1" t="s">
        <v>13</v>
      </c>
      <c r="H264" s="6" t="e" vm="53">
        <v>#VALUE!</v>
      </c>
    </row>
    <row r="265" spans="1:8" x14ac:dyDescent="0.25">
      <c r="A265" s="1">
        <v>305</v>
      </c>
      <c r="B265" s="1" t="s">
        <v>1322</v>
      </c>
      <c r="C265" s="1" t="s">
        <v>1323</v>
      </c>
      <c r="D265" s="1" t="s">
        <v>1324</v>
      </c>
      <c r="E265" s="1" t="s">
        <v>18</v>
      </c>
      <c r="F265" s="2" t="s">
        <v>4307</v>
      </c>
      <c r="G265" s="1" t="s">
        <v>13</v>
      </c>
      <c r="H265" s="6" t="e" vm="34">
        <v>#VALUE!</v>
      </c>
    </row>
    <row r="266" spans="1:8" x14ac:dyDescent="0.25">
      <c r="A266" s="1">
        <v>306</v>
      </c>
      <c r="B266" s="1" t="s">
        <v>1326</v>
      </c>
      <c r="C266" s="1" t="s">
        <v>1327</v>
      </c>
      <c r="D266" s="1" t="s">
        <v>1328</v>
      </c>
      <c r="E266" s="1" t="s">
        <v>18</v>
      </c>
      <c r="F266" s="2" t="s">
        <v>4308</v>
      </c>
      <c r="G266" s="1" t="s">
        <v>13</v>
      </c>
      <c r="H266" s="6" t="e" vm="52">
        <v>#VALUE!</v>
      </c>
    </row>
    <row r="267" spans="1:8" x14ac:dyDescent="0.25">
      <c r="A267" s="1">
        <v>307</v>
      </c>
      <c r="B267" s="1" t="s">
        <v>1330</v>
      </c>
      <c r="C267" s="1" t="s">
        <v>1331</v>
      </c>
      <c r="D267" s="1" t="s">
        <v>1332</v>
      </c>
      <c r="E267" s="1" t="s">
        <v>11</v>
      </c>
      <c r="F267" s="2" t="s">
        <v>4309</v>
      </c>
      <c r="G267" s="1" t="s">
        <v>13</v>
      </c>
      <c r="H267" s="6" t="e" vm="13">
        <v>#VALUE!</v>
      </c>
    </row>
    <row r="268" spans="1:8" x14ac:dyDescent="0.25">
      <c r="A268" s="1">
        <v>308</v>
      </c>
      <c r="B268" s="1" t="s">
        <v>1334</v>
      </c>
      <c r="C268" s="1" t="s">
        <v>1335</v>
      </c>
      <c r="D268" s="1" t="s">
        <v>1336</v>
      </c>
      <c r="E268" s="1" t="s">
        <v>18</v>
      </c>
      <c r="F268" s="2" t="s">
        <v>4310</v>
      </c>
      <c r="G268" s="1" t="s">
        <v>13</v>
      </c>
      <c r="H268" s="6" t="e" vm="73">
        <v>#VALUE!</v>
      </c>
    </row>
    <row r="269" spans="1:8" x14ac:dyDescent="0.25">
      <c r="A269" s="1">
        <v>309</v>
      </c>
      <c r="B269" s="1" t="s">
        <v>1338</v>
      </c>
      <c r="C269" s="1" t="s">
        <v>1339</v>
      </c>
      <c r="D269" s="1" t="s">
        <v>1340</v>
      </c>
      <c r="E269" s="1" t="s">
        <v>18</v>
      </c>
      <c r="F269" s="2" t="s">
        <v>4311</v>
      </c>
      <c r="G269" s="1" t="s">
        <v>13</v>
      </c>
      <c r="H269" s="6" t="e" vm="2">
        <v>#VALUE!</v>
      </c>
    </row>
    <row r="270" spans="1:8" x14ac:dyDescent="0.25">
      <c r="A270" s="1">
        <v>310</v>
      </c>
      <c r="B270" s="1" t="s">
        <v>1342</v>
      </c>
      <c r="C270" s="1" t="s">
        <v>1343</v>
      </c>
      <c r="D270" s="1" t="s">
        <v>1344</v>
      </c>
      <c r="E270" s="1" t="s">
        <v>11</v>
      </c>
      <c r="F270" s="2" t="s">
        <v>4312</v>
      </c>
      <c r="G270" s="1" t="s">
        <v>13</v>
      </c>
      <c r="H270" s="6" t="e" vm="9">
        <v>#VALUE!</v>
      </c>
    </row>
    <row r="271" spans="1:8" x14ac:dyDescent="0.25">
      <c r="A271" s="1">
        <v>311</v>
      </c>
      <c r="B271" s="1" t="s">
        <v>1346</v>
      </c>
      <c r="C271" s="1" t="s">
        <v>1347</v>
      </c>
      <c r="D271" s="1" t="s">
        <v>1348</v>
      </c>
      <c r="E271" s="1" t="s">
        <v>18</v>
      </c>
      <c r="F271" s="2" t="s">
        <v>4313</v>
      </c>
      <c r="G271" s="1" t="s">
        <v>13</v>
      </c>
      <c r="H271" s="6" t="s">
        <v>4039</v>
      </c>
    </row>
    <row r="272" spans="1:8" x14ac:dyDescent="0.25">
      <c r="A272" s="1">
        <v>312</v>
      </c>
      <c r="B272" s="1" t="s">
        <v>1350</v>
      </c>
      <c r="C272" s="1" t="s">
        <v>1351</v>
      </c>
      <c r="D272" s="1" t="s">
        <v>1352</v>
      </c>
      <c r="E272" s="1" t="s">
        <v>11</v>
      </c>
      <c r="F272" s="2" t="s">
        <v>4314</v>
      </c>
      <c r="G272" s="1" t="s">
        <v>13</v>
      </c>
      <c r="H272" s="6" t="e" vm="62">
        <v>#VALUE!</v>
      </c>
    </row>
    <row r="273" spans="1:8" x14ac:dyDescent="0.25">
      <c r="A273" s="1">
        <v>313</v>
      </c>
      <c r="B273" s="1" t="s">
        <v>1354</v>
      </c>
      <c r="C273" s="1" t="s">
        <v>1355</v>
      </c>
      <c r="D273" s="1" t="s">
        <v>1356</v>
      </c>
      <c r="E273" s="1" t="s">
        <v>18</v>
      </c>
      <c r="F273" s="2" t="s">
        <v>4315</v>
      </c>
      <c r="G273" s="1" t="s">
        <v>13</v>
      </c>
      <c r="H273" s="6" t="e" vm="70">
        <v>#VALUE!</v>
      </c>
    </row>
    <row r="274" spans="1:8" x14ac:dyDescent="0.25">
      <c r="A274" s="1">
        <v>314</v>
      </c>
      <c r="B274" s="1" t="s">
        <v>1358</v>
      </c>
      <c r="C274" s="1" t="s">
        <v>1359</v>
      </c>
      <c r="D274" s="1" t="s">
        <v>1360</v>
      </c>
      <c r="E274" s="1" t="s">
        <v>4045</v>
      </c>
      <c r="F274" s="2" t="s">
        <v>4316</v>
      </c>
      <c r="G274" s="1" t="s">
        <v>13</v>
      </c>
      <c r="H274" s="6" t="e" vm="27">
        <v>#VALUE!</v>
      </c>
    </row>
    <row r="275" spans="1:8" x14ac:dyDescent="0.25">
      <c r="A275" s="1">
        <v>315</v>
      </c>
      <c r="B275" s="1" t="s">
        <v>1362</v>
      </c>
      <c r="C275" s="1" t="s">
        <v>1363</v>
      </c>
      <c r="D275" s="1" t="s">
        <v>1364</v>
      </c>
      <c r="E275" s="1" t="s">
        <v>18</v>
      </c>
      <c r="F275" s="2" t="s">
        <v>4317</v>
      </c>
      <c r="G275" s="1" t="s">
        <v>13</v>
      </c>
      <c r="H275" s="6" t="e" vm="67">
        <v>#VALUE!</v>
      </c>
    </row>
    <row r="276" spans="1:8" x14ac:dyDescent="0.25">
      <c r="A276" s="1">
        <v>317</v>
      </c>
      <c r="B276" s="1" t="s">
        <v>1370</v>
      </c>
      <c r="C276" s="1" t="s">
        <v>1371</v>
      </c>
      <c r="D276" s="1" t="s">
        <v>1372</v>
      </c>
      <c r="E276" s="1" t="s">
        <v>11</v>
      </c>
      <c r="F276" s="2" t="s">
        <v>4318</v>
      </c>
      <c r="G276" s="1" t="s">
        <v>13</v>
      </c>
      <c r="H276" s="6" t="e" vm="69">
        <v>#VALUE!</v>
      </c>
    </row>
    <row r="277" spans="1:8" x14ac:dyDescent="0.25">
      <c r="A277" s="1">
        <v>319</v>
      </c>
      <c r="B277" s="1" t="s">
        <v>1378</v>
      </c>
      <c r="C277" s="1" t="s">
        <v>1379</v>
      </c>
      <c r="D277" s="1" t="s">
        <v>1380</v>
      </c>
      <c r="E277" s="1" t="s">
        <v>18</v>
      </c>
      <c r="F277" s="2" t="s">
        <v>4319</v>
      </c>
      <c r="G277" s="1" t="s">
        <v>13</v>
      </c>
      <c r="H277" s="6" t="e" vm="71">
        <v>#VALUE!</v>
      </c>
    </row>
    <row r="278" spans="1:8" x14ac:dyDescent="0.25">
      <c r="A278" s="1">
        <v>320</v>
      </c>
      <c r="B278" s="1" t="s">
        <v>576</v>
      </c>
      <c r="C278" s="1" t="s">
        <v>1382</v>
      </c>
      <c r="D278" s="1" t="s">
        <v>1383</v>
      </c>
      <c r="E278" s="1" t="s">
        <v>18</v>
      </c>
      <c r="F278" s="2" t="s">
        <v>4320</v>
      </c>
      <c r="G278" s="1" t="s">
        <v>13</v>
      </c>
      <c r="H278" s="6" t="e" vm="78">
        <v>#VALUE!</v>
      </c>
    </row>
    <row r="279" spans="1:8" x14ac:dyDescent="0.25">
      <c r="A279" s="1">
        <v>321</v>
      </c>
      <c r="B279" s="1" t="s">
        <v>1385</v>
      </c>
      <c r="C279" s="1" t="s">
        <v>1386</v>
      </c>
      <c r="D279" s="1" t="s">
        <v>1387</v>
      </c>
      <c r="E279" s="1" t="s">
        <v>18</v>
      </c>
      <c r="F279" s="2" t="s">
        <v>4321</v>
      </c>
      <c r="G279" s="1" t="s">
        <v>13</v>
      </c>
      <c r="H279" s="6" t="e" vm="18">
        <v>#VALUE!</v>
      </c>
    </row>
    <row r="280" spans="1:8" x14ac:dyDescent="0.25">
      <c r="A280" s="1">
        <v>322</v>
      </c>
      <c r="B280" s="1" t="s">
        <v>1389</v>
      </c>
      <c r="C280" s="1" t="s">
        <v>1390</v>
      </c>
      <c r="D280" s="1" t="s">
        <v>1391</v>
      </c>
      <c r="E280" s="1" t="s">
        <v>11</v>
      </c>
      <c r="F280" s="2" t="s">
        <v>4322</v>
      </c>
      <c r="G280" s="1" t="s">
        <v>13</v>
      </c>
      <c r="H280" s="6" t="e" vm="74">
        <v>#VALUE!</v>
      </c>
    </row>
    <row r="281" spans="1:8" x14ac:dyDescent="0.25">
      <c r="A281" s="1">
        <v>323</v>
      </c>
      <c r="B281" s="1" t="s">
        <v>1393</v>
      </c>
      <c r="C281" s="1" t="s">
        <v>1394</v>
      </c>
      <c r="D281" s="1" t="s">
        <v>1395</v>
      </c>
      <c r="E281" s="1" t="s">
        <v>11</v>
      </c>
      <c r="F281" s="2" t="s">
        <v>4323</v>
      </c>
      <c r="G281" s="1" t="s">
        <v>13</v>
      </c>
      <c r="H281" s="6" t="e" vm="25">
        <v>#VALUE!</v>
      </c>
    </row>
    <row r="282" spans="1:8" x14ac:dyDescent="0.25">
      <c r="A282" s="1">
        <v>324</v>
      </c>
      <c r="B282" s="1" t="s">
        <v>775</v>
      </c>
      <c r="C282" s="1" t="s">
        <v>1397</v>
      </c>
      <c r="D282" s="1" t="s">
        <v>1398</v>
      </c>
      <c r="E282" s="1" t="s">
        <v>18</v>
      </c>
      <c r="F282" s="2" t="s">
        <v>4324</v>
      </c>
      <c r="G282" s="1" t="s">
        <v>13</v>
      </c>
      <c r="H282" s="6" t="e" vm="42">
        <v>#VALUE!</v>
      </c>
    </row>
    <row r="283" spans="1:8" x14ac:dyDescent="0.25">
      <c r="A283" s="1">
        <v>325</v>
      </c>
      <c r="B283" s="1" t="s">
        <v>1400</v>
      </c>
      <c r="C283" s="1" t="s">
        <v>1401</v>
      </c>
      <c r="D283" s="1" t="s">
        <v>1402</v>
      </c>
      <c r="E283" s="1" t="s">
        <v>4045</v>
      </c>
      <c r="F283" s="2" t="s">
        <v>4325</v>
      </c>
      <c r="G283" s="1" t="s">
        <v>13</v>
      </c>
      <c r="H283" s="6" t="e" vm="31">
        <v>#VALUE!</v>
      </c>
    </row>
    <row r="284" spans="1:8" x14ac:dyDescent="0.25">
      <c r="A284" s="1">
        <v>326</v>
      </c>
      <c r="B284" s="1" t="s">
        <v>1404</v>
      </c>
      <c r="C284" s="1" t="s">
        <v>1405</v>
      </c>
      <c r="D284" s="1" t="s">
        <v>1406</v>
      </c>
      <c r="E284" s="1" t="s">
        <v>11</v>
      </c>
      <c r="F284" s="2" t="s">
        <v>4326</v>
      </c>
      <c r="G284" s="1" t="s">
        <v>13</v>
      </c>
      <c r="H284" s="6" t="e" vm="21">
        <v>#VALUE!</v>
      </c>
    </row>
    <row r="285" spans="1:8" x14ac:dyDescent="0.25">
      <c r="A285" s="1">
        <v>327</v>
      </c>
      <c r="B285" s="1" t="s">
        <v>1408</v>
      </c>
      <c r="C285" s="1" t="s">
        <v>1409</v>
      </c>
      <c r="D285" s="1" t="s">
        <v>1410</v>
      </c>
      <c r="E285" s="1" t="s">
        <v>18</v>
      </c>
      <c r="F285" s="2" t="s">
        <v>4327</v>
      </c>
      <c r="G285" s="1" t="s">
        <v>13</v>
      </c>
      <c r="H285" s="6" t="e" vm="9">
        <v>#VALUE!</v>
      </c>
    </row>
    <row r="286" spans="1:8" x14ac:dyDescent="0.25">
      <c r="A286" s="1">
        <v>328</v>
      </c>
      <c r="B286" s="1" t="s">
        <v>1412</v>
      </c>
      <c r="C286" s="1" t="s">
        <v>1413</v>
      </c>
      <c r="D286" s="1" t="s">
        <v>1414</v>
      </c>
      <c r="E286" s="1" t="s">
        <v>18</v>
      </c>
      <c r="F286" s="2" t="s">
        <v>4328</v>
      </c>
      <c r="G286" s="1" t="s">
        <v>13</v>
      </c>
      <c r="H286" s="6" t="e" vm="36">
        <v>#VALUE!</v>
      </c>
    </row>
    <row r="287" spans="1:8" x14ac:dyDescent="0.25">
      <c r="A287" s="1">
        <v>329</v>
      </c>
      <c r="B287" s="1" t="s">
        <v>1416</v>
      </c>
      <c r="C287" s="1" t="s">
        <v>1417</v>
      </c>
      <c r="D287" s="1" t="s">
        <v>1418</v>
      </c>
      <c r="E287" s="1" t="s">
        <v>11</v>
      </c>
      <c r="F287" s="2" t="s">
        <v>4329</v>
      </c>
      <c r="G287" s="1" t="s">
        <v>13</v>
      </c>
      <c r="H287" s="6" t="e" vm="53">
        <v>#VALUE!</v>
      </c>
    </row>
    <row r="288" spans="1:8" x14ac:dyDescent="0.25">
      <c r="A288" s="1">
        <v>330</v>
      </c>
      <c r="B288" s="1" t="s">
        <v>1420</v>
      </c>
      <c r="C288" s="1" t="s">
        <v>1421</v>
      </c>
      <c r="D288" s="1" t="s">
        <v>1422</v>
      </c>
      <c r="E288" s="1" t="s">
        <v>4045</v>
      </c>
      <c r="F288" s="2" t="s">
        <v>4330</v>
      </c>
      <c r="G288" s="1" t="s">
        <v>13</v>
      </c>
      <c r="H288" s="6" t="e" vm="12">
        <v>#VALUE!</v>
      </c>
    </row>
    <row r="289" spans="1:8" x14ac:dyDescent="0.25">
      <c r="A289" s="1">
        <v>331</v>
      </c>
      <c r="B289" s="1" t="s">
        <v>1424</v>
      </c>
      <c r="C289" s="1" t="s">
        <v>1425</v>
      </c>
      <c r="D289" s="1" t="s">
        <v>1426</v>
      </c>
      <c r="E289" s="1" t="s">
        <v>18</v>
      </c>
      <c r="F289" s="2" t="s">
        <v>4331</v>
      </c>
      <c r="G289" s="1" t="s">
        <v>13</v>
      </c>
      <c r="H289" s="6" t="e" vm="8">
        <v>#VALUE!</v>
      </c>
    </row>
    <row r="290" spans="1:8" x14ac:dyDescent="0.25">
      <c r="A290" s="1">
        <v>333</v>
      </c>
      <c r="B290" s="1" t="s">
        <v>1433</v>
      </c>
      <c r="C290" s="1" t="s">
        <v>1434</v>
      </c>
      <c r="D290" s="1" t="s">
        <v>1435</v>
      </c>
      <c r="E290" s="1" t="s">
        <v>4045</v>
      </c>
      <c r="F290" s="2" t="s">
        <v>4332</v>
      </c>
      <c r="G290" s="1" t="s">
        <v>13</v>
      </c>
      <c r="H290" s="6" t="e" vm="1">
        <v>#VALUE!</v>
      </c>
    </row>
    <row r="291" spans="1:8" x14ac:dyDescent="0.25">
      <c r="A291" s="1">
        <v>334</v>
      </c>
      <c r="B291" s="1" t="s">
        <v>1437</v>
      </c>
      <c r="C291" s="1" t="s">
        <v>1438</v>
      </c>
      <c r="D291" s="1" t="s">
        <v>1439</v>
      </c>
      <c r="E291" s="1" t="s">
        <v>11</v>
      </c>
      <c r="F291" s="2" t="s">
        <v>4333</v>
      </c>
      <c r="G291" s="1" t="s">
        <v>13</v>
      </c>
      <c r="H291" s="6" t="e" vm="34">
        <v>#VALUE!</v>
      </c>
    </row>
    <row r="292" spans="1:8" x14ac:dyDescent="0.25">
      <c r="A292" s="1">
        <v>335</v>
      </c>
      <c r="B292" s="1" t="s">
        <v>1441</v>
      </c>
      <c r="C292" s="1" t="s">
        <v>1442</v>
      </c>
      <c r="D292" s="1" t="s">
        <v>1443</v>
      </c>
      <c r="E292" s="1" t="s">
        <v>11</v>
      </c>
      <c r="F292" s="2" t="s">
        <v>4334</v>
      </c>
      <c r="G292" s="1" t="s">
        <v>13</v>
      </c>
      <c r="H292" s="6" t="e" vm="38">
        <v>#VALUE!</v>
      </c>
    </row>
    <row r="293" spans="1:8" x14ac:dyDescent="0.25">
      <c r="A293" s="1">
        <v>336</v>
      </c>
      <c r="B293" s="1" t="s">
        <v>1445</v>
      </c>
      <c r="C293" s="1" t="s">
        <v>1446</v>
      </c>
      <c r="D293" s="1" t="s">
        <v>1447</v>
      </c>
      <c r="E293" s="1" t="s">
        <v>11</v>
      </c>
      <c r="F293" s="2" t="s">
        <v>4335</v>
      </c>
      <c r="G293" s="1" t="s">
        <v>13</v>
      </c>
      <c r="H293" s="6" t="e" vm="21">
        <v>#VALUE!</v>
      </c>
    </row>
    <row r="294" spans="1:8" x14ac:dyDescent="0.25">
      <c r="A294" s="1">
        <v>337</v>
      </c>
      <c r="B294" s="1" t="s">
        <v>1449</v>
      </c>
      <c r="C294" s="1" t="s">
        <v>1450</v>
      </c>
      <c r="D294" s="1" t="s">
        <v>1451</v>
      </c>
      <c r="E294" s="1" t="s">
        <v>18</v>
      </c>
      <c r="F294" s="2" t="s">
        <v>4336</v>
      </c>
      <c r="G294" s="1" t="s">
        <v>13</v>
      </c>
      <c r="H294" s="6" t="e" vm="77">
        <v>#VALUE!</v>
      </c>
    </row>
    <row r="295" spans="1:8" x14ac:dyDescent="0.25">
      <c r="A295" s="1">
        <v>338</v>
      </c>
      <c r="B295" s="1" t="s">
        <v>1453</v>
      </c>
      <c r="C295" s="1" t="s">
        <v>1454</v>
      </c>
      <c r="D295" s="1" t="s">
        <v>1455</v>
      </c>
      <c r="E295" s="1" t="s">
        <v>18</v>
      </c>
      <c r="F295" s="2" t="s">
        <v>4337</v>
      </c>
      <c r="G295" s="1" t="s">
        <v>13</v>
      </c>
      <c r="H295" s="6" t="e" vm="48">
        <v>#VALUE!</v>
      </c>
    </row>
    <row r="296" spans="1:8" x14ac:dyDescent="0.25">
      <c r="A296" s="1">
        <v>339</v>
      </c>
      <c r="B296" s="1" t="s">
        <v>1457</v>
      </c>
      <c r="C296" s="1" t="s">
        <v>1458</v>
      </c>
      <c r="D296" s="1" t="s">
        <v>1459</v>
      </c>
      <c r="E296" s="1" t="s">
        <v>18</v>
      </c>
      <c r="F296" s="2" t="s">
        <v>4338</v>
      </c>
      <c r="G296" s="1" t="s">
        <v>13</v>
      </c>
      <c r="H296" s="6" t="e" vm="49">
        <v>#VALUE!</v>
      </c>
    </row>
    <row r="297" spans="1:8" x14ac:dyDescent="0.25">
      <c r="A297" s="1">
        <v>340</v>
      </c>
      <c r="B297" s="1" t="s">
        <v>1461</v>
      </c>
      <c r="C297" s="1" t="s">
        <v>1462</v>
      </c>
      <c r="D297" s="1" t="s">
        <v>1463</v>
      </c>
      <c r="E297" s="1" t="s">
        <v>11</v>
      </c>
      <c r="F297" s="2" t="s">
        <v>4339</v>
      </c>
      <c r="G297" s="1" t="s">
        <v>13</v>
      </c>
      <c r="H297" s="6" t="e" vm="27">
        <v>#VALUE!</v>
      </c>
    </row>
    <row r="298" spans="1:8" x14ac:dyDescent="0.25">
      <c r="A298" s="1">
        <v>342</v>
      </c>
      <c r="B298" s="1" t="s">
        <v>1469</v>
      </c>
      <c r="C298" s="1" t="s">
        <v>1470</v>
      </c>
      <c r="D298" s="1" t="s">
        <v>1471</v>
      </c>
      <c r="E298" s="1" t="s">
        <v>18</v>
      </c>
      <c r="F298" s="2" t="s">
        <v>4340</v>
      </c>
      <c r="G298" s="1" t="s">
        <v>13</v>
      </c>
      <c r="H298" s="6" t="e" vm="32">
        <v>#VALUE!</v>
      </c>
    </row>
    <row r="299" spans="1:8" x14ac:dyDescent="0.25">
      <c r="A299" s="1">
        <v>343</v>
      </c>
      <c r="B299" s="1" t="s">
        <v>1473</v>
      </c>
      <c r="C299" s="1" t="s">
        <v>1474</v>
      </c>
      <c r="D299" s="1" t="s">
        <v>1475</v>
      </c>
      <c r="E299" s="1" t="s">
        <v>4045</v>
      </c>
      <c r="F299" s="2" t="s">
        <v>4341</v>
      </c>
      <c r="G299" s="1" t="s">
        <v>13</v>
      </c>
      <c r="H299" s="6" t="e" vm="1">
        <v>#VALUE!</v>
      </c>
    </row>
    <row r="300" spans="1:8" x14ac:dyDescent="0.25">
      <c r="A300" s="1">
        <v>344</v>
      </c>
      <c r="B300" s="1" t="s">
        <v>1477</v>
      </c>
      <c r="C300" s="1" t="s">
        <v>1478</v>
      </c>
      <c r="D300" s="1" t="s">
        <v>1479</v>
      </c>
      <c r="E300" s="1" t="s">
        <v>11</v>
      </c>
      <c r="F300" s="2" t="s">
        <v>4342</v>
      </c>
      <c r="G300" s="1" t="s">
        <v>13</v>
      </c>
      <c r="H300" s="6" t="e" vm="37">
        <v>#VALUE!</v>
      </c>
    </row>
    <row r="301" spans="1:8" x14ac:dyDescent="0.25">
      <c r="A301" s="1">
        <v>345</v>
      </c>
      <c r="B301" s="1" t="s">
        <v>1481</v>
      </c>
      <c r="C301" s="1" t="s">
        <v>1482</v>
      </c>
      <c r="D301" s="1" t="s">
        <v>1483</v>
      </c>
      <c r="E301" s="1" t="s">
        <v>18</v>
      </c>
      <c r="F301" s="2" t="s">
        <v>4343</v>
      </c>
      <c r="G301" s="1" t="s">
        <v>13</v>
      </c>
      <c r="H301" s="6" t="s">
        <v>4040</v>
      </c>
    </row>
    <row r="302" spans="1:8" x14ac:dyDescent="0.25">
      <c r="A302" s="1">
        <v>346</v>
      </c>
      <c r="B302" s="1" t="s">
        <v>1485</v>
      </c>
      <c r="C302" s="1" t="s">
        <v>1486</v>
      </c>
      <c r="D302" s="1" t="s">
        <v>1487</v>
      </c>
      <c r="E302" s="1" t="s">
        <v>18</v>
      </c>
      <c r="F302" s="2" t="s">
        <v>4344</v>
      </c>
      <c r="G302" s="1" t="s">
        <v>13</v>
      </c>
      <c r="H302" s="6" t="e" vm="17">
        <v>#VALUE!</v>
      </c>
    </row>
    <row r="303" spans="1:8" x14ac:dyDescent="0.25">
      <c r="A303" s="1">
        <v>347</v>
      </c>
      <c r="B303" s="1" t="s">
        <v>1489</v>
      </c>
      <c r="C303" s="1" t="s">
        <v>1490</v>
      </c>
      <c r="D303" s="1" t="s">
        <v>1491</v>
      </c>
      <c r="E303" s="1" t="s">
        <v>18</v>
      </c>
      <c r="F303" s="2" t="s">
        <v>4345</v>
      </c>
      <c r="G303" s="1" t="s">
        <v>13</v>
      </c>
      <c r="H303" s="6" t="e" vm="51">
        <v>#VALUE!</v>
      </c>
    </row>
    <row r="304" spans="1:8" x14ac:dyDescent="0.25">
      <c r="A304" s="1">
        <v>348</v>
      </c>
      <c r="B304" s="1" t="s">
        <v>1493</v>
      </c>
      <c r="C304" s="1" t="s">
        <v>1494</v>
      </c>
      <c r="D304" s="1" t="s">
        <v>1495</v>
      </c>
      <c r="E304" s="1" t="s">
        <v>11</v>
      </c>
      <c r="F304" s="2" t="s">
        <v>4346</v>
      </c>
      <c r="G304" s="1" t="s">
        <v>13</v>
      </c>
      <c r="H304" s="6" t="e" vm="75">
        <v>#VALUE!</v>
      </c>
    </row>
    <row r="305" spans="1:8" x14ac:dyDescent="0.25">
      <c r="A305" s="1">
        <v>349</v>
      </c>
      <c r="B305" s="1" t="s">
        <v>393</v>
      </c>
      <c r="C305" s="1" t="s">
        <v>1497</v>
      </c>
      <c r="D305" s="1" t="s">
        <v>1498</v>
      </c>
      <c r="E305" s="1" t="s">
        <v>18</v>
      </c>
      <c r="F305" s="2" t="s">
        <v>4347</v>
      </c>
      <c r="G305" s="1" t="s">
        <v>13</v>
      </c>
      <c r="H305" s="6" t="e" vm="75">
        <v>#VALUE!</v>
      </c>
    </row>
    <row r="306" spans="1:8" x14ac:dyDescent="0.25">
      <c r="A306" s="1">
        <v>350</v>
      </c>
      <c r="B306" s="1" t="s">
        <v>1500</v>
      </c>
      <c r="C306" s="1" t="s">
        <v>1501</v>
      </c>
      <c r="D306" s="1" t="s">
        <v>1502</v>
      </c>
      <c r="E306" s="1" t="s">
        <v>11</v>
      </c>
      <c r="F306" s="2" t="s">
        <v>4348</v>
      </c>
      <c r="G306" s="1" t="s">
        <v>13</v>
      </c>
      <c r="H306" s="6" t="e" vm="62">
        <v>#VALUE!</v>
      </c>
    </row>
    <row r="307" spans="1:8" x14ac:dyDescent="0.25">
      <c r="A307" s="1">
        <v>351</v>
      </c>
      <c r="B307" s="1" t="s">
        <v>1504</v>
      </c>
      <c r="C307" s="1" t="s">
        <v>1505</v>
      </c>
      <c r="D307" s="1" t="s">
        <v>1506</v>
      </c>
      <c r="E307" s="1" t="s">
        <v>11</v>
      </c>
      <c r="F307" s="2" t="s">
        <v>4349</v>
      </c>
      <c r="G307" s="1" t="s">
        <v>13</v>
      </c>
      <c r="H307" s="6" t="e" vm="30">
        <v>#VALUE!</v>
      </c>
    </row>
    <row r="308" spans="1:8" x14ac:dyDescent="0.25">
      <c r="A308" s="1">
        <v>352</v>
      </c>
      <c r="B308" s="1" t="s">
        <v>1508</v>
      </c>
      <c r="C308" s="1" t="s">
        <v>1509</v>
      </c>
      <c r="D308" s="1" t="s">
        <v>1510</v>
      </c>
      <c r="E308" s="1" t="s">
        <v>18</v>
      </c>
      <c r="F308" s="2" t="s">
        <v>4350</v>
      </c>
      <c r="G308" s="1" t="s">
        <v>13</v>
      </c>
      <c r="H308" s="6" t="e" vm="80">
        <v>#VALUE!</v>
      </c>
    </row>
    <row r="309" spans="1:8" x14ac:dyDescent="0.25">
      <c r="A309" s="1">
        <v>353</v>
      </c>
      <c r="B309" s="1" t="s">
        <v>1512</v>
      </c>
      <c r="C309" s="1" t="s">
        <v>1513</v>
      </c>
      <c r="D309" s="1" t="s">
        <v>1514</v>
      </c>
      <c r="E309" s="1" t="s">
        <v>18</v>
      </c>
      <c r="F309" s="2" t="s">
        <v>4351</v>
      </c>
      <c r="G309" s="1" t="s">
        <v>13</v>
      </c>
      <c r="H309" s="6" t="e" vm="31">
        <v>#VALUE!</v>
      </c>
    </row>
    <row r="310" spans="1:8" x14ac:dyDescent="0.25">
      <c r="A310" s="1">
        <v>354</v>
      </c>
      <c r="B310" s="1" t="s">
        <v>1516</v>
      </c>
      <c r="C310" s="1" t="s">
        <v>1517</v>
      </c>
      <c r="D310" s="1" t="s">
        <v>1518</v>
      </c>
      <c r="E310" s="1" t="s">
        <v>11</v>
      </c>
      <c r="F310" s="2" t="s">
        <v>4352</v>
      </c>
      <c r="G310" s="1" t="s">
        <v>13</v>
      </c>
      <c r="H310" s="6" t="e" vm="65">
        <v>#VALUE!</v>
      </c>
    </row>
    <row r="311" spans="1:8" x14ac:dyDescent="0.25">
      <c r="A311" s="1">
        <v>355</v>
      </c>
      <c r="B311" s="1" t="s">
        <v>1520</v>
      </c>
      <c r="C311" s="1" t="s">
        <v>1521</v>
      </c>
      <c r="D311" s="1" t="s">
        <v>1522</v>
      </c>
      <c r="E311" s="1" t="s">
        <v>18</v>
      </c>
      <c r="F311" s="2" t="s">
        <v>4353</v>
      </c>
      <c r="G311" s="1" t="s">
        <v>13</v>
      </c>
      <c r="H311" s="6" t="e" vm="59">
        <v>#VALUE!</v>
      </c>
    </row>
    <row r="312" spans="1:8" x14ac:dyDescent="0.25">
      <c r="A312" s="1">
        <v>356</v>
      </c>
      <c r="B312" s="1" t="s">
        <v>1524</v>
      </c>
      <c r="C312" s="1" t="s">
        <v>1525</v>
      </c>
      <c r="D312" s="1" t="s">
        <v>1526</v>
      </c>
      <c r="E312" s="1" t="s">
        <v>4045</v>
      </c>
      <c r="F312" s="2" t="s">
        <v>4354</v>
      </c>
      <c r="G312" s="1" t="s">
        <v>13</v>
      </c>
      <c r="H312" s="6" t="e" vm="56">
        <v>#VALUE!</v>
      </c>
    </row>
    <row r="313" spans="1:8" x14ac:dyDescent="0.25">
      <c r="A313" s="1">
        <v>357</v>
      </c>
      <c r="B313" s="1" t="s">
        <v>1528</v>
      </c>
      <c r="C313" s="1" t="s">
        <v>1529</v>
      </c>
      <c r="D313" s="1" t="s">
        <v>1530</v>
      </c>
      <c r="E313" s="1" t="s">
        <v>11</v>
      </c>
      <c r="F313" s="2" t="s">
        <v>4355</v>
      </c>
      <c r="G313" s="1" t="s">
        <v>13</v>
      </c>
      <c r="H313" s="6" t="e" vm="31">
        <v>#VALUE!</v>
      </c>
    </row>
    <row r="314" spans="1:8" x14ac:dyDescent="0.25">
      <c r="A314" s="1">
        <v>359</v>
      </c>
      <c r="B314" s="1" t="s">
        <v>1535</v>
      </c>
      <c r="C314" s="1" t="s">
        <v>1536</v>
      </c>
      <c r="D314" s="1" t="s">
        <v>1537</v>
      </c>
      <c r="E314" s="1" t="s">
        <v>11</v>
      </c>
      <c r="F314" s="2" t="s">
        <v>4356</v>
      </c>
      <c r="G314" s="1" t="s">
        <v>13</v>
      </c>
      <c r="H314" s="6" t="e" vm="16">
        <v>#VALUE!</v>
      </c>
    </row>
    <row r="315" spans="1:8" x14ac:dyDescent="0.25">
      <c r="A315" s="1">
        <v>360</v>
      </c>
      <c r="B315" s="1" t="s">
        <v>1539</v>
      </c>
      <c r="C315" s="1" t="s">
        <v>1540</v>
      </c>
      <c r="D315" s="1" t="s">
        <v>1541</v>
      </c>
      <c r="E315" s="1" t="s">
        <v>18</v>
      </c>
      <c r="F315" s="2" t="s">
        <v>4357</v>
      </c>
      <c r="G315" s="1" t="s">
        <v>13</v>
      </c>
      <c r="H315" s="6" t="e" vm="56">
        <v>#VALUE!</v>
      </c>
    </row>
    <row r="316" spans="1:8" x14ac:dyDescent="0.25">
      <c r="A316" s="1">
        <v>361</v>
      </c>
      <c r="B316" s="1" t="s">
        <v>1543</v>
      </c>
      <c r="C316" s="1" t="s">
        <v>1544</v>
      </c>
      <c r="D316" s="1" t="s">
        <v>1545</v>
      </c>
      <c r="E316" s="1" t="s">
        <v>11</v>
      </c>
      <c r="F316" s="2" t="s">
        <v>4358</v>
      </c>
      <c r="G316" s="1" t="s">
        <v>13</v>
      </c>
      <c r="H316" s="6" t="e" vm="38">
        <v>#VALUE!</v>
      </c>
    </row>
    <row r="317" spans="1:8" x14ac:dyDescent="0.25">
      <c r="A317" s="1">
        <v>362</v>
      </c>
      <c r="B317" s="1" t="s">
        <v>1547</v>
      </c>
      <c r="C317" s="1" t="s">
        <v>1548</v>
      </c>
      <c r="D317" s="1" t="s">
        <v>1549</v>
      </c>
      <c r="E317" s="1" t="s">
        <v>18</v>
      </c>
      <c r="F317" s="2" t="s">
        <v>4359</v>
      </c>
      <c r="G317" s="1" t="s">
        <v>13</v>
      </c>
      <c r="H317" s="6" t="e" vm="9">
        <v>#VALUE!</v>
      </c>
    </row>
    <row r="318" spans="1:8" x14ac:dyDescent="0.25">
      <c r="A318" s="1">
        <v>363</v>
      </c>
      <c r="B318" s="1" t="s">
        <v>1551</v>
      </c>
      <c r="C318" s="1" t="s">
        <v>1552</v>
      </c>
      <c r="D318" s="1" t="s">
        <v>1553</v>
      </c>
      <c r="E318" s="1" t="s">
        <v>18</v>
      </c>
      <c r="F318" s="2" t="s">
        <v>4360</v>
      </c>
      <c r="G318" s="1" t="s">
        <v>13</v>
      </c>
      <c r="H318" s="6" t="e" vm="74">
        <v>#VALUE!</v>
      </c>
    </row>
    <row r="319" spans="1:8" x14ac:dyDescent="0.25">
      <c r="A319" s="1">
        <v>364</v>
      </c>
      <c r="B319" s="1" t="s">
        <v>1555</v>
      </c>
      <c r="C319" s="1" t="s">
        <v>1556</v>
      </c>
      <c r="D319" s="1" t="s">
        <v>1557</v>
      </c>
      <c r="E319" s="1" t="s">
        <v>18</v>
      </c>
      <c r="F319" s="2" t="s">
        <v>4361</v>
      </c>
      <c r="G319" s="1" t="s">
        <v>13</v>
      </c>
      <c r="H319" s="6" t="e" vm="52">
        <v>#VALUE!</v>
      </c>
    </row>
    <row r="320" spans="1:8" x14ac:dyDescent="0.25">
      <c r="A320" s="1">
        <v>367</v>
      </c>
      <c r="B320" s="1" t="s">
        <v>1567</v>
      </c>
      <c r="C320" s="1" t="s">
        <v>1568</v>
      </c>
      <c r="D320" s="1" t="s">
        <v>1569</v>
      </c>
      <c r="E320" s="1" t="s">
        <v>11</v>
      </c>
      <c r="F320" s="2" t="s">
        <v>4362</v>
      </c>
      <c r="G320" s="1" t="s">
        <v>13</v>
      </c>
      <c r="H320" s="6" t="e" vm="59">
        <v>#VALUE!</v>
      </c>
    </row>
    <row r="321" spans="1:8" x14ac:dyDescent="0.25">
      <c r="A321" s="1">
        <v>368</v>
      </c>
      <c r="B321" s="1" t="s">
        <v>1571</v>
      </c>
      <c r="C321" s="1" t="s">
        <v>1572</v>
      </c>
      <c r="D321" s="1" t="s">
        <v>1573</v>
      </c>
      <c r="E321" s="1" t="s">
        <v>18</v>
      </c>
      <c r="F321" s="2" t="s">
        <v>4363</v>
      </c>
      <c r="G321" s="1" t="s">
        <v>13</v>
      </c>
      <c r="H321" s="6" t="e" vm="58">
        <v>#VALUE!</v>
      </c>
    </row>
    <row r="322" spans="1:8" x14ac:dyDescent="0.25">
      <c r="A322" s="1">
        <v>369</v>
      </c>
      <c r="B322" s="1" t="s">
        <v>1575</v>
      </c>
      <c r="C322" s="1" t="s">
        <v>1576</v>
      </c>
      <c r="D322" s="1" t="s">
        <v>1577</v>
      </c>
      <c r="E322" s="1" t="s">
        <v>18</v>
      </c>
      <c r="F322" s="2" t="s">
        <v>4364</v>
      </c>
      <c r="G322" s="1" t="s">
        <v>13</v>
      </c>
      <c r="H322" s="6" t="e" vm="27">
        <v>#VALUE!</v>
      </c>
    </row>
    <row r="323" spans="1:8" x14ac:dyDescent="0.25">
      <c r="A323" s="1">
        <v>370</v>
      </c>
      <c r="B323" s="1" t="s">
        <v>1579</v>
      </c>
      <c r="C323" s="1" t="s">
        <v>1580</v>
      </c>
      <c r="D323" s="1" t="s">
        <v>1581</v>
      </c>
      <c r="E323" s="1" t="s">
        <v>18</v>
      </c>
      <c r="F323" s="2" t="s">
        <v>4365</v>
      </c>
      <c r="G323" s="1" t="s">
        <v>13</v>
      </c>
      <c r="H323" s="6" t="e" vm="48">
        <v>#VALUE!</v>
      </c>
    </row>
    <row r="324" spans="1:8" x14ac:dyDescent="0.25">
      <c r="A324" s="1">
        <v>371</v>
      </c>
      <c r="B324" s="1" t="s">
        <v>1583</v>
      </c>
      <c r="C324" s="1" t="s">
        <v>1584</v>
      </c>
      <c r="D324" s="1" t="s">
        <v>1585</v>
      </c>
      <c r="E324" s="1" t="s">
        <v>18</v>
      </c>
      <c r="F324" s="2" t="s">
        <v>4366</v>
      </c>
      <c r="G324" s="1" t="s">
        <v>13</v>
      </c>
      <c r="H324" s="6" t="e" vm="29">
        <v>#VALUE!</v>
      </c>
    </row>
    <row r="325" spans="1:8" x14ac:dyDescent="0.25">
      <c r="A325" s="1">
        <v>372</v>
      </c>
      <c r="B325" s="1" t="s">
        <v>1587</v>
      </c>
      <c r="C325" s="1" t="s">
        <v>1588</v>
      </c>
      <c r="D325" s="1" t="s">
        <v>1589</v>
      </c>
      <c r="E325" s="1" t="s">
        <v>18</v>
      </c>
      <c r="F325" s="2" t="s">
        <v>4367</v>
      </c>
      <c r="G325" s="1" t="s">
        <v>13</v>
      </c>
      <c r="H325" s="6" t="s">
        <v>4041</v>
      </c>
    </row>
    <row r="326" spans="1:8" x14ac:dyDescent="0.25">
      <c r="A326" s="1">
        <v>373</v>
      </c>
      <c r="B326" s="1" t="s">
        <v>1591</v>
      </c>
      <c r="C326" s="1" t="s">
        <v>1592</v>
      </c>
      <c r="D326" s="1" t="s">
        <v>1593</v>
      </c>
      <c r="E326" s="1" t="s">
        <v>11</v>
      </c>
      <c r="F326" s="2" t="s">
        <v>4368</v>
      </c>
      <c r="G326" s="1" t="s">
        <v>13</v>
      </c>
      <c r="H326" s="6" t="e" vm="47">
        <v>#VALUE!</v>
      </c>
    </row>
    <row r="327" spans="1:8" x14ac:dyDescent="0.25">
      <c r="A327" s="1">
        <v>374</v>
      </c>
      <c r="B327" s="1" t="s">
        <v>1595</v>
      </c>
      <c r="C327" s="1" t="s">
        <v>1596</v>
      </c>
      <c r="D327" s="1" t="s">
        <v>1597</v>
      </c>
      <c r="E327" s="1" t="s">
        <v>11</v>
      </c>
      <c r="F327" s="2" t="s">
        <v>4369</v>
      </c>
      <c r="G327" s="1" t="s">
        <v>13</v>
      </c>
      <c r="H327" s="6" t="e" vm="66">
        <v>#VALUE!</v>
      </c>
    </row>
    <row r="328" spans="1:8" x14ac:dyDescent="0.25">
      <c r="A328" s="1">
        <v>375</v>
      </c>
      <c r="B328" s="1" t="s">
        <v>1599</v>
      </c>
      <c r="C328" s="1" t="s">
        <v>1576</v>
      </c>
      <c r="D328" s="1" t="s">
        <v>1600</v>
      </c>
      <c r="E328" s="1" t="s">
        <v>4045</v>
      </c>
      <c r="F328" s="2" t="s">
        <v>4370</v>
      </c>
      <c r="G328" s="1" t="s">
        <v>13</v>
      </c>
      <c r="H328" s="6" t="e" vm="60">
        <v>#VALUE!</v>
      </c>
    </row>
    <row r="329" spans="1:8" x14ac:dyDescent="0.25">
      <c r="A329" s="1">
        <v>376</v>
      </c>
      <c r="B329" s="1" t="s">
        <v>1602</v>
      </c>
      <c r="C329" s="1" t="s">
        <v>1603</v>
      </c>
      <c r="D329" s="1" t="s">
        <v>1604</v>
      </c>
      <c r="E329" s="1" t="s">
        <v>18</v>
      </c>
      <c r="F329" s="2" t="s">
        <v>4371</v>
      </c>
      <c r="G329" s="1" t="s">
        <v>13</v>
      </c>
      <c r="H329" s="6" t="e" vm="8">
        <v>#VALUE!</v>
      </c>
    </row>
    <row r="330" spans="1:8" x14ac:dyDescent="0.25">
      <c r="A330" s="1">
        <v>377</v>
      </c>
      <c r="B330" s="1" t="s">
        <v>1606</v>
      </c>
      <c r="C330" s="1" t="s">
        <v>1607</v>
      </c>
      <c r="D330" s="1" t="s">
        <v>1608</v>
      </c>
      <c r="E330" s="1" t="s">
        <v>18</v>
      </c>
      <c r="F330" s="2" t="s">
        <v>4372</v>
      </c>
      <c r="G330" s="1" t="s">
        <v>13</v>
      </c>
      <c r="H330" s="6" t="e" vm="31">
        <v>#VALUE!</v>
      </c>
    </row>
    <row r="331" spans="1:8" x14ac:dyDescent="0.25">
      <c r="A331" s="1">
        <v>378</v>
      </c>
      <c r="B331" s="1" t="s">
        <v>1610</v>
      </c>
      <c r="C331" s="1" t="s">
        <v>1611</v>
      </c>
      <c r="D331" s="1" t="s">
        <v>1612</v>
      </c>
      <c r="E331" s="1" t="s">
        <v>18</v>
      </c>
      <c r="F331" s="2" t="s">
        <v>4373</v>
      </c>
      <c r="G331" s="1" t="s">
        <v>13</v>
      </c>
      <c r="H331" s="6" t="e" vm="24">
        <v>#VALUE!</v>
      </c>
    </row>
    <row r="332" spans="1:8" x14ac:dyDescent="0.25">
      <c r="A332" s="1">
        <v>379</v>
      </c>
      <c r="B332" s="1" t="s">
        <v>1614</v>
      </c>
      <c r="C332" s="1" t="s">
        <v>1615</v>
      </c>
      <c r="D332" s="1" t="s">
        <v>1616</v>
      </c>
      <c r="E332" s="1" t="s">
        <v>18</v>
      </c>
      <c r="F332" s="2" t="s">
        <v>4374</v>
      </c>
      <c r="G332" s="1" t="s">
        <v>13</v>
      </c>
      <c r="H332" s="6" t="e" vm="46">
        <v>#VALUE!</v>
      </c>
    </row>
    <row r="333" spans="1:8" x14ac:dyDescent="0.25">
      <c r="A333" s="1">
        <v>380</v>
      </c>
      <c r="B333" s="1" t="s">
        <v>1618</v>
      </c>
      <c r="C333" s="1" t="s">
        <v>1619</v>
      </c>
      <c r="D333" s="1" t="s">
        <v>1620</v>
      </c>
      <c r="E333" s="1" t="s">
        <v>4045</v>
      </c>
      <c r="F333" s="2" t="s">
        <v>4375</v>
      </c>
      <c r="G333" s="1" t="s">
        <v>13</v>
      </c>
      <c r="H333" s="6" t="e" vm="48">
        <v>#VALUE!</v>
      </c>
    </row>
    <row r="334" spans="1:8" x14ac:dyDescent="0.25">
      <c r="A334" s="1">
        <v>381</v>
      </c>
      <c r="B334" s="1" t="s">
        <v>1622</v>
      </c>
      <c r="C334" s="1" t="s">
        <v>1623</v>
      </c>
      <c r="D334" s="1" t="s">
        <v>1624</v>
      </c>
      <c r="E334" s="1" t="s">
        <v>18</v>
      </c>
      <c r="F334" s="2" t="s">
        <v>4376</v>
      </c>
      <c r="G334" s="1" t="s">
        <v>13</v>
      </c>
      <c r="H334" s="6" t="e" vm="32">
        <v>#VALUE!</v>
      </c>
    </row>
    <row r="335" spans="1:8" x14ac:dyDescent="0.25">
      <c r="A335" s="1">
        <v>382</v>
      </c>
      <c r="B335" s="1" t="s">
        <v>1626</v>
      </c>
      <c r="C335" s="1" t="s">
        <v>1627</v>
      </c>
      <c r="D335" s="1" t="s">
        <v>1628</v>
      </c>
      <c r="E335" s="1" t="s">
        <v>11</v>
      </c>
      <c r="F335" s="2" t="s">
        <v>4377</v>
      </c>
      <c r="G335" s="1" t="s">
        <v>13</v>
      </c>
      <c r="H335" s="6" t="e" vm="29">
        <v>#VALUE!</v>
      </c>
    </row>
    <row r="336" spans="1:8" x14ac:dyDescent="0.25">
      <c r="A336" s="1">
        <v>384</v>
      </c>
      <c r="B336" s="1" t="s">
        <v>1635</v>
      </c>
      <c r="C336" s="1" t="s">
        <v>1636</v>
      </c>
      <c r="D336" s="1" t="s">
        <v>1637</v>
      </c>
      <c r="E336" s="1" t="s">
        <v>11</v>
      </c>
      <c r="F336" s="2" t="s">
        <v>4378</v>
      </c>
      <c r="G336" s="1" t="s">
        <v>13</v>
      </c>
      <c r="H336" s="6" t="e" vm="13">
        <v>#VALUE!</v>
      </c>
    </row>
    <row r="337" spans="1:8" x14ac:dyDescent="0.25">
      <c r="A337" s="1">
        <v>385</v>
      </c>
      <c r="B337" s="1" t="s">
        <v>1639</v>
      </c>
      <c r="C337" s="1" t="s">
        <v>1640</v>
      </c>
      <c r="D337" s="1" t="s">
        <v>1641</v>
      </c>
      <c r="E337" s="1" t="s">
        <v>18</v>
      </c>
      <c r="F337" s="2" t="s">
        <v>4379</v>
      </c>
      <c r="G337" s="1" t="s">
        <v>13</v>
      </c>
      <c r="H337" s="6" t="e" vm="8">
        <v>#VALUE!</v>
      </c>
    </row>
    <row r="338" spans="1:8" x14ac:dyDescent="0.25">
      <c r="A338" s="1">
        <v>387</v>
      </c>
      <c r="B338" s="1" t="s">
        <v>1647</v>
      </c>
      <c r="C338" s="1" t="s">
        <v>1648</v>
      </c>
      <c r="D338" s="1" t="s">
        <v>1649</v>
      </c>
      <c r="E338" s="1" t="s">
        <v>18</v>
      </c>
      <c r="F338" s="2" t="s">
        <v>4380</v>
      </c>
      <c r="G338" s="1" t="s">
        <v>13</v>
      </c>
      <c r="H338" s="6" t="e" vm="63">
        <v>#VALUE!</v>
      </c>
    </row>
    <row r="339" spans="1:8" x14ac:dyDescent="0.25">
      <c r="A339" s="1">
        <v>388</v>
      </c>
      <c r="B339" s="1" t="s">
        <v>1651</v>
      </c>
      <c r="C339" s="1" t="s">
        <v>1652</v>
      </c>
      <c r="D339" s="1" t="s">
        <v>1653</v>
      </c>
      <c r="E339" s="1" t="s">
        <v>11</v>
      </c>
      <c r="F339" s="2" t="s">
        <v>4381</v>
      </c>
      <c r="G339" s="1" t="s">
        <v>13</v>
      </c>
      <c r="H339" s="6" t="s">
        <v>4041</v>
      </c>
    </row>
    <row r="340" spans="1:8" x14ac:dyDescent="0.25">
      <c r="A340" s="1">
        <v>389</v>
      </c>
      <c r="B340" s="1" t="s">
        <v>1655</v>
      </c>
      <c r="C340" s="1" t="s">
        <v>1656</v>
      </c>
      <c r="D340" s="1" t="s">
        <v>1657</v>
      </c>
      <c r="E340" s="1" t="s">
        <v>18</v>
      </c>
      <c r="F340" s="2" t="s">
        <v>4382</v>
      </c>
      <c r="G340" s="1" t="s">
        <v>13</v>
      </c>
      <c r="H340" s="6" t="e" vm="36">
        <v>#VALUE!</v>
      </c>
    </row>
    <row r="341" spans="1:8" x14ac:dyDescent="0.25">
      <c r="A341" s="1">
        <v>390</v>
      </c>
      <c r="B341" s="1" t="s">
        <v>1659</v>
      </c>
      <c r="C341" s="1" t="s">
        <v>1660</v>
      </c>
      <c r="D341" s="1" t="s">
        <v>1661</v>
      </c>
      <c r="E341" s="1" t="s">
        <v>11</v>
      </c>
      <c r="F341" s="2" t="s">
        <v>4383</v>
      </c>
      <c r="G341" s="1" t="s">
        <v>13</v>
      </c>
      <c r="H341" s="6" t="e" vm="36">
        <v>#VALUE!</v>
      </c>
    </row>
    <row r="342" spans="1:8" x14ac:dyDescent="0.25">
      <c r="A342" s="1">
        <v>391</v>
      </c>
      <c r="B342" s="1" t="s">
        <v>1663</v>
      </c>
      <c r="C342" s="1" t="s">
        <v>1664</v>
      </c>
      <c r="D342" s="1" t="s">
        <v>1665</v>
      </c>
      <c r="E342" s="1" t="s">
        <v>11</v>
      </c>
      <c r="F342" s="2" t="s">
        <v>4384</v>
      </c>
      <c r="G342" s="1" t="s">
        <v>13</v>
      </c>
      <c r="H342" s="6" t="e" vm="75">
        <v>#VALUE!</v>
      </c>
    </row>
    <row r="343" spans="1:8" x14ac:dyDescent="0.25">
      <c r="A343" s="1">
        <v>392</v>
      </c>
      <c r="B343" s="1" t="s">
        <v>1667</v>
      </c>
      <c r="C343" s="1" t="s">
        <v>1668</v>
      </c>
      <c r="D343" s="1" t="s">
        <v>1669</v>
      </c>
      <c r="E343" s="1" t="s">
        <v>18</v>
      </c>
      <c r="F343" s="2" t="s">
        <v>4385</v>
      </c>
      <c r="G343" s="1" t="s">
        <v>13</v>
      </c>
      <c r="H343" s="6" t="e" vm="35">
        <v>#VALUE!</v>
      </c>
    </row>
    <row r="344" spans="1:8" x14ac:dyDescent="0.25">
      <c r="A344" s="1">
        <v>396</v>
      </c>
      <c r="B344" s="1" t="s">
        <v>1682</v>
      </c>
      <c r="C344" s="1" t="s">
        <v>1683</v>
      </c>
      <c r="D344" s="1" t="s">
        <v>1684</v>
      </c>
      <c r="E344" s="1" t="s">
        <v>18</v>
      </c>
      <c r="F344" s="2" t="s">
        <v>4386</v>
      </c>
      <c r="G344" s="1" t="s">
        <v>13</v>
      </c>
      <c r="H344" s="6" t="e" vm="11">
        <v>#VALUE!</v>
      </c>
    </row>
    <row r="345" spans="1:8" x14ac:dyDescent="0.25">
      <c r="A345" s="1">
        <v>397</v>
      </c>
      <c r="B345" s="1" t="s">
        <v>1686</v>
      </c>
      <c r="C345" s="1" t="s">
        <v>1687</v>
      </c>
      <c r="D345" s="1" t="s">
        <v>1688</v>
      </c>
      <c r="E345" s="1" t="s">
        <v>18</v>
      </c>
      <c r="F345" s="2" t="s">
        <v>4387</v>
      </c>
      <c r="G345" s="1" t="s">
        <v>13</v>
      </c>
      <c r="H345" s="6" t="e" vm="48">
        <v>#VALUE!</v>
      </c>
    </row>
    <row r="346" spans="1:8" x14ac:dyDescent="0.25">
      <c r="A346" s="1">
        <v>398</v>
      </c>
      <c r="B346" s="1" t="s">
        <v>1690</v>
      </c>
      <c r="C346" s="1" t="s">
        <v>1691</v>
      </c>
      <c r="D346" s="1" t="s">
        <v>1692</v>
      </c>
      <c r="E346" s="1" t="s">
        <v>11</v>
      </c>
      <c r="F346" s="2" t="s">
        <v>4388</v>
      </c>
      <c r="G346" s="1" t="s">
        <v>13</v>
      </c>
      <c r="H346" s="6" t="e" vm="20">
        <v>#VALUE!</v>
      </c>
    </row>
    <row r="347" spans="1:8" x14ac:dyDescent="0.25">
      <c r="A347" s="1">
        <v>399</v>
      </c>
      <c r="B347" s="1" t="s">
        <v>1694</v>
      </c>
      <c r="C347" s="1" t="s">
        <v>1695</v>
      </c>
      <c r="D347" s="1" t="s">
        <v>1696</v>
      </c>
      <c r="E347" s="1" t="s">
        <v>11</v>
      </c>
      <c r="F347" s="2" t="s">
        <v>4389</v>
      </c>
      <c r="G347" s="1" t="s">
        <v>13</v>
      </c>
      <c r="H347" s="6" t="e" vm="25">
        <v>#VALUE!</v>
      </c>
    </row>
    <row r="348" spans="1:8" x14ac:dyDescent="0.25">
      <c r="A348" s="1">
        <v>400</v>
      </c>
      <c r="B348" s="1" t="s">
        <v>1698</v>
      </c>
      <c r="C348" s="1" t="s">
        <v>1699</v>
      </c>
      <c r="D348" s="1" t="s">
        <v>1700</v>
      </c>
      <c r="E348" s="1" t="s">
        <v>11</v>
      </c>
      <c r="F348" s="2" t="s">
        <v>4390</v>
      </c>
      <c r="G348" s="1" t="s">
        <v>13</v>
      </c>
      <c r="H348" s="6" t="e" vm="57">
        <v>#VALUE!</v>
      </c>
    </row>
    <row r="349" spans="1:8" x14ac:dyDescent="0.25">
      <c r="A349" s="1">
        <v>401</v>
      </c>
      <c r="B349" s="1" t="s">
        <v>1702</v>
      </c>
      <c r="C349" s="1" t="s">
        <v>1703</v>
      </c>
      <c r="D349" s="1" t="s">
        <v>1704</v>
      </c>
      <c r="E349" s="1" t="s">
        <v>18</v>
      </c>
      <c r="F349" s="2" t="s">
        <v>4391</v>
      </c>
      <c r="G349" s="1" t="s">
        <v>13</v>
      </c>
      <c r="H349" s="6" t="e" vm="59">
        <v>#VALUE!</v>
      </c>
    </row>
    <row r="350" spans="1:8" x14ac:dyDescent="0.25">
      <c r="A350" s="1">
        <v>402</v>
      </c>
      <c r="B350" s="1" t="s">
        <v>1706</v>
      </c>
      <c r="C350" s="1" t="s">
        <v>1707</v>
      </c>
      <c r="D350" s="1" t="s">
        <v>1708</v>
      </c>
      <c r="E350" s="1" t="s">
        <v>4045</v>
      </c>
      <c r="F350" s="2" t="s">
        <v>4392</v>
      </c>
      <c r="G350" s="1" t="s">
        <v>13</v>
      </c>
      <c r="H350" s="6" t="e" vm="55">
        <v>#VALUE!</v>
      </c>
    </row>
    <row r="351" spans="1:8" x14ac:dyDescent="0.25">
      <c r="A351" s="1">
        <v>404</v>
      </c>
      <c r="B351" s="1" t="s">
        <v>4393</v>
      </c>
      <c r="C351" s="1" t="s">
        <v>1715</v>
      </c>
      <c r="D351" s="1" t="s">
        <v>1716</v>
      </c>
      <c r="E351" s="1" t="s">
        <v>11</v>
      </c>
      <c r="F351" s="2" t="s">
        <v>4394</v>
      </c>
      <c r="G351" s="1" t="s">
        <v>13</v>
      </c>
      <c r="H351" s="6" t="e" vm="36">
        <v>#VALUE!</v>
      </c>
    </row>
    <row r="352" spans="1:8" x14ac:dyDescent="0.25">
      <c r="A352" s="1">
        <v>405</v>
      </c>
      <c r="B352" s="1" t="s">
        <v>1718</v>
      </c>
      <c r="C352" s="1" t="s">
        <v>1719</v>
      </c>
      <c r="D352" s="1" t="s">
        <v>1720</v>
      </c>
      <c r="E352" s="1" t="s">
        <v>18</v>
      </c>
      <c r="F352" s="2" t="s">
        <v>4395</v>
      </c>
      <c r="G352" s="1" t="s">
        <v>13</v>
      </c>
      <c r="H352" s="6" t="e" vm="2">
        <v>#VALUE!</v>
      </c>
    </row>
    <row r="353" spans="1:8" x14ac:dyDescent="0.25">
      <c r="A353" s="1">
        <v>407</v>
      </c>
      <c r="B353" s="1" t="s">
        <v>1727</v>
      </c>
      <c r="C353" s="1" t="s">
        <v>1728</v>
      </c>
      <c r="D353" s="1" t="s">
        <v>1729</v>
      </c>
      <c r="E353" s="1" t="s">
        <v>18</v>
      </c>
      <c r="F353" s="2" t="s">
        <v>4396</v>
      </c>
      <c r="G353" s="1" t="s">
        <v>13</v>
      </c>
      <c r="H353" s="6" t="e" vm="18">
        <v>#VALUE!</v>
      </c>
    </row>
    <row r="354" spans="1:8" x14ac:dyDescent="0.25">
      <c r="A354" s="1">
        <v>409</v>
      </c>
      <c r="B354" s="1" t="s">
        <v>1735</v>
      </c>
      <c r="C354" s="1" t="s">
        <v>1736</v>
      </c>
      <c r="D354" s="1" t="s">
        <v>1737</v>
      </c>
      <c r="E354" s="1" t="s">
        <v>11</v>
      </c>
      <c r="F354" s="2" t="s">
        <v>4397</v>
      </c>
      <c r="G354" s="1" t="s">
        <v>13</v>
      </c>
      <c r="H354" s="6" t="e" vm="58">
        <v>#VALUE!</v>
      </c>
    </row>
    <row r="355" spans="1:8" x14ac:dyDescent="0.25">
      <c r="A355" s="1">
        <v>410</v>
      </c>
      <c r="B355" s="1" t="s">
        <v>1739</v>
      </c>
      <c r="C355" s="1" t="s">
        <v>1740</v>
      </c>
      <c r="D355" s="1" t="s">
        <v>1741</v>
      </c>
      <c r="E355" s="1" t="s">
        <v>18</v>
      </c>
      <c r="F355" s="2" t="s">
        <v>4398</v>
      </c>
      <c r="G355" s="1" t="s">
        <v>13</v>
      </c>
      <c r="H355" s="6" t="e" vm="67">
        <v>#VALUE!</v>
      </c>
    </row>
    <row r="356" spans="1:8" x14ac:dyDescent="0.25">
      <c r="A356" s="1">
        <v>411</v>
      </c>
      <c r="B356" s="1" t="s">
        <v>1743</v>
      </c>
      <c r="C356" s="1" t="s">
        <v>1744</v>
      </c>
      <c r="D356" s="1" t="s">
        <v>1745</v>
      </c>
      <c r="E356" s="1" t="s">
        <v>11</v>
      </c>
      <c r="F356" s="2" t="s">
        <v>4399</v>
      </c>
      <c r="G356" s="1" t="s">
        <v>13</v>
      </c>
      <c r="H356" s="6" t="e" vm="3">
        <v>#VALUE!</v>
      </c>
    </row>
    <row r="357" spans="1:8" x14ac:dyDescent="0.25">
      <c r="A357" s="1">
        <v>412</v>
      </c>
      <c r="B357" s="1" t="s">
        <v>1747</v>
      </c>
      <c r="C357" s="1" t="s">
        <v>1748</v>
      </c>
      <c r="D357" s="1" t="s">
        <v>1749</v>
      </c>
      <c r="E357" s="1" t="s">
        <v>18</v>
      </c>
      <c r="F357" s="2" t="s">
        <v>4400</v>
      </c>
      <c r="G357" s="1" t="s">
        <v>13</v>
      </c>
      <c r="H357" s="6" t="e" vm="56">
        <v>#VALUE!</v>
      </c>
    </row>
    <row r="358" spans="1:8" x14ac:dyDescent="0.25">
      <c r="A358" s="1">
        <v>413</v>
      </c>
      <c r="B358" s="1" t="s">
        <v>1751</v>
      </c>
      <c r="C358" s="1" t="s">
        <v>1752</v>
      </c>
      <c r="D358" s="1" t="s">
        <v>1753</v>
      </c>
      <c r="E358" s="1" t="s">
        <v>4045</v>
      </c>
      <c r="F358" s="2" t="s">
        <v>4401</v>
      </c>
      <c r="G358" s="1" t="s">
        <v>13</v>
      </c>
      <c r="H358" s="6" t="e" vm="17">
        <v>#VALUE!</v>
      </c>
    </row>
    <row r="359" spans="1:8" x14ac:dyDescent="0.25">
      <c r="A359" s="1">
        <v>414</v>
      </c>
      <c r="B359" s="1" t="s">
        <v>1755</v>
      </c>
      <c r="C359" s="1" t="s">
        <v>1756</v>
      </c>
      <c r="D359" s="1" t="s">
        <v>1757</v>
      </c>
      <c r="E359" s="1" t="s">
        <v>11</v>
      </c>
      <c r="F359" s="2" t="s">
        <v>4402</v>
      </c>
      <c r="G359" s="1" t="s">
        <v>13</v>
      </c>
      <c r="H359" s="6" t="e" vm="20">
        <v>#VALUE!</v>
      </c>
    </row>
    <row r="360" spans="1:8" x14ac:dyDescent="0.25">
      <c r="A360" s="1">
        <v>415</v>
      </c>
      <c r="B360" s="1" t="s">
        <v>1759</v>
      </c>
      <c r="C360" s="1" t="s">
        <v>1760</v>
      </c>
      <c r="D360" s="1" t="s">
        <v>1761</v>
      </c>
      <c r="E360" s="1" t="s">
        <v>11</v>
      </c>
      <c r="F360" s="2" t="s">
        <v>4403</v>
      </c>
      <c r="G360" s="1" t="s">
        <v>13</v>
      </c>
      <c r="H360" s="6" t="e" vm="15">
        <v>#VALUE!</v>
      </c>
    </row>
    <row r="361" spans="1:8" x14ac:dyDescent="0.25">
      <c r="A361" s="1">
        <v>416</v>
      </c>
      <c r="B361" s="1" t="s">
        <v>1763</v>
      </c>
      <c r="C361" s="1" t="s">
        <v>1764</v>
      </c>
      <c r="D361" s="1" t="s">
        <v>1765</v>
      </c>
      <c r="E361" s="1" t="s">
        <v>18</v>
      </c>
      <c r="F361" s="2" t="s">
        <v>4404</v>
      </c>
      <c r="G361" s="1" t="s">
        <v>13</v>
      </c>
      <c r="H361" s="6" t="s">
        <v>4038</v>
      </c>
    </row>
    <row r="362" spans="1:8" x14ac:dyDescent="0.25">
      <c r="A362" s="1">
        <v>418</v>
      </c>
      <c r="B362" s="1" t="s">
        <v>1772</v>
      </c>
      <c r="C362" s="1" t="s">
        <v>1773</v>
      </c>
      <c r="D362" s="1" t="s">
        <v>1774</v>
      </c>
      <c r="E362" s="1" t="s">
        <v>18</v>
      </c>
      <c r="F362" s="2" t="s">
        <v>4405</v>
      </c>
      <c r="G362" s="1" t="s">
        <v>13</v>
      </c>
      <c r="H362" s="6" t="s">
        <v>4039</v>
      </c>
    </row>
    <row r="363" spans="1:8" x14ac:dyDescent="0.25">
      <c r="A363" s="1">
        <v>419</v>
      </c>
      <c r="B363" s="1" t="s">
        <v>1776</v>
      </c>
      <c r="C363" s="1" t="s">
        <v>1777</v>
      </c>
      <c r="D363" s="1" t="s">
        <v>1778</v>
      </c>
      <c r="E363" s="1" t="s">
        <v>18</v>
      </c>
      <c r="F363" s="2" t="s">
        <v>4406</v>
      </c>
      <c r="G363" s="1" t="s">
        <v>13</v>
      </c>
      <c r="H363" s="6" t="e" vm="58">
        <v>#VALUE!</v>
      </c>
    </row>
    <row r="364" spans="1:8" x14ac:dyDescent="0.25">
      <c r="A364" s="1">
        <v>422</v>
      </c>
      <c r="B364" s="1" t="s">
        <v>563</v>
      </c>
      <c r="C364" s="1" t="s">
        <v>1787</v>
      </c>
      <c r="D364" s="1" t="s">
        <v>1788</v>
      </c>
      <c r="E364" s="1" t="s">
        <v>4045</v>
      </c>
      <c r="F364" s="2" t="s">
        <v>4407</v>
      </c>
      <c r="G364" s="1" t="s">
        <v>13</v>
      </c>
      <c r="H364" s="6" t="e" vm="7">
        <v>#VALUE!</v>
      </c>
    </row>
    <row r="365" spans="1:8" x14ac:dyDescent="0.25">
      <c r="A365" s="1">
        <v>423</v>
      </c>
      <c r="B365" s="1" t="s">
        <v>1790</v>
      </c>
      <c r="C365" s="1" t="s">
        <v>1791</v>
      </c>
      <c r="D365" s="1" t="s">
        <v>1792</v>
      </c>
      <c r="E365" s="1" t="s">
        <v>18</v>
      </c>
      <c r="F365" s="2" t="s">
        <v>4408</v>
      </c>
      <c r="G365" s="1" t="s">
        <v>13</v>
      </c>
      <c r="H365" s="6" t="e" vm="11">
        <v>#VALUE!</v>
      </c>
    </row>
    <row r="366" spans="1:8" x14ac:dyDescent="0.25">
      <c r="A366" s="1">
        <v>424</v>
      </c>
      <c r="B366" s="1" t="s">
        <v>1794</v>
      </c>
      <c r="C366" s="1" t="s">
        <v>1795</v>
      </c>
      <c r="D366" s="1" t="s">
        <v>1796</v>
      </c>
      <c r="E366" s="1" t="s">
        <v>11</v>
      </c>
      <c r="F366" s="2" t="s">
        <v>4409</v>
      </c>
      <c r="G366" s="1" t="s">
        <v>13</v>
      </c>
      <c r="H366" s="6" t="e" vm="54">
        <v>#VALUE!</v>
      </c>
    </row>
    <row r="367" spans="1:8" x14ac:dyDescent="0.25">
      <c r="A367" s="1">
        <v>426</v>
      </c>
      <c r="B367" s="1" t="s">
        <v>1801</v>
      </c>
      <c r="C367" s="1" t="s">
        <v>1802</v>
      </c>
      <c r="D367" s="1" t="s">
        <v>1803</v>
      </c>
      <c r="E367" s="1" t="s">
        <v>4045</v>
      </c>
      <c r="F367" s="2" t="s">
        <v>4410</v>
      </c>
      <c r="G367" s="1" t="s">
        <v>13</v>
      </c>
      <c r="H367" s="6" t="e" vm="39">
        <v>#VALUE!</v>
      </c>
    </row>
    <row r="368" spans="1:8" x14ac:dyDescent="0.25">
      <c r="A368" s="1">
        <v>427</v>
      </c>
      <c r="B368" s="1" t="s">
        <v>1805</v>
      </c>
      <c r="C368" s="1" t="s">
        <v>1806</v>
      </c>
      <c r="D368" s="1" t="s">
        <v>1807</v>
      </c>
      <c r="E368" s="1" t="s">
        <v>18</v>
      </c>
      <c r="F368" s="2" t="s">
        <v>4411</v>
      </c>
      <c r="G368" s="1" t="s">
        <v>13</v>
      </c>
      <c r="H368" s="6" t="e" vm="72">
        <v>#VALUE!</v>
      </c>
    </row>
    <row r="369" spans="1:8" x14ac:dyDescent="0.25">
      <c r="A369" s="1">
        <v>428</v>
      </c>
      <c r="B369" s="1" t="s">
        <v>1809</v>
      </c>
      <c r="C369" s="1" t="s">
        <v>1810</v>
      </c>
      <c r="D369" s="1" t="s">
        <v>1811</v>
      </c>
      <c r="E369" s="1" t="s">
        <v>18</v>
      </c>
      <c r="F369" s="2" t="s">
        <v>4412</v>
      </c>
      <c r="G369" s="1" t="s">
        <v>13</v>
      </c>
      <c r="H369" s="6" t="e" vm="8">
        <v>#VALUE!</v>
      </c>
    </row>
    <row r="370" spans="1:8" x14ac:dyDescent="0.25">
      <c r="A370" s="1">
        <v>429</v>
      </c>
      <c r="B370" s="1" t="s">
        <v>1813</v>
      </c>
      <c r="C370" s="1" t="s">
        <v>1814</v>
      </c>
      <c r="D370" s="1" t="s">
        <v>1815</v>
      </c>
      <c r="E370" s="1" t="s">
        <v>18</v>
      </c>
      <c r="F370" s="2" t="s">
        <v>4413</v>
      </c>
      <c r="G370" s="1" t="s">
        <v>13</v>
      </c>
      <c r="H370" s="6" t="e" vm="76">
        <v>#VALUE!</v>
      </c>
    </row>
    <row r="371" spans="1:8" x14ac:dyDescent="0.25">
      <c r="A371" s="1">
        <v>431</v>
      </c>
      <c r="B371" s="1" t="s">
        <v>1821</v>
      </c>
      <c r="C371" s="1" t="s">
        <v>1822</v>
      </c>
      <c r="D371" s="1" t="s">
        <v>1823</v>
      </c>
      <c r="E371" s="1" t="s">
        <v>18</v>
      </c>
      <c r="F371" s="2" t="s">
        <v>4414</v>
      </c>
      <c r="G371" s="1" t="s">
        <v>13</v>
      </c>
      <c r="H371" s="6" t="e" vm="31">
        <v>#VALUE!</v>
      </c>
    </row>
    <row r="372" spans="1:8" x14ac:dyDescent="0.25">
      <c r="A372" s="1">
        <v>433</v>
      </c>
      <c r="B372" s="1" t="s">
        <v>1829</v>
      </c>
      <c r="C372" s="1" t="s">
        <v>1830</v>
      </c>
      <c r="D372" s="1" t="s">
        <v>1831</v>
      </c>
      <c r="E372" s="1" t="s">
        <v>11</v>
      </c>
      <c r="F372" s="2" t="s">
        <v>4415</v>
      </c>
      <c r="G372" s="1" t="s">
        <v>13</v>
      </c>
      <c r="H372" s="6" t="e" vm="45">
        <v>#VALUE!</v>
      </c>
    </row>
    <row r="373" spans="1:8" x14ac:dyDescent="0.25">
      <c r="A373" s="1">
        <v>435</v>
      </c>
      <c r="B373" s="1" t="s">
        <v>1836</v>
      </c>
      <c r="C373" s="1" t="s">
        <v>1837</v>
      </c>
      <c r="D373" s="1" t="s">
        <v>1838</v>
      </c>
      <c r="E373" s="1" t="s">
        <v>18</v>
      </c>
      <c r="F373" s="2" t="s">
        <v>4416</v>
      </c>
      <c r="G373" s="1" t="s">
        <v>13</v>
      </c>
      <c r="H373" s="6" t="e" vm="78">
        <v>#VALUE!</v>
      </c>
    </row>
    <row r="374" spans="1:8" x14ac:dyDescent="0.25">
      <c r="A374" s="1">
        <v>436</v>
      </c>
      <c r="B374" s="1" t="s">
        <v>1840</v>
      </c>
      <c r="C374" s="1" t="s">
        <v>1841</v>
      </c>
      <c r="D374" s="1" t="s">
        <v>1842</v>
      </c>
      <c r="E374" s="1" t="s">
        <v>18</v>
      </c>
      <c r="F374" s="2" t="s">
        <v>4417</v>
      </c>
      <c r="G374" s="1" t="s">
        <v>13</v>
      </c>
      <c r="H374" s="6" t="e" vm="73">
        <v>#VALUE!</v>
      </c>
    </row>
    <row r="375" spans="1:8" x14ac:dyDescent="0.25">
      <c r="A375" s="1">
        <v>438</v>
      </c>
      <c r="B375" s="1" t="s">
        <v>1849</v>
      </c>
      <c r="C375" s="1" t="s">
        <v>1850</v>
      </c>
      <c r="D375" s="1" t="s">
        <v>1851</v>
      </c>
      <c r="E375" s="1" t="s">
        <v>18</v>
      </c>
      <c r="F375" s="2" t="s">
        <v>4418</v>
      </c>
      <c r="G375" s="1" t="s">
        <v>13</v>
      </c>
      <c r="H375" s="6" t="s">
        <v>4041</v>
      </c>
    </row>
    <row r="376" spans="1:8" x14ac:dyDescent="0.25">
      <c r="A376" s="1">
        <v>439</v>
      </c>
      <c r="B376" s="1" t="s">
        <v>1853</v>
      </c>
      <c r="C376" s="1" t="s">
        <v>1854</v>
      </c>
      <c r="D376" s="1" t="s">
        <v>1855</v>
      </c>
      <c r="E376" s="1" t="s">
        <v>18</v>
      </c>
      <c r="F376" s="2" t="s">
        <v>4419</v>
      </c>
      <c r="G376" s="1" t="s">
        <v>13</v>
      </c>
      <c r="H376" s="6" t="e" vm="78">
        <v>#VALUE!</v>
      </c>
    </row>
    <row r="377" spans="1:8" x14ac:dyDescent="0.25">
      <c r="A377" s="1">
        <v>441</v>
      </c>
      <c r="B377" s="1" t="s">
        <v>1861</v>
      </c>
      <c r="C377" s="1" t="s">
        <v>1862</v>
      </c>
      <c r="D377" s="1" t="s">
        <v>1863</v>
      </c>
      <c r="E377" s="1" t="s">
        <v>18</v>
      </c>
      <c r="F377" s="2" t="s">
        <v>4420</v>
      </c>
      <c r="G377" s="1" t="s">
        <v>13</v>
      </c>
      <c r="H377" s="6" t="e" vm="60">
        <v>#VALUE!</v>
      </c>
    </row>
    <row r="378" spans="1:8" x14ac:dyDescent="0.25">
      <c r="A378" s="1">
        <v>442</v>
      </c>
      <c r="B378" s="1" t="s">
        <v>1865</v>
      </c>
      <c r="C378" s="1" t="s">
        <v>1866</v>
      </c>
      <c r="D378" s="1" t="s">
        <v>1867</v>
      </c>
      <c r="E378" s="1" t="s">
        <v>18</v>
      </c>
      <c r="F378" s="2" t="s">
        <v>4421</v>
      </c>
      <c r="G378" s="1" t="s">
        <v>13</v>
      </c>
      <c r="H378" s="6" t="e" vm="39">
        <v>#VALUE!</v>
      </c>
    </row>
    <row r="379" spans="1:8" x14ac:dyDescent="0.25">
      <c r="A379" s="1">
        <v>443</v>
      </c>
      <c r="B379" s="1" t="s">
        <v>1869</v>
      </c>
      <c r="C379" s="1" t="s">
        <v>1870</v>
      </c>
      <c r="D379" s="1" t="s">
        <v>1871</v>
      </c>
      <c r="E379" s="1" t="s">
        <v>11</v>
      </c>
      <c r="F379" s="2" t="s">
        <v>4422</v>
      </c>
      <c r="G379" s="1" t="s">
        <v>13</v>
      </c>
      <c r="H379" s="6" t="e" vm="1">
        <v>#VALUE!</v>
      </c>
    </row>
    <row r="380" spans="1:8" x14ac:dyDescent="0.25">
      <c r="A380" s="1">
        <v>444</v>
      </c>
      <c r="B380" s="1" t="s">
        <v>1873</v>
      </c>
      <c r="C380" s="1" t="s">
        <v>1874</v>
      </c>
      <c r="D380" s="1" t="s">
        <v>1875</v>
      </c>
      <c r="E380" s="1" t="s">
        <v>11</v>
      </c>
      <c r="F380" s="2" t="s">
        <v>4423</v>
      </c>
      <c r="G380" s="1" t="s">
        <v>13</v>
      </c>
      <c r="H380" s="6" t="s">
        <v>4040</v>
      </c>
    </row>
    <row r="381" spans="1:8" x14ac:dyDescent="0.25">
      <c r="A381" s="1">
        <v>445</v>
      </c>
      <c r="B381" s="1" t="s">
        <v>1877</v>
      </c>
      <c r="C381" s="1" t="s">
        <v>1878</v>
      </c>
      <c r="D381" s="1" t="s">
        <v>1879</v>
      </c>
      <c r="E381" s="1" t="s">
        <v>4045</v>
      </c>
      <c r="F381" s="2" t="s">
        <v>4424</v>
      </c>
      <c r="G381" s="1" t="s">
        <v>13</v>
      </c>
      <c r="H381" s="6" t="e" vm="19">
        <v>#VALUE!</v>
      </c>
    </row>
    <row r="382" spans="1:8" x14ac:dyDescent="0.25">
      <c r="A382" s="1">
        <v>446</v>
      </c>
      <c r="B382" s="1" t="s">
        <v>1881</v>
      </c>
      <c r="C382" s="1" t="s">
        <v>1882</v>
      </c>
      <c r="D382" s="1" t="s">
        <v>1883</v>
      </c>
      <c r="E382" s="1" t="s">
        <v>11</v>
      </c>
      <c r="F382" s="2" t="s">
        <v>4425</v>
      </c>
      <c r="G382" s="1" t="s">
        <v>13</v>
      </c>
      <c r="H382" s="6" t="e" vm="13">
        <v>#VALUE!</v>
      </c>
    </row>
    <row r="383" spans="1:8" x14ac:dyDescent="0.25">
      <c r="A383" s="1">
        <v>448</v>
      </c>
      <c r="B383" s="1" t="s">
        <v>1889</v>
      </c>
      <c r="C383" s="1" t="s">
        <v>1890</v>
      </c>
      <c r="D383" s="1" t="s">
        <v>1891</v>
      </c>
      <c r="E383" s="1" t="s">
        <v>18</v>
      </c>
      <c r="F383" s="2" t="s">
        <v>4426</v>
      </c>
      <c r="G383" s="1" t="s">
        <v>13</v>
      </c>
      <c r="H383" s="6" t="e" vm="74">
        <v>#VALUE!</v>
      </c>
    </row>
    <row r="384" spans="1:8" x14ac:dyDescent="0.25">
      <c r="A384" s="1">
        <v>449</v>
      </c>
      <c r="B384" s="1" t="s">
        <v>1893</v>
      </c>
      <c r="C384" s="1" t="s">
        <v>1894</v>
      </c>
      <c r="D384" s="1" t="s">
        <v>1895</v>
      </c>
      <c r="E384" s="1" t="s">
        <v>11</v>
      </c>
      <c r="F384" s="2" t="s">
        <v>4427</v>
      </c>
      <c r="G384" s="1" t="s">
        <v>13</v>
      </c>
      <c r="H384" s="6" t="e" vm="74">
        <v>#VALUE!</v>
      </c>
    </row>
    <row r="385" spans="1:8" x14ac:dyDescent="0.25">
      <c r="A385" s="1">
        <v>450</v>
      </c>
      <c r="B385" s="1" t="s">
        <v>1897</v>
      </c>
      <c r="C385" s="1" t="s">
        <v>1898</v>
      </c>
      <c r="D385" s="1" t="s">
        <v>1899</v>
      </c>
      <c r="E385" s="1" t="s">
        <v>11</v>
      </c>
      <c r="F385" s="2" t="s">
        <v>4428</v>
      </c>
      <c r="G385" s="1" t="s">
        <v>13</v>
      </c>
      <c r="H385" s="6" t="e" vm="68">
        <v>#VALUE!</v>
      </c>
    </row>
    <row r="386" spans="1:8" x14ac:dyDescent="0.25">
      <c r="A386" s="1">
        <v>452</v>
      </c>
      <c r="B386" s="1" t="s">
        <v>1904</v>
      </c>
      <c r="C386" s="1" t="s">
        <v>1905</v>
      </c>
      <c r="D386" s="1" t="s">
        <v>1906</v>
      </c>
      <c r="E386" s="1" t="s">
        <v>11</v>
      </c>
      <c r="F386" s="2" t="s">
        <v>4429</v>
      </c>
      <c r="G386" s="1" t="s">
        <v>13</v>
      </c>
      <c r="H386" s="6" t="s">
        <v>51</v>
      </c>
    </row>
    <row r="387" spans="1:8" x14ac:dyDescent="0.25">
      <c r="A387" s="1">
        <v>454</v>
      </c>
      <c r="B387" s="1" t="s">
        <v>1912</v>
      </c>
      <c r="C387" s="1" t="s">
        <v>1913</v>
      </c>
      <c r="D387" s="1" t="s">
        <v>1914</v>
      </c>
      <c r="E387" s="1" t="s">
        <v>11</v>
      </c>
      <c r="F387" s="2" t="s">
        <v>4430</v>
      </c>
      <c r="G387" s="1" t="s">
        <v>13</v>
      </c>
      <c r="H387" s="6" t="s">
        <v>4038</v>
      </c>
    </row>
    <row r="388" spans="1:8" x14ac:dyDescent="0.25">
      <c r="A388" s="1">
        <v>456</v>
      </c>
      <c r="B388" s="1" t="s">
        <v>1920</v>
      </c>
      <c r="C388" s="1" t="s">
        <v>1921</v>
      </c>
      <c r="D388" s="1" t="s">
        <v>1922</v>
      </c>
      <c r="E388" s="1" t="s">
        <v>18</v>
      </c>
      <c r="F388" s="2" t="s">
        <v>4431</v>
      </c>
      <c r="G388" s="1" t="s">
        <v>13</v>
      </c>
      <c r="H388" s="6" t="s">
        <v>51</v>
      </c>
    </row>
    <row r="389" spans="1:8" x14ac:dyDescent="0.25">
      <c r="A389" s="1">
        <v>457</v>
      </c>
      <c r="B389" s="1" t="s">
        <v>1924</v>
      </c>
      <c r="C389" s="1" t="s">
        <v>1925</v>
      </c>
      <c r="D389" s="1" t="s">
        <v>1926</v>
      </c>
      <c r="E389" s="1" t="s">
        <v>18</v>
      </c>
      <c r="F389" s="2" t="s">
        <v>4432</v>
      </c>
      <c r="G389" s="1" t="s">
        <v>13</v>
      </c>
      <c r="H389" s="6" t="e" vm="26">
        <v>#VALUE!</v>
      </c>
    </row>
    <row r="390" spans="1:8" x14ac:dyDescent="0.25">
      <c r="A390" s="1">
        <v>458</v>
      </c>
      <c r="B390" s="1" t="s">
        <v>1928</v>
      </c>
      <c r="C390" s="1" t="s">
        <v>1929</v>
      </c>
      <c r="D390" s="1" t="s">
        <v>1930</v>
      </c>
      <c r="E390" s="1" t="s">
        <v>18</v>
      </c>
      <c r="F390" s="2" t="s">
        <v>4433</v>
      </c>
      <c r="G390" s="1" t="s">
        <v>13</v>
      </c>
      <c r="H390" s="6" t="e" vm="31">
        <v>#VALUE!</v>
      </c>
    </row>
    <row r="391" spans="1:8" x14ac:dyDescent="0.25">
      <c r="A391" s="1">
        <v>459</v>
      </c>
      <c r="B391" s="1" t="s">
        <v>982</v>
      </c>
      <c r="C391" s="1" t="s">
        <v>1932</v>
      </c>
      <c r="D391" s="1" t="s">
        <v>1933</v>
      </c>
      <c r="E391" s="1" t="s">
        <v>11</v>
      </c>
      <c r="F391" s="2" t="s">
        <v>4434</v>
      </c>
      <c r="G391" s="1" t="s">
        <v>13</v>
      </c>
      <c r="H391" s="6" t="e" vm="82">
        <v>#VALUE!</v>
      </c>
    </row>
    <row r="392" spans="1:8" x14ac:dyDescent="0.25">
      <c r="A392" s="1">
        <v>460</v>
      </c>
      <c r="B392" s="1" t="s">
        <v>1935</v>
      </c>
      <c r="C392" s="1" t="s">
        <v>922</v>
      </c>
      <c r="D392" s="1" t="s">
        <v>1936</v>
      </c>
      <c r="E392" s="1" t="s">
        <v>18</v>
      </c>
      <c r="F392" s="2" t="s">
        <v>4435</v>
      </c>
      <c r="G392" s="1" t="s">
        <v>13</v>
      </c>
      <c r="H392" s="6" t="e" vm="8">
        <v>#VALUE!</v>
      </c>
    </row>
    <row r="393" spans="1:8" x14ac:dyDescent="0.25">
      <c r="A393" s="1">
        <v>461</v>
      </c>
      <c r="B393" s="1" t="s">
        <v>1938</v>
      </c>
      <c r="C393" s="1" t="s">
        <v>1939</v>
      </c>
      <c r="D393" s="1" t="s">
        <v>1940</v>
      </c>
      <c r="E393" s="1" t="s">
        <v>11</v>
      </c>
      <c r="F393" s="2" t="s">
        <v>4436</v>
      </c>
      <c r="G393" s="1" t="s">
        <v>13</v>
      </c>
      <c r="H393" s="6" t="e" vm="15">
        <v>#VALUE!</v>
      </c>
    </row>
    <row r="394" spans="1:8" x14ac:dyDescent="0.25">
      <c r="A394" s="1">
        <v>462</v>
      </c>
      <c r="B394" s="1" t="s">
        <v>1942</v>
      </c>
      <c r="C394" s="1" t="s">
        <v>1943</v>
      </c>
      <c r="D394" s="1" t="s">
        <v>1944</v>
      </c>
      <c r="E394" s="1" t="s">
        <v>11</v>
      </c>
      <c r="F394" s="2" t="s">
        <v>4437</v>
      </c>
      <c r="G394" s="1" t="s">
        <v>13</v>
      </c>
      <c r="H394" s="6" t="e" vm="28">
        <v>#VALUE!</v>
      </c>
    </row>
    <row r="395" spans="1:8" x14ac:dyDescent="0.25">
      <c r="A395" s="1">
        <v>463</v>
      </c>
      <c r="B395" s="1" t="s">
        <v>1946</v>
      </c>
      <c r="C395" s="1" t="s">
        <v>1947</v>
      </c>
      <c r="D395" s="1" t="s">
        <v>1948</v>
      </c>
      <c r="E395" s="1" t="s">
        <v>11</v>
      </c>
      <c r="F395" s="2" t="s">
        <v>4438</v>
      </c>
      <c r="G395" s="1" t="s">
        <v>13</v>
      </c>
      <c r="H395" s="6" t="e" vm="12">
        <v>#VALUE!</v>
      </c>
    </row>
    <row r="396" spans="1:8" x14ac:dyDescent="0.25">
      <c r="A396" s="1">
        <v>464</v>
      </c>
      <c r="B396" s="1" t="s">
        <v>1950</v>
      </c>
      <c r="C396" s="1" t="s">
        <v>1951</v>
      </c>
      <c r="D396" s="1" t="s">
        <v>1952</v>
      </c>
      <c r="E396" s="1" t="s">
        <v>18</v>
      </c>
      <c r="F396" s="2" t="s">
        <v>4439</v>
      </c>
      <c r="G396" s="1" t="s">
        <v>13</v>
      </c>
      <c r="H396" s="6" t="e" vm="79">
        <v>#VALUE!</v>
      </c>
    </row>
    <row r="397" spans="1:8" x14ac:dyDescent="0.25">
      <c r="A397" s="1">
        <v>465</v>
      </c>
      <c r="B397" s="1" t="s">
        <v>1954</v>
      </c>
      <c r="C397" s="1" t="s">
        <v>1955</v>
      </c>
      <c r="D397" s="1" t="s">
        <v>1956</v>
      </c>
      <c r="E397" s="1" t="s">
        <v>11</v>
      </c>
      <c r="F397" s="2" t="s">
        <v>4440</v>
      </c>
      <c r="G397" s="1" t="s">
        <v>13</v>
      </c>
      <c r="H397" s="6" t="e" vm="41">
        <v>#VALUE!</v>
      </c>
    </row>
    <row r="398" spans="1:8" x14ac:dyDescent="0.25">
      <c r="A398" s="1">
        <v>466</v>
      </c>
      <c r="B398" s="1" t="s">
        <v>1958</v>
      </c>
      <c r="C398" s="1" t="s">
        <v>1959</v>
      </c>
      <c r="D398" s="1" t="s">
        <v>1960</v>
      </c>
      <c r="E398" s="1" t="s">
        <v>11</v>
      </c>
      <c r="F398" s="2" t="s">
        <v>4441</v>
      </c>
      <c r="G398" s="1" t="s">
        <v>13</v>
      </c>
      <c r="H398" s="6" t="e" vm="81">
        <v>#VALUE!</v>
      </c>
    </row>
    <row r="399" spans="1:8" x14ac:dyDescent="0.25">
      <c r="A399" s="1">
        <v>468</v>
      </c>
      <c r="B399" s="1" t="s">
        <v>1966</v>
      </c>
      <c r="C399" s="1" t="s">
        <v>1967</v>
      </c>
      <c r="D399" s="1" t="s">
        <v>1968</v>
      </c>
      <c r="E399" s="1" t="s">
        <v>18</v>
      </c>
      <c r="F399" s="2" t="s">
        <v>4442</v>
      </c>
      <c r="G399" s="1" t="s">
        <v>13</v>
      </c>
      <c r="H399" s="6" t="e" vm="56">
        <v>#VALUE!</v>
      </c>
    </row>
    <row r="400" spans="1:8" x14ac:dyDescent="0.25">
      <c r="A400" s="1">
        <v>469</v>
      </c>
      <c r="B400" s="1" t="s">
        <v>77</v>
      </c>
      <c r="C400" s="1" t="s">
        <v>1970</v>
      </c>
      <c r="D400" s="1" t="s">
        <v>1971</v>
      </c>
      <c r="E400" s="1" t="s">
        <v>11</v>
      </c>
      <c r="F400" s="2" t="s">
        <v>4443</v>
      </c>
      <c r="G400" s="1" t="s">
        <v>13</v>
      </c>
      <c r="H400" s="6" t="e" vm="2">
        <v>#VALUE!</v>
      </c>
    </row>
    <row r="401" spans="1:8" x14ac:dyDescent="0.25">
      <c r="A401" s="1">
        <v>470</v>
      </c>
      <c r="B401" s="1" t="s">
        <v>1973</v>
      </c>
      <c r="C401" s="1" t="s">
        <v>1974</v>
      </c>
      <c r="D401" s="1" t="s">
        <v>1975</v>
      </c>
      <c r="E401" s="1" t="s">
        <v>18</v>
      </c>
      <c r="F401" s="2" t="s">
        <v>4444</v>
      </c>
      <c r="G401" s="1" t="s">
        <v>13</v>
      </c>
      <c r="H401" s="6" t="e" vm="4">
        <v>#VALUE!</v>
      </c>
    </row>
    <row r="402" spans="1:8" x14ac:dyDescent="0.25">
      <c r="A402" s="1">
        <v>471</v>
      </c>
      <c r="B402" s="1" t="s">
        <v>1302</v>
      </c>
      <c r="C402" s="1" t="s">
        <v>1977</v>
      </c>
      <c r="D402" s="1" t="s">
        <v>1978</v>
      </c>
      <c r="E402" s="1" t="s">
        <v>11</v>
      </c>
      <c r="F402" s="2" t="s">
        <v>4445</v>
      </c>
      <c r="G402" s="1" t="s">
        <v>13</v>
      </c>
      <c r="H402" s="6" t="e" vm="28">
        <v>#VALUE!</v>
      </c>
    </row>
    <row r="403" spans="1:8" x14ac:dyDescent="0.25">
      <c r="A403" s="1">
        <v>473</v>
      </c>
      <c r="B403" s="1" t="s">
        <v>1984</v>
      </c>
      <c r="C403" s="1" t="s">
        <v>1985</v>
      </c>
      <c r="D403" s="1" t="s">
        <v>1986</v>
      </c>
      <c r="E403" s="1" t="s">
        <v>11</v>
      </c>
      <c r="F403" s="2" t="s">
        <v>4446</v>
      </c>
      <c r="G403" s="1" t="s">
        <v>13</v>
      </c>
      <c r="H403" s="6" t="e" vm="75">
        <v>#VALUE!</v>
      </c>
    </row>
    <row r="404" spans="1:8" x14ac:dyDescent="0.25">
      <c r="A404" s="1">
        <v>474</v>
      </c>
      <c r="B404" s="1" t="s">
        <v>1988</v>
      </c>
      <c r="C404" s="1" t="s">
        <v>1989</v>
      </c>
      <c r="D404" s="1" t="s">
        <v>1990</v>
      </c>
      <c r="E404" s="1" t="s">
        <v>18</v>
      </c>
      <c r="F404" s="2" t="s">
        <v>4447</v>
      </c>
      <c r="G404" s="1" t="s">
        <v>13</v>
      </c>
      <c r="H404" s="6" t="e" vm="9">
        <v>#VALUE!</v>
      </c>
    </row>
    <row r="405" spans="1:8" x14ac:dyDescent="0.25">
      <c r="A405" s="1">
        <v>475</v>
      </c>
      <c r="B405" s="1" t="s">
        <v>1992</v>
      </c>
      <c r="C405" s="1" t="s">
        <v>1993</v>
      </c>
      <c r="D405" s="1" t="s">
        <v>1994</v>
      </c>
      <c r="E405" s="1" t="s">
        <v>11</v>
      </c>
      <c r="F405" s="2" t="s">
        <v>4448</v>
      </c>
      <c r="G405" s="1" t="s">
        <v>13</v>
      </c>
      <c r="H405" s="6" t="e" vm="69">
        <v>#VALUE!</v>
      </c>
    </row>
    <row r="406" spans="1:8" x14ac:dyDescent="0.25">
      <c r="A406" s="1">
        <v>476</v>
      </c>
      <c r="B406" s="1" t="s">
        <v>1996</v>
      </c>
      <c r="C406" s="1" t="s">
        <v>1997</v>
      </c>
      <c r="D406" s="1" t="s">
        <v>1998</v>
      </c>
      <c r="E406" s="1" t="s">
        <v>18</v>
      </c>
      <c r="F406" s="2" t="s">
        <v>4449</v>
      </c>
      <c r="G406" s="1" t="s">
        <v>13</v>
      </c>
      <c r="H406" s="6" t="e" vm="59">
        <v>#VALUE!</v>
      </c>
    </row>
    <row r="407" spans="1:8" x14ac:dyDescent="0.25">
      <c r="A407" s="1">
        <v>477</v>
      </c>
      <c r="B407" s="1" t="s">
        <v>2000</v>
      </c>
      <c r="C407" s="1" t="s">
        <v>2001</v>
      </c>
      <c r="D407" s="1" t="s">
        <v>2002</v>
      </c>
      <c r="E407" s="1" t="s">
        <v>18</v>
      </c>
      <c r="F407" s="2" t="s">
        <v>4450</v>
      </c>
      <c r="G407" s="1" t="s">
        <v>13</v>
      </c>
      <c r="H407" s="6" t="e" vm="75">
        <v>#VALUE!</v>
      </c>
    </row>
    <row r="408" spans="1:8" x14ac:dyDescent="0.25">
      <c r="A408" s="1">
        <v>479</v>
      </c>
      <c r="B408" s="1" t="s">
        <v>2007</v>
      </c>
      <c r="C408" s="1" t="s">
        <v>2008</v>
      </c>
      <c r="D408" s="1" t="s">
        <v>2009</v>
      </c>
      <c r="E408" s="1" t="s">
        <v>18</v>
      </c>
      <c r="F408" s="2" t="s">
        <v>4451</v>
      </c>
      <c r="G408" s="1" t="s">
        <v>13</v>
      </c>
      <c r="H408" s="6" t="e" vm="31">
        <v>#VALUE!</v>
      </c>
    </row>
    <row r="409" spans="1:8" x14ac:dyDescent="0.25">
      <c r="A409" s="1">
        <v>480</v>
      </c>
      <c r="B409" s="1" t="s">
        <v>2011</v>
      </c>
      <c r="C409" s="1" t="s">
        <v>2012</v>
      </c>
      <c r="D409" s="1" t="s">
        <v>2013</v>
      </c>
      <c r="E409" s="1" t="s">
        <v>18</v>
      </c>
      <c r="F409" s="2" t="s">
        <v>4452</v>
      </c>
      <c r="G409" s="1" t="s">
        <v>13</v>
      </c>
      <c r="H409" s="6" t="e" vm="26">
        <v>#VALUE!</v>
      </c>
    </row>
    <row r="410" spans="1:8" x14ac:dyDescent="0.25">
      <c r="A410" s="1">
        <v>481</v>
      </c>
      <c r="B410" s="1" t="s">
        <v>467</v>
      </c>
      <c r="C410" s="1" t="s">
        <v>2015</v>
      </c>
      <c r="D410" s="1" t="s">
        <v>2016</v>
      </c>
      <c r="E410" s="1" t="s">
        <v>18</v>
      </c>
      <c r="F410" s="2" t="s">
        <v>4453</v>
      </c>
      <c r="G410" s="1" t="s">
        <v>13</v>
      </c>
      <c r="H410" s="6" t="e" vm="15">
        <v>#VALUE!</v>
      </c>
    </row>
    <row r="411" spans="1:8" x14ac:dyDescent="0.25">
      <c r="A411" s="1">
        <v>482</v>
      </c>
      <c r="B411" s="1" t="s">
        <v>2018</v>
      </c>
      <c r="C411" s="1" t="s">
        <v>2019</v>
      </c>
      <c r="D411" s="1" t="s">
        <v>2020</v>
      </c>
      <c r="E411" s="1" t="s">
        <v>11</v>
      </c>
      <c r="F411" s="2" t="s">
        <v>4454</v>
      </c>
      <c r="G411" s="1" t="s">
        <v>13</v>
      </c>
      <c r="H411" s="6" t="e" vm="80">
        <v>#VALUE!</v>
      </c>
    </row>
    <row r="412" spans="1:8" x14ac:dyDescent="0.25">
      <c r="A412" s="1">
        <v>483</v>
      </c>
      <c r="B412" s="1" t="s">
        <v>2022</v>
      </c>
      <c r="C412" s="1" t="s">
        <v>2023</v>
      </c>
      <c r="D412" s="1" t="s">
        <v>2024</v>
      </c>
      <c r="E412" s="1" t="s">
        <v>18</v>
      </c>
      <c r="F412" s="2" t="s">
        <v>4455</v>
      </c>
      <c r="G412" s="1" t="s">
        <v>13</v>
      </c>
      <c r="H412" s="6" t="e" vm="63">
        <v>#VALUE!</v>
      </c>
    </row>
    <row r="413" spans="1:8" x14ac:dyDescent="0.25">
      <c r="A413" s="1">
        <v>484</v>
      </c>
      <c r="B413" s="1" t="s">
        <v>2026</v>
      </c>
      <c r="C413" s="1" t="s">
        <v>2027</v>
      </c>
      <c r="D413" s="1" t="s">
        <v>2028</v>
      </c>
      <c r="E413" s="1" t="s">
        <v>11</v>
      </c>
      <c r="F413" s="2" t="s">
        <v>4456</v>
      </c>
      <c r="G413" s="1" t="s">
        <v>13</v>
      </c>
      <c r="H413" s="6" t="e" vm="50">
        <v>#VALUE!</v>
      </c>
    </row>
    <row r="414" spans="1:8" x14ac:dyDescent="0.25">
      <c r="A414" s="1">
        <v>485</v>
      </c>
      <c r="B414" s="1" t="s">
        <v>2030</v>
      </c>
      <c r="C414" s="1" t="s">
        <v>2031</v>
      </c>
      <c r="D414" s="1" t="s">
        <v>2032</v>
      </c>
      <c r="E414" s="1" t="s">
        <v>18</v>
      </c>
      <c r="F414" s="2" t="s">
        <v>4457</v>
      </c>
      <c r="G414" s="1" t="s">
        <v>13</v>
      </c>
      <c r="H414" s="6" t="e" vm="78">
        <v>#VALUE!</v>
      </c>
    </row>
    <row r="415" spans="1:8" x14ac:dyDescent="0.25">
      <c r="A415" s="1">
        <v>486</v>
      </c>
      <c r="B415" s="1" t="s">
        <v>2034</v>
      </c>
      <c r="C415" s="1" t="s">
        <v>2035</v>
      </c>
      <c r="D415" s="1" t="s">
        <v>2036</v>
      </c>
      <c r="E415" s="1" t="s">
        <v>18</v>
      </c>
      <c r="F415" s="2" t="s">
        <v>4458</v>
      </c>
      <c r="G415" s="1" t="s">
        <v>13</v>
      </c>
      <c r="H415" s="6" t="e" vm="56">
        <v>#VALUE!</v>
      </c>
    </row>
    <row r="416" spans="1:8" x14ac:dyDescent="0.25">
      <c r="A416" s="1">
        <v>488</v>
      </c>
      <c r="B416" s="1" t="s">
        <v>2042</v>
      </c>
      <c r="C416" s="1" t="s">
        <v>2043</v>
      </c>
      <c r="D416" s="1" t="s">
        <v>2044</v>
      </c>
      <c r="E416" s="1" t="s">
        <v>11</v>
      </c>
      <c r="F416" s="2" t="s">
        <v>4459</v>
      </c>
      <c r="G416" s="1" t="s">
        <v>13</v>
      </c>
      <c r="H416" s="6" t="e" vm="60">
        <v>#VALUE!</v>
      </c>
    </row>
    <row r="417" spans="1:8" x14ac:dyDescent="0.25">
      <c r="A417" s="1">
        <v>489</v>
      </c>
      <c r="B417" s="1" t="s">
        <v>2046</v>
      </c>
      <c r="C417" s="1" t="s">
        <v>2047</v>
      </c>
      <c r="D417" s="1" t="s">
        <v>2048</v>
      </c>
      <c r="E417" s="1" t="s">
        <v>18</v>
      </c>
      <c r="F417" s="2" t="s">
        <v>4460</v>
      </c>
      <c r="G417" s="1" t="s">
        <v>13</v>
      </c>
      <c r="H417" s="6" t="e" vm="20">
        <v>#VALUE!</v>
      </c>
    </row>
    <row r="418" spans="1:8" x14ac:dyDescent="0.25">
      <c r="A418" s="1">
        <v>490</v>
      </c>
      <c r="B418" s="1" t="s">
        <v>2050</v>
      </c>
      <c r="C418" s="1" t="s">
        <v>2051</v>
      </c>
      <c r="D418" s="1" t="s">
        <v>2052</v>
      </c>
      <c r="E418" s="1" t="s">
        <v>18</v>
      </c>
      <c r="F418" s="2" t="s">
        <v>4461</v>
      </c>
      <c r="G418" s="1" t="s">
        <v>13</v>
      </c>
      <c r="H418" s="6" t="e" vm="27">
        <v>#VALUE!</v>
      </c>
    </row>
    <row r="419" spans="1:8" x14ac:dyDescent="0.25">
      <c r="A419" s="1">
        <v>491</v>
      </c>
      <c r="B419" s="1" t="s">
        <v>2054</v>
      </c>
      <c r="C419" s="1" t="s">
        <v>2055</v>
      </c>
      <c r="D419" s="1" t="s">
        <v>2056</v>
      </c>
      <c r="E419" s="1" t="s">
        <v>18</v>
      </c>
      <c r="F419" s="2" t="s">
        <v>4462</v>
      </c>
      <c r="G419" s="1" t="s">
        <v>13</v>
      </c>
      <c r="H419" s="6" t="e" vm="22">
        <v>#VALUE!</v>
      </c>
    </row>
    <row r="420" spans="1:8" x14ac:dyDescent="0.25">
      <c r="A420" s="1">
        <v>492</v>
      </c>
      <c r="B420" s="1" t="s">
        <v>2058</v>
      </c>
      <c r="C420" s="1" t="s">
        <v>2059</v>
      </c>
      <c r="D420" s="1" t="s">
        <v>2060</v>
      </c>
      <c r="E420" s="1" t="s">
        <v>11</v>
      </c>
      <c r="F420" s="2" t="s">
        <v>4463</v>
      </c>
      <c r="G420" s="1" t="s">
        <v>13</v>
      </c>
      <c r="H420" s="6" t="e" vm="34">
        <v>#VALUE!</v>
      </c>
    </row>
    <row r="421" spans="1:8" x14ac:dyDescent="0.25">
      <c r="A421" s="1">
        <v>494</v>
      </c>
      <c r="B421" s="1" t="s">
        <v>2066</v>
      </c>
      <c r="C421" s="1" t="s">
        <v>2067</v>
      </c>
      <c r="D421" s="1" t="s">
        <v>2068</v>
      </c>
      <c r="E421" s="1" t="s">
        <v>18</v>
      </c>
      <c r="F421" s="2" t="s">
        <v>4464</v>
      </c>
      <c r="G421" s="1" t="s">
        <v>13</v>
      </c>
      <c r="H421" s="6" t="e" vm="42">
        <v>#VALUE!</v>
      </c>
    </row>
    <row r="422" spans="1:8" x14ac:dyDescent="0.25">
      <c r="A422" s="1">
        <v>495</v>
      </c>
      <c r="B422" s="1" t="s">
        <v>2070</v>
      </c>
      <c r="C422" s="1" t="s">
        <v>2071</v>
      </c>
      <c r="D422" s="1" t="s">
        <v>2072</v>
      </c>
      <c r="E422" s="1" t="s">
        <v>4045</v>
      </c>
      <c r="F422" s="2" t="s">
        <v>4465</v>
      </c>
      <c r="G422" s="1" t="s">
        <v>13</v>
      </c>
      <c r="H422" s="6" t="e" vm="44">
        <v>#VALUE!</v>
      </c>
    </row>
    <row r="423" spans="1:8" x14ac:dyDescent="0.25">
      <c r="A423" s="1">
        <v>496</v>
      </c>
      <c r="B423" s="1" t="s">
        <v>2074</v>
      </c>
      <c r="C423" s="1" t="s">
        <v>2075</v>
      </c>
      <c r="D423" s="1" t="s">
        <v>2076</v>
      </c>
      <c r="E423" s="1" t="s">
        <v>18</v>
      </c>
      <c r="F423" s="2" t="s">
        <v>4466</v>
      </c>
      <c r="G423" s="1" t="s">
        <v>13</v>
      </c>
      <c r="H423" s="6" t="e" vm="2">
        <v>#VALUE!</v>
      </c>
    </row>
    <row r="424" spans="1:8" x14ac:dyDescent="0.25">
      <c r="A424" s="1">
        <v>497</v>
      </c>
      <c r="B424" s="1" t="s">
        <v>2078</v>
      </c>
      <c r="C424" s="1" t="s">
        <v>2079</v>
      </c>
      <c r="D424" s="1" t="s">
        <v>2080</v>
      </c>
      <c r="E424" s="1" t="s">
        <v>11</v>
      </c>
      <c r="F424" s="2" t="s">
        <v>4467</v>
      </c>
      <c r="G424" s="1" t="s">
        <v>13</v>
      </c>
      <c r="H424" s="6" t="e" vm="82">
        <v>#VALUE!</v>
      </c>
    </row>
    <row r="425" spans="1:8" x14ac:dyDescent="0.25">
      <c r="A425" s="1">
        <v>501</v>
      </c>
      <c r="B425" s="1" t="s">
        <v>1626</v>
      </c>
      <c r="C425" s="1" t="s">
        <v>2094</v>
      </c>
      <c r="D425" s="1" t="s">
        <v>2095</v>
      </c>
      <c r="E425" s="1" t="s">
        <v>11</v>
      </c>
      <c r="F425" s="2" t="s">
        <v>4468</v>
      </c>
      <c r="G425" s="1" t="s">
        <v>13</v>
      </c>
      <c r="H425" s="6" t="e" vm="1">
        <v>#VALUE!</v>
      </c>
    </row>
    <row r="426" spans="1:8" x14ac:dyDescent="0.25">
      <c r="A426" s="1">
        <v>502</v>
      </c>
      <c r="B426" s="1" t="s">
        <v>2097</v>
      </c>
      <c r="C426" s="1" t="s">
        <v>2098</v>
      </c>
      <c r="D426" s="1" t="s">
        <v>2099</v>
      </c>
      <c r="E426" s="1" t="s">
        <v>18</v>
      </c>
      <c r="F426" s="2" t="s">
        <v>4469</v>
      </c>
      <c r="G426" s="1" t="s">
        <v>13</v>
      </c>
      <c r="H426" s="6" t="e" vm="20">
        <v>#VALUE!</v>
      </c>
    </row>
    <row r="427" spans="1:8" x14ac:dyDescent="0.25">
      <c r="A427" s="1">
        <v>503</v>
      </c>
      <c r="B427" s="1" t="s">
        <v>2101</v>
      </c>
      <c r="C427" s="1" t="s">
        <v>2102</v>
      </c>
      <c r="D427" s="1" t="s">
        <v>2103</v>
      </c>
      <c r="E427" s="1" t="s">
        <v>18</v>
      </c>
      <c r="F427" s="2" t="s">
        <v>4470</v>
      </c>
      <c r="G427" s="1" t="s">
        <v>13</v>
      </c>
      <c r="H427" s="6" t="e" vm="9">
        <v>#VALUE!</v>
      </c>
    </row>
    <row r="428" spans="1:8" x14ac:dyDescent="0.25">
      <c r="A428" s="1">
        <v>504</v>
      </c>
      <c r="B428" s="1" t="s">
        <v>2105</v>
      </c>
      <c r="C428" s="1" t="s">
        <v>2106</v>
      </c>
      <c r="D428" s="1" t="s">
        <v>2107</v>
      </c>
      <c r="E428" s="1" t="s">
        <v>18</v>
      </c>
      <c r="F428" s="2" t="s">
        <v>4471</v>
      </c>
      <c r="G428" s="1" t="s">
        <v>13</v>
      </c>
      <c r="H428" s="6" t="e" vm="18">
        <v>#VALUE!</v>
      </c>
    </row>
    <row r="429" spans="1:8" x14ac:dyDescent="0.25">
      <c r="A429" s="1">
        <v>505</v>
      </c>
      <c r="B429" s="1" t="s">
        <v>2109</v>
      </c>
      <c r="C429" s="1" t="s">
        <v>2110</v>
      </c>
      <c r="D429" s="1" t="s">
        <v>2111</v>
      </c>
      <c r="E429" s="1" t="s">
        <v>11</v>
      </c>
      <c r="F429" s="2" t="s">
        <v>4472</v>
      </c>
      <c r="G429" s="1" t="s">
        <v>13</v>
      </c>
      <c r="H429" s="6" t="e" vm="72">
        <v>#VALUE!</v>
      </c>
    </row>
    <row r="430" spans="1:8" x14ac:dyDescent="0.25">
      <c r="A430" s="1">
        <v>506</v>
      </c>
      <c r="B430" s="1" t="s">
        <v>2113</v>
      </c>
      <c r="C430" s="1" t="s">
        <v>2114</v>
      </c>
      <c r="D430" s="1" t="s">
        <v>2115</v>
      </c>
      <c r="E430" s="1" t="s">
        <v>18</v>
      </c>
      <c r="F430" s="2" t="s">
        <v>4473</v>
      </c>
      <c r="G430" s="1" t="s">
        <v>13</v>
      </c>
      <c r="H430" s="6" t="e" vm="69">
        <v>#VALUE!</v>
      </c>
    </row>
    <row r="431" spans="1:8" x14ac:dyDescent="0.25">
      <c r="A431" s="1">
        <v>507</v>
      </c>
      <c r="B431" s="1" t="s">
        <v>2117</v>
      </c>
      <c r="C431" s="1" t="s">
        <v>2118</v>
      </c>
      <c r="D431" s="1" t="s">
        <v>2119</v>
      </c>
      <c r="E431" s="1" t="s">
        <v>4045</v>
      </c>
      <c r="F431" s="2" t="s">
        <v>4474</v>
      </c>
      <c r="G431" s="1" t="s">
        <v>13</v>
      </c>
      <c r="H431" s="6" t="e" vm="68">
        <v>#VALUE!</v>
      </c>
    </row>
    <row r="432" spans="1:8" x14ac:dyDescent="0.25">
      <c r="A432" s="1">
        <v>508</v>
      </c>
      <c r="B432" s="1" t="s">
        <v>2121</v>
      </c>
      <c r="C432" s="1" t="s">
        <v>2122</v>
      </c>
      <c r="D432" s="1" t="s">
        <v>2123</v>
      </c>
      <c r="E432" s="1" t="s">
        <v>4045</v>
      </c>
      <c r="F432" s="2" t="s">
        <v>4475</v>
      </c>
      <c r="G432" s="1" t="s">
        <v>13</v>
      </c>
      <c r="H432" s="6" t="e" vm="20">
        <v>#VALUE!</v>
      </c>
    </row>
    <row r="433" spans="1:8" x14ac:dyDescent="0.25">
      <c r="A433" s="1">
        <v>509</v>
      </c>
      <c r="B433" s="1" t="s">
        <v>2125</v>
      </c>
      <c r="C433" s="1" t="s">
        <v>2126</v>
      </c>
      <c r="D433" s="1" t="s">
        <v>2127</v>
      </c>
      <c r="E433" s="1" t="s">
        <v>4045</v>
      </c>
      <c r="F433" s="2" t="s">
        <v>4476</v>
      </c>
      <c r="G433" s="1" t="s">
        <v>13</v>
      </c>
      <c r="H433" s="6" t="e" vm="32">
        <v>#VALUE!</v>
      </c>
    </row>
    <row r="434" spans="1:8" x14ac:dyDescent="0.25">
      <c r="A434" s="1">
        <v>510</v>
      </c>
      <c r="B434" s="1" t="s">
        <v>2129</v>
      </c>
      <c r="C434" s="1" t="s">
        <v>2130</v>
      </c>
      <c r="D434" s="1" t="s">
        <v>2131</v>
      </c>
      <c r="E434" s="1" t="s">
        <v>18</v>
      </c>
      <c r="F434" s="2" t="s">
        <v>4477</v>
      </c>
      <c r="G434" s="1" t="s">
        <v>13</v>
      </c>
      <c r="H434" s="6" t="s">
        <v>4039</v>
      </c>
    </row>
    <row r="435" spans="1:8" x14ac:dyDescent="0.25">
      <c r="A435" s="1">
        <v>511</v>
      </c>
      <c r="B435" s="1" t="s">
        <v>2133</v>
      </c>
      <c r="C435" s="1" t="s">
        <v>2134</v>
      </c>
      <c r="D435" s="1" t="s">
        <v>2135</v>
      </c>
      <c r="E435" s="1" t="s">
        <v>18</v>
      </c>
      <c r="F435" s="2" t="s">
        <v>4478</v>
      </c>
      <c r="G435" s="1" t="s">
        <v>13</v>
      </c>
      <c r="H435" s="6" t="e" vm="49">
        <v>#VALUE!</v>
      </c>
    </row>
    <row r="436" spans="1:8" x14ac:dyDescent="0.25">
      <c r="A436" s="1">
        <v>512</v>
      </c>
      <c r="B436" s="1" t="s">
        <v>2137</v>
      </c>
      <c r="C436" s="1" t="s">
        <v>2138</v>
      </c>
      <c r="D436" s="1" t="s">
        <v>2139</v>
      </c>
      <c r="E436" s="1" t="s">
        <v>11</v>
      </c>
      <c r="F436" s="2" t="s">
        <v>4479</v>
      </c>
      <c r="G436" s="1" t="s">
        <v>13</v>
      </c>
      <c r="H436" s="6" t="e" vm="48">
        <v>#VALUE!</v>
      </c>
    </row>
    <row r="437" spans="1:8" x14ac:dyDescent="0.25">
      <c r="A437" s="1">
        <v>515</v>
      </c>
      <c r="B437" s="1" t="s">
        <v>2148</v>
      </c>
      <c r="C437" s="1" t="s">
        <v>2149</v>
      </c>
      <c r="D437" s="1" t="s">
        <v>2150</v>
      </c>
      <c r="E437" s="1" t="s">
        <v>18</v>
      </c>
      <c r="F437" s="2" t="s">
        <v>4480</v>
      </c>
      <c r="G437" s="1" t="s">
        <v>13</v>
      </c>
      <c r="H437" s="6" t="e" vm="73">
        <v>#VALUE!</v>
      </c>
    </row>
    <row r="438" spans="1:8" x14ac:dyDescent="0.25">
      <c r="A438" s="1">
        <v>516</v>
      </c>
      <c r="B438" s="1" t="s">
        <v>2152</v>
      </c>
      <c r="C438" s="1" t="s">
        <v>2153</v>
      </c>
      <c r="D438" s="1" t="s">
        <v>2154</v>
      </c>
      <c r="E438" s="1" t="s">
        <v>18</v>
      </c>
      <c r="F438" s="2" t="s">
        <v>4481</v>
      </c>
      <c r="G438" s="1" t="s">
        <v>13</v>
      </c>
      <c r="H438" s="6" t="e" vm="13">
        <v>#VALUE!</v>
      </c>
    </row>
    <row r="439" spans="1:8" x14ac:dyDescent="0.25">
      <c r="A439" s="1">
        <v>517</v>
      </c>
      <c r="B439" s="1" t="s">
        <v>2156</v>
      </c>
      <c r="C439" s="1" t="s">
        <v>2157</v>
      </c>
      <c r="D439" s="1" t="s">
        <v>2158</v>
      </c>
      <c r="E439" s="1" t="s">
        <v>11</v>
      </c>
      <c r="F439" s="2" t="s">
        <v>4482</v>
      </c>
      <c r="G439" s="1" t="s">
        <v>13</v>
      </c>
      <c r="H439" s="6" t="e" vm="9">
        <v>#VALUE!</v>
      </c>
    </row>
    <row r="440" spans="1:8" x14ac:dyDescent="0.25">
      <c r="A440" s="1">
        <v>518</v>
      </c>
      <c r="B440" s="1" t="s">
        <v>2160</v>
      </c>
      <c r="C440" s="1" t="s">
        <v>2161</v>
      </c>
      <c r="D440" s="1" t="s">
        <v>2162</v>
      </c>
      <c r="E440" s="1" t="s">
        <v>18</v>
      </c>
      <c r="F440" s="2" t="s">
        <v>4483</v>
      </c>
      <c r="G440" s="1" t="s">
        <v>13</v>
      </c>
      <c r="H440" s="6" t="e" vm="75">
        <v>#VALUE!</v>
      </c>
    </row>
    <row r="441" spans="1:8" x14ac:dyDescent="0.25">
      <c r="A441" s="1">
        <v>519</v>
      </c>
      <c r="B441" s="1" t="s">
        <v>2164</v>
      </c>
      <c r="C441" s="1" t="s">
        <v>2165</v>
      </c>
      <c r="D441" s="1" t="s">
        <v>2166</v>
      </c>
      <c r="E441" s="1" t="s">
        <v>11</v>
      </c>
      <c r="F441" s="2" t="s">
        <v>4484</v>
      </c>
      <c r="G441" s="1" t="s">
        <v>13</v>
      </c>
      <c r="H441" s="6" t="e" vm="33">
        <v>#VALUE!</v>
      </c>
    </row>
    <row r="442" spans="1:8" x14ac:dyDescent="0.25">
      <c r="A442" s="1">
        <v>520</v>
      </c>
      <c r="B442" s="1" t="s">
        <v>2168</v>
      </c>
      <c r="C442" s="1" t="s">
        <v>2169</v>
      </c>
      <c r="D442" s="1" t="s">
        <v>2170</v>
      </c>
      <c r="E442" s="1" t="s">
        <v>11</v>
      </c>
      <c r="F442" s="2" t="s">
        <v>4485</v>
      </c>
      <c r="G442" s="1" t="s">
        <v>13</v>
      </c>
      <c r="H442" s="6" t="e" vm="21">
        <v>#VALUE!</v>
      </c>
    </row>
    <row r="443" spans="1:8" x14ac:dyDescent="0.25">
      <c r="A443" s="1">
        <v>521</v>
      </c>
      <c r="B443" s="1" t="s">
        <v>2172</v>
      </c>
      <c r="C443" s="1" t="s">
        <v>2173</v>
      </c>
      <c r="D443" s="1" t="s">
        <v>2174</v>
      </c>
      <c r="E443" s="1" t="s">
        <v>11</v>
      </c>
      <c r="F443" s="2" t="s">
        <v>4486</v>
      </c>
      <c r="G443" s="1" t="s">
        <v>13</v>
      </c>
      <c r="H443" s="6" t="e" vm="47">
        <v>#VALUE!</v>
      </c>
    </row>
    <row r="444" spans="1:8" x14ac:dyDescent="0.25">
      <c r="A444" s="1">
        <v>522</v>
      </c>
      <c r="B444" s="1" t="s">
        <v>2176</v>
      </c>
      <c r="C444" s="1" t="s">
        <v>1091</v>
      </c>
      <c r="D444" s="1" t="s">
        <v>2177</v>
      </c>
      <c r="E444" s="1" t="s">
        <v>18</v>
      </c>
      <c r="F444" s="2" t="s">
        <v>4487</v>
      </c>
      <c r="G444" s="1" t="s">
        <v>13</v>
      </c>
      <c r="H444" s="6" t="e" vm="59">
        <v>#VALUE!</v>
      </c>
    </row>
    <row r="445" spans="1:8" x14ac:dyDescent="0.25">
      <c r="A445" s="1">
        <v>524</v>
      </c>
      <c r="B445" s="1" t="s">
        <v>2183</v>
      </c>
      <c r="C445" s="1" t="s">
        <v>2184</v>
      </c>
      <c r="D445" s="1" t="s">
        <v>2185</v>
      </c>
      <c r="E445" s="1" t="s">
        <v>11</v>
      </c>
      <c r="F445" s="2" t="s">
        <v>4488</v>
      </c>
      <c r="G445" s="1" t="s">
        <v>13</v>
      </c>
      <c r="H445" s="6" t="e" vm="66">
        <v>#VALUE!</v>
      </c>
    </row>
    <row r="446" spans="1:8" x14ac:dyDescent="0.25">
      <c r="A446" s="1">
        <v>526</v>
      </c>
      <c r="B446" s="1" t="s">
        <v>2191</v>
      </c>
      <c r="C446" s="1" t="s">
        <v>2192</v>
      </c>
      <c r="D446" s="1" t="s">
        <v>2193</v>
      </c>
      <c r="E446" s="1" t="s">
        <v>18</v>
      </c>
      <c r="F446" s="2" t="s">
        <v>4489</v>
      </c>
      <c r="G446" s="1" t="s">
        <v>13</v>
      </c>
      <c r="H446" s="6" t="e" vm="51">
        <v>#VALUE!</v>
      </c>
    </row>
    <row r="447" spans="1:8" x14ac:dyDescent="0.25">
      <c r="A447" s="1">
        <v>527</v>
      </c>
      <c r="B447" s="1" t="s">
        <v>2195</v>
      </c>
      <c r="C447" s="1" t="s">
        <v>2196</v>
      </c>
      <c r="D447" s="1" t="s">
        <v>2197</v>
      </c>
      <c r="E447" s="1" t="s">
        <v>18</v>
      </c>
      <c r="F447" s="2" t="s">
        <v>4490</v>
      </c>
      <c r="G447" s="1" t="s">
        <v>13</v>
      </c>
      <c r="H447" s="6" t="e" vm="10">
        <v>#VALUE!</v>
      </c>
    </row>
    <row r="448" spans="1:8" x14ac:dyDescent="0.25">
      <c r="A448" s="1">
        <v>528</v>
      </c>
      <c r="B448" s="1" t="s">
        <v>2199</v>
      </c>
      <c r="C448" s="1" t="s">
        <v>2200</v>
      </c>
      <c r="D448" s="1" t="s">
        <v>2201</v>
      </c>
      <c r="E448" s="1" t="s">
        <v>18</v>
      </c>
      <c r="F448" s="2" t="s">
        <v>4491</v>
      </c>
      <c r="G448" s="1" t="s">
        <v>13</v>
      </c>
      <c r="H448" s="6" t="e" vm="44">
        <v>#VALUE!</v>
      </c>
    </row>
    <row r="449" spans="1:8" x14ac:dyDescent="0.25">
      <c r="A449" s="1">
        <v>529</v>
      </c>
      <c r="B449" s="1" t="s">
        <v>2203</v>
      </c>
      <c r="C449" s="1" t="s">
        <v>2204</v>
      </c>
      <c r="D449" s="1" t="s">
        <v>2205</v>
      </c>
      <c r="E449" s="1" t="s">
        <v>11</v>
      </c>
      <c r="F449" s="2" t="s">
        <v>4492</v>
      </c>
      <c r="G449" s="1" t="s">
        <v>13</v>
      </c>
      <c r="H449" s="6" t="e" vm="74">
        <v>#VALUE!</v>
      </c>
    </row>
    <row r="450" spans="1:8" x14ac:dyDescent="0.25">
      <c r="A450" s="1">
        <v>530</v>
      </c>
      <c r="B450" s="1" t="s">
        <v>2207</v>
      </c>
      <c r="C450" s="1" t="s">
        <v>2208</v>
      </c>
      <c r="D450" s="1" t="s">
        <v>2209</v>
      </c>
      <c r="E450" s="1" t="s">
        <v>18</v>
      </c>
      <c r="F450" s="2" t="s">
        <v>4493</v>
      </c>
      <c r="G450" s="1" t="s">
        <v>13</v>
      </c>
      <c r="H450" s="6" t="e" vm="32">
        <v>#VALUE!</v>
      </c>
    </row>
    <row r="451" spans="1:8" x14ac:dyDescent="0.25">
      <c r="A451" s="1">
        <v>531</v>
      </c>
      <c r="B451" s="1" t="s">
        <v>2211</v>
      </c>
      <c r="C451" s="1" t="s">
        <v>2212</v>
      </c>
      <c r="D451" s="1" t="s">
        <v>2213</v>
      </c>
      <c r="E451" s="1" t="s">
        <v>18</v>
      </c>
      <c r="F451" s="2" t="s">
        <v>4494</v>
      </c>
      <c r="G451" s="1" t="s">
        <v>13</v>
      </c>
      <c r="H451" s="6" t="e" vm="66">
        <v>#VALUE!</v>
      </c>
    </row>
    <row r="452" spans="1:8" x14ac:dyDescent="0.25">
      <c r="A452" s="1">
        <v>532</v>
      </c>
      <c r="B452" s="1" t="s">
        <v>2215</v>
      </c>
      <c r="C452" s="1" t="s">
        <v>2216</v>
      </c>
      <c r="D452" s="1" t="s">
        <v>2217</v>
      </c>
      <c r="E452" s="1" t="s">
        <v>18</v>
      </c>
      <c r="F452" s="2" t="s">
        <v>4495</v>
      </c>
      <c r="G452" s="1" t="s">
        <v>13</v>
      </c>
      <c r="H452" s="6" t="e" vm="66">
        <v>#VALUE!</v>
      </c>
    </row>
    <row r="453" spans="1:8" x14ac:dyDescent="0.25">
      <c r="A453" s="1">
        <v>533</v>
      </c>
      <c r="B453" s="1" t="s">
        <v>2219</v>
      </c>
      <c r="C453" s="1" t="s">
        <v>2220</v>
      </c>
      <c r="D453" s="1" t="s">
        <v>2221</v>
      </c>
      <c r="E453" s="1" t="s">
        <v>18</v>
      </c>
      <c r="F453" s="2" t="s">
        <v>4496</v>
      </c>
      <c r="G453" s="1" t="s">
        <v>13</v>
      </c>
      <c r="H453" s="6" t="e" vm="35">
        <v>#VALUE!</v>
      </c>
    </row>
    <row r="454" spans="1:8" x14ac:dyDescent="0.25">
      <c r="A454" s="1">
        <v>534</v>
      </c>
      <c r="B454" s="1" t="s">
        <v>2223</v>
      </c>
      <c r="C454" s="1" t="s">
        <v>2224</v>
      </c>
      <c r="D454" s="1" t="s">
        <v>2225</v>
      </c>
      <c r="E454" s="1" t="s">
        <v>11</v>
      </c>
      <c r="F454" s="2" t="s">
        <v>4497</v>
      </c>
      <c r="G454" s="1" t="s">
        <v>13</v>
      </c>
      <c r="H454" s="6" t="e" vm="28">
        <v>#VALUE!</v>
      </c>
    </row>
    <row r="455" spans="1:8" x14ac:dyDescent="0.25">
      <c r="A455" s="1">
        <v>535</v>
      </c>
      <c r="B455" s="1" t="s">
        <v>1739</v>
      </c>
      <c r="C455" s="1" t="s">
        <v>2227</v>
      </c>
      <c r="D455" s="1" t="s">
        <v>2228</v>
      </c>
      <c r="E455" s="1" t="s">
        <v>18</v>
      </c>
      <c r="F455" s="2" t="s">
        <v>4498</v>
      </c>
      <c r="G455" s="1" t="s">
        <v>13</v>
      </c>
      <c r="H455" s="6" t="e" vm="50">
        <v>#VALUE!</v>
      </c>
    </row>
    <row r="456" spans="1:8" x14ac:dyDescent="0.25">
      <c r="A456" s="1">
        <v>536</v>
      </c>
      <c r="B456" s="1" t="s">
        <v>2230</v>
      </c>
      <c r="C456" s="1" t="s">
        <v>2231</v>
      </c>
      <c r="D456" s="1" t="s">
        <v>2232</v>
      </c>
      <c r="E456" s="1" t="s">
        <v>11</v>
      </c>
      <c r="F456" s="2" t="s">
        <v>4499</v>
      </c>
      <c r="G456" s="1" t="s">
        <v>13</v>
      </c>
      <c r="H456" s="6" t="e" vm="37">
        <v>#VALUE!</v>
      </c>
    </row>
    <row r="457" spans="1:8" x14ac:dyDescent="0.25">
      <c r="A457" s="1">
        <v>538</v>
      </c>
      <c r="B457" s="1" t="s">
        <v>2238</v>
      </c>
      <c r="C457" s="1" t="s">
        <v>2239</v>
      </c>
      <c r="D457" s="1" t="s">
        <v>2240</v>
      </c>
      <c r="E457" s="1" t="s">
        <v>18</v>
      </c>
      <c r="F457" s="2" t="s">
        <v>4500</v>
      </c>
      <c r="G457" s="1" t="s">
        <v>13</v>
      </c>
      <c r="H457" s="6" t="e" vm="4">
        <v>#VALUE!</v>
      </c>
    </row>
    <row r="458" spans="1:8" x14ac:dyDescent="0.25">
      <c r="A458" s="1">
        <v>539</v>
      </c>
      <c r="B458" s="1" t="s">
        <v>2242</v>
      </c>
      <c r="C458" s="1" t="s">
        <v>2243</v>
      </c>
      <c r="D458" s="1" t="s">
        <v>2244</v>
      </c>
      <c r="E458" s="1" t="s">
        <v>18</v>
      </c>
      <c r="F458" s="2" t="s">
        <v>4501</v>
      </c>
      <c r="G458" s="1" t="s">
        <v>13</v>
      </c>
      <c r="H458" s="6" t="e" vm="73">
        <v>#VALUE!</v>
      </c>
    </row>
    <row r="459" spans="1:8" x14ac:dyDescent="0.25">
      <c r="A459" s="1">
        <v>540</v>
      </c>
      <c r="B459" s="1" t="s">
        <v>1441</v>
      </c>
      <c r="C459" s="1" t="s">
        <v>2246</v>
      </c>
      <c r="D459" s="1" t="s">
        <v>2247</v>
      </c>
      <c r="E459" s="1" t="s">
        <v>11</v>
      </c>
      <c r="F459" s="2" t="s">
        <v>4502</v>
      </c>
      <c r="G459" s="1" t="s">
        <v>13</v>
      </c>
      <c r="H459" s="6" t="e" vm="2">
        <v>#VALUE!</v>
      </c>
    </row>
    <row r="460" spans="1:8" x14ac:dyDescent="0.25">
      <c r="A460" s="1">
        <v>541</v>
      </c>
      <c r="B460" s="1" t="s">
        <v>2249</v>
      </c>
      <c r="C460" s="1" t="s">
        <v>2250</v>
      </c>
      <c r="D460" s="1" t="s">
        <v>2251</v>
      </c>
      <c r="E460" s="1" t="s">
        <v>11</v>
      </c>
      <c r="F460" s="2" t="s">
        <v>4503</v>
      </c>
      <c r="G460" s="1" t="s">
        <v>13</v>
      </c>
      <c r="H460" s="6" t="e" vm="67">
        <v>#VALUE!</v>
      </c>
    </row>
    <row r="461" spans="1:8" x14ac:dyDescent="0.25">
      <c r="A461" s="1">
        <v>542</v>
      </c>
      <c r="B461" s="1" t="s">
        <v>2253</v>
      </c>
      <c r="C461" s="1" t="s">
        <v>2254</v>
      </c>
      <c r="D461" s="1" t="s">
        <v>2255</v>
      </c>
      <c r="E461" s="1" t="s">
        <v>11</v>
      </c>
      <c r="F461" s="2" t="s">
        <v>4504</v>
      </c>
      <c r="G461" s="1" t="s">
        <v>13</v>
      </c>
      <c r="H461" s="6" t="e" vm="50">
        <v>#VALUE!</v>
      </c>
    </row>
    <row r="462" spans="1:8" x14ac:dyDescent="0.25">
      <c r="A462" s="1">
        <v>544</v>
      </c>
      <c r="B462" s="1" t="s">
        <v>2260</v>
      </c>
      <c r="C462" s="1" t="s">
        <v>2261</v>
      </c>
      <c r="D462" s="1" t="s">
        <v>2262</v>
      </c>
      <c r="E462" s="1" t="s">
        <v>18</v>
      </c>
      <c r="F462" s="2" t="s">
        <v>4505</v>
      </c>
      <c r="G462" s="1" t="s">
        <v>13</v>
      </c>
      <c r="H462" s="6" t="e" vm="28">
        <v>#VALUE!</v>
      </c>
    </row>
    <row r="463" spans="1:8" x14ac:dyDescent="0.25">
      <c r="A463" s="1">
        <v>545</v>
      </c>
      <c r="B463" s="1" t="s">
        <v>2264</v>
      </c>
      <c r="C463" s="1" t="s">
        <v>2265</v>
      </c>
      <c r="D463" s="1" t="s">
        <v>2266</v>
      </c>
      <c r="E463" s="1" t="s">
        <v>11</v>
      </c>
      <c r="F463" s="2" t="s">
        <v>4506</v>
      </c>
      <c r="G463" s="1" t="s">
        <v>13</v>
      </c>
      <c r="H463" s="6" t="e" vm="40">
        <v>#VALUE!</v>
      </c>
    </row>
    <row r="464" spans="1:8" x14ac:dyDescent="0.25">
      <c r="A464" s="1">
        <v>546</v>
      </c>
      <c r="B464" s="1" t="s">
        <v>42</v>
      </c>
      <c r="C464" s="1" t="s">
        <v>2268</v>
      </c>
      <c r="D464" s="1" t="s">
        <v>2269</v>
      </c>
      <c r="E464" s="1" t="s">
        <v>11</v>
      </c>
      <c r="F464" s="2" t="s">
        <v>4507</v>
      </c>
      <c r="G464" s="1" t="s">
        <v>13</v>
      </c>
      <c r="H464" s="6" t="e" vm="17">
        <v>#VALUE!</v>
      </c>
    </row>
    <row r="465" spans="1:8" x14ac:dyDescent="0.25">
      <c r="A465" s="1">
        <v>547</v>
      </c>
      <c r="B465" s="1" t="s">
        <v>1400</v>
      </c>
      <c r="C465" s="1" t="s">
        <v>2271</v>
      </c>
      <c r="D465" s="1" t="s">
        <v>2272</v>
      </c>
      <c r="E465" s="1" t="s">
        <v>18</v>
      </c>
      <c r="F465" s="2" t="s">
        <v>4508</v>
      </c>
      <c r="G465" s="1" t="s">
        <v>13</v>
      </c>
      <c r="H465" s="6" t="e" vm="7">
        <v>#VALUE!</v>
      </c>
    </row>
    <row r="466" spans="1:8" x14ac:dyDescent="0.25">
      <c r="A466" s="1">
        <v>548</v>
      </c>
      <c r="B466" s="1" t="s">
        <v>2274</v>
      </c>
      <c r="C466" s="1" t="s">
        <v>2275</v>
      </c>
      <c r="D466" s="1" t="s">
        <v>2276</v>
      </c>
      <c r="E466" s="1" t="s">
        <v>11</v>
      </c>
      <c r="F466" s="2" t="s">
        <v>4509</v>
      </c>
      <c r="G466" s="1" t="s">
        <v>13</v>
      </c>
      <c r="H466" s="6" t="e" vm="14">
        <v>#VALUE!</v>
      </c>
    </row>
    <row r="467" spans="1:8" x14ac:dyDescent="0.25">
      <c r="A467" s="1">
        <v>549</v>
      </c>
      <c r="B467" s="1" t="s">
        <v>2278</v>
      </c>
      <c r="C467" s="1" t="s">
        <v>2279</v>
      </c>
      <c r="D467" s="1" t="s">
        <v>2280</v>
      </c>
      <c r="E467" s="1" t="s">
        <v>11</v>
      </c>
      <c r="F467" s="2" t="s">
        <v>4510</v>
      </c>
      <c r="G467" s="1" t="s">
        <v>13</v>
      </c>
      <c r="H467" s="6" t="e" vm="76">
        <v>#VALUE!</v>
      </c>
    </row>
    <row r="468" spans="1:8" x14ac:dyDescent="0.25">
      <c r="A468" s="1">
        <v>550</v>
      </c>
      <c r="B468" s="1" t="s">
        <v>1131</v>
      </c>
      <c r="C468" s="1" t="s">
        <v>2282</v>
      </c>
      <c r="D468" s="1" t="s">
        <v>2283</v>
      </c>
      <c r="E468" s="1" t="s">
        <v>18</v>
      </c>
      <c r="F468" s="2" t="s">
        <v>4511</v>
      </c>
      <c r="G468" s="1" t="s">
        <v>13</v>
      </c>
      <c r="H468" s="6" t="e" vm="54">
        <v>#VALUE!</v>
      </c>
    </row>
    <row r="469" spans="1:8" x14ac:dyDescent="0.25">
      <c r="A469" s="1">
        <v>551</v>
      </c>
      <c r="B469" s="1" t="s">
        <v>2285</v>
      </c>
      <c r="C469" s="1" t="s">
        <v>2286</v>
      </c>
      <c r="D469" s="1" t="s">
        <v>2287</v>
      </c>
      <c r="E469" s="1" t="s">
        <v>18</v>
      </c>
      <c r="F469" s="2" t="s">
        <v>4512</v>
      </c>
      <c r="G469" s="1" t="s">
        <v>13</v>
      </c>
      <c r="H469" s="6" t="e" vm="31">
        <v>#VALUE!</v>
      </c>
    </row>
    <row r="470" spans="1:8" x14ac:dyDescent="0.25">
      <c r="A470" s="1">
        <v>552</v>
      </c>
      <c r="B470" s="1" t="s">
        <v>2289</v>
      </c>
      <c r="C470" s="1" t="s">
        <v>2290</v>
      </c>
      <c r="D470" s="1" t="s">
        <v>2291</v>
      </c>
      <c r="E470" s="1" t="s">
        <v>18</v>
      </c>
      <c r="F470" s="2" t="s">
        <v>4513</v>
      </c>
      <c r="G470" s="1" t="s">
        <v>13</v>
      </c>
      <c r="H470" s="6" t="e" vm="49">
        <v>#VALUE!</v>
      </c>
    </row>
    <row r="471" spans="1:8" x14ac:dyDescent="0.25">
      <c r="A471" s="1">
        <v>553</v>
      </c>
      <c r="B471" s="1" t="s">
        <v>2293</v>
      </c>
      <c r="C471" s="1" t="s">
        <v>2294</v>
      </c>
      <c r="D471" s="1" t="s">
        <v>2295</v>
      </c>
      <c r="E471" s="1" t="s">
        <v>11</v>
      </c>
      <c r="F471" s="2" t="s">
        <v>4514</v>
      </c>
      <c r="G471" s="1" t="s">
        <v>13</v>
      </c>
      <c r="H471" s="6" t="e" vm="32">
        <v>#VALUE!</v>
      </c>
    </row>
    <row r="472" spans="1:8" x14ac:dyDescent="0.25">
      <c r="A472" s="1">
        <v>554</v>
      </c>
      <c r="B472" s="1" t="s">
        <v>2297</v>
      </c>
      <c r="C472" s="1" t="s">
        <v>2298</v>
      </c>
      <c r="D472" s="1" t="s">
        <v>2299</v>
      </c>
      <c r="E472" s="1" t="s">
        <v>18</v>
      </c>
      <c r="F472" s="2" t="s">
        <v>4515</v>
      </c>
      <c r="G472" s="1" t="s">
        <v>13</v>
      </c>
      <c r="H472" s="6" t="e" vm="27">
        <v>#VALUE!</v>
      </c>
    </row>
    <row r="473" spans="1:8" x14ac:dyDescent="0.25">
      <c r="A473" s="1">
        <v>555</v>
      </c>
      <c r="B473" s="1" t="s">
        <v>2301</v>
      </c>
      <c r="C473" s="1" t="s">
        <v>2302</v>
      </c>
      <c r="D473" s="1" t="s">
        <v>2303</v>
      </c>
      <c r="E473" s="1" t="s">
        <v>18</v>
      </c>
      <c r="F473" s="2" t="s">
        <v>4516</v>
      </c>
      <c r="G473" s="1" t="s">
        <v>13</v>
      </c>
      <c r="H473" s="6" t="e" vm="8">
        <v>#VALUE!</v>
      </c>
    </row>
    <row r="474" spans="1:8" x14ac:dyDescent="0.25">
      <c r="A474" s="1">
        <v>556</v>
      </c>
      <c r="B474" s="1" t="s">
        <v>2305</v>
      </c>
      <c r="C474" s="1" t="s">
        <v>2306</v>
      </c>
      <c r="D474" s="1" t="s">
        <v>2307</v>
      </c>
      <c r="E474" s="1" t="s">
        <v>18</v>
      </c>
      <c r="F474" s="2" t="s">
        <v>4517</v>
      </c>
      <c r="G474" s="1" t="s">
        <v>13</v>
      </c>
      <c r="H474" s="6" t="e" vm="38">
        <v>#VALUE!</v>
      </c>
    </row>
    <row r="475" spans="1:8" x14ac:dyDescent="0.25">
      <c r="A475" s="1">
        <v>557</v>
      </c>
      <c r="B475" s="1" t="s">
        <v>2309</v>
      </c>
      <c r="C475" s="1" t="s">
        <v>2310</v>
      </c>
      <c r="D475" s="1" t="s">
        <v>2311</v>
      </c>
      <c r="E475" s="1" t="s">
        <v>18</v>
      </c>
      <c r="F475" s="2" t="s">
        <v>4518</v>
      </c>
      <c r="G475" s="1" t="s">
        <v>13</v>
      </c>
      <c r="H475" s="6" t="e" vm="7">
        <v>#VALUE!</v>
      </c>
    </row>
    <row r="476" spans="1:8" x14ac:dyDescent="0.25">
      <c r="A476" s="1">
        <v>558</v>
      </c>
      <c r="B476" s="1" t="s">
        <v>2313</v>
      </c>
      <c r="C476" s="1" t="s">
        <v>2314</v>
      </c>
      <c r="D476" s="1" t="s">
        <v>2315</v>
      </c>
      <c r="E476" s="1" t="s">
        <v>18</v>
      </c>
      <c r="F476" s="2" t="s">
        <v>4519</v>
      </c>
      <c r="G476" s="1" t="s">
        <v>13</v>
      </c>
      <c r="H476" s="6" t="e" vm="37">
        <v>#VALUE!</v>
      </c>
    </row>
    <row r="477" spans="1:8" x14ac:dyDescent="0.25">
      <c r="A477" s="1">
        <v>559</v>
      </c>
      <c r="B477" s="1" t="s">
        <v>2317</v>
      </c>
      <c r="C477" s="1" t="s">
        <v>2318</v>
      </c>
      <c r="D477" s="1" t="s">
        <v>2319</v>
      </c>
      <c r="E477" s="1" t="s">
        <v>4045</v>
      </c>
      <c r="F477" s="2" t="s">
        <v>4520</v>
      </c>
      <c r="G477" s="1" t="s">
        <v>13</v>
      </c>
      <c r="H477" s="6" t="e" vm="25">
        <v>#VALUE!</v>
      </c>
    </row>
    <row r="478" spans="1:8" x14ac:dyDescent="0.25">
      <c r="A478" s="1">
        <v>560</v>
      </c>
      <c r="B478" s="1" t="s">
        <v>2321</v>
      </c>
      <c r="C478" s="1" t="s">
        <v>2322</v>
      </c>
      <c r="D478" s="1" t="s">
        <v>2323</v>
      </c>
      <c r="E478" s="1" t="s">
        <v>18</v>
      </c>
      <c r="F478" s="2" t="s">
        <v>4521</v>
      </c>
      <c r="G478" s="1" t="s">
        <v>13</v>
      </c>
      <c r="H478" s="6" t="e" vm="24">
        <v>#VALUE!</v>
      </c>
    </row>
    <row r="479" spans="1:8" x14ac:dyDescent="0.25">
      <c r="A479" s="1">
        <v>561</v>
      </c>
      <c r="B479" s="1" t="s">
        <v>2325</v>
      </c>
      <c r="C479" s="1" t="s">
        <v>2326</v>
      </c>
      <c r="D479" s="1" t="s">
        <v>2327</v>
      </c>
      <c r="E479" s="1" t="s">
        <v>11</v>
      </c>
      <c r="F479" s="2" t="s">
        <v>4522</v>
      </c>
      <c r="G479" s="1" t="s">
        <v>13</v>
      </c>
      <c r="H479" s="6" t="e" vm="68">
        <v>#VALUE!</v>
      </c>
    </row>
    <row r="480" spans="1:8" x14ac:dyDescent="0.25">
      <c r="A480" s="1">
        <v>562</v>
      </c>
      <c r="B480" s="1" t="s">
        <v>2329</v>
      </c>
      <c r="C480" s="1" t="s">
        <v>2330</v>
      </c>
      <c r="D480" s="1" t="s">
        <v>2331</v>
      </c>
      <c r="E480" s="1" t="s">
        <v>11</v>
      </c>
      <c r="F480" s="2" t="s">
        <v>4523</v>
      </c>
      <c r="G480" s="1" t="s">
        <v>13</v>
      </c>
      <c r="H480" s="6" t="e" vm="18">
        <v>#VALUE!</v>
      </c>
    </row>
    <row r="481" spans="1:8" x14ac:dyDescent="0.25">
      <c r="A481" s="1">
        <v>563</v>
      </c>
      <c r="B481" s="1" t="s">
        <v>2333</v>
      </c>
      <c r="C481" s="1" t="s">
        <v>2334</v>
      </c>
      <c r="D481" s="1" t="s">
        <v>2335</v>
      </c>
      <c r="E481" s="1" t="s">
        <v>11</v>
      </c>
      <c r="F481" s="2" t="s">
        <v>4524</v>
      </c>
      <c r="G481" s="1" t="s">
        <v>13</v>
      </c>
      <c r="H481" s="6" t="e" vm="80">
        <v>#VALUE!</v>
      </c>
    </row>
    <row r="482" spans="1:8" x14ac:dyDescent="0.25">
      <c r="A482" s="1">
        <v>564</v>
      </c>
      <c r="B482" s="1" t="s">
        <v>2337</v>
      </c>
      <c r="C482" s="1" t="s">
        <v>2338</v>
      </c>
      <c r="D482" s="1" t="s">
        <v>2339</v>
      </c>
      <c r="E482" s="1" t="s">
        <v>18</v>
      </c>
      <c r="F482" s="2" t="s">
        <v>4525</v>
      </c>
      <c r="G482" s="1" t="s">
        <v>13</v>
      </c>
      <c r="H482" s="6" t="e" vm="28">
        <v>#VALUE!</v>
      </c>
    </row>
    <row r="483" spans="1:8" x14ac:dyDescent="0.25">
      <c r="A483" s="1">
        <v>565</v>
      </c>
      <c r="B483" s="1" t="s">
        <v>2341</v>
      </c>
      <c r="C483" s="1" t="s">
        <v>2342</v>
      </c>
      <c r="D483" s="1" t="s">
        <v>2343</v>
      </c>
      <c r="E483" s="1" t="s">
        <v>18</v>
      </c>
      <c r="F483" s="2" t="s">
        <v>4526</v>
      </c>
      <c r="G483" s="1" t="s">
        <v>13</v>
      </c>
      <c r="H483" s="6" t="e" vm="73">
        <v>#VALUE!</v>
      </c>
    </row>
    <row r="484" spans="1:8" x14ac:dyDescent="0.25">
      <c r="A484" s="1">
        <v>566</v>
      </c>
      <c r="B484" s="1" t="s">
        <v>2345</v>
      </c>
      <c r="C484" s="1" t="s">
        <v>2346</v>
      </c>
      <c r="D484" s="1" t="s">
        <v>2347</v>
      </c>
      <c r="E484" s="1" t="s">
        <v>18</v>
      </c>
      <c r="F484" s="2" t="s">
        <v>4527</v>
      </c>
      <c r="G484" s="1" t="s">
        <v>13</v>
      </c>
      <c r="H484" s="6" t="s">
        <v>4039</v>
      </c>
    </row>
    <row r="485" spans="1:8" x14ac:dyDescent="0.25">
      <c r="A485" s="1">
        <v>568</v>
      </c>
      <c r="B485" s="1" t="s">
        <v>2353</v>
      </c>
      <c r="C485" s="1" t="s">
        <v>2354</v>
      </c>
      <c r="D485" s="1" t="s">
        <v>2355</v>
      </c>
      <c r="E485" s="1" t="s">
        <v>18</v>
      </c>
      <c r="F485" s="2" t="s">
        <v>4528</v>
      </c>
      <c r="G485" s="1" t="s">
        <v>13</v>
      </c>
      <c r="H485" s="6" t="e" vm="29">
        <v>#VALUE!</v>
      </c>
    </row>
    <row r="486" spans="1:8" x14ac:dyDescent="0.25">
      <c r="A486" s="1">
        <v>569</v>
      </c>
      <c r="B486" s="1" t="s">
        <v>2357</v>
      </c>
      <c r="C486" s="1" t="s">
        <v>2358</v>
      </c>
      <c r="D486" s="1" t="s">
        <v>2359</v>
      </c>
      <c r="E486" s="1" t="s">
        <v>18</v>
      </c>
      <c r="F486" s="2" t="s">
        <v>4529</v>
      </c>
      <c r="G486" s="1" t="s">
        <v>13</v>
      </c>
      <c r="H486" s="6" t="e" vm="15">
        <v>#VALUE!</v>
      </c>
    </row>
    <row r="487" spans="1:8" x14ac:dyDescent="0.25">
      <c r="A487" s="1">
        <v>570</v>
      </c>
      <c r="B487" s="1" t="s">
        <v>2361</v>
      </c>
      <c r="C487" s="1" t="s">
        <v>2362</v>
      </c>
      <c r="D487" s="1" t="s">
        <v>2363</v>
      </c>
      <c r="E487" s="1" t="s">
        <v>11</v>
      </c>
      <c r="F487" s="2" t="s">
        <v>4530</v>
      </c>
      <c r="G487" s="1" t="s">
        <v>13</v>
      </c>
      <c r="H487" s="6" t="e" vm="54">
        <v>#VALUE!</v>
      </c>
    </row>
    <row r="488" spans="1:8" x14ac:dyDescent="0.25">
      <c r="A488" s="1">
        <v>571</v>
      </c>
      <c r="B488" s="1" t="s">
        <v>2365</v>
      </c>
      <c r="C488" s="1" t="s">
        <v>2366</v>
      </c>
      <c r="D488" s="1" t="s">
        <v>2367</v>
      </c>
      <c r="E488" s="1" t="s">
        <v>18</v>
      </c>
      <c r="F488" s="2" t="s">
        <v>4531</v>
      </c>
      <c r="G488" s="1" t="s">
        <v>13</v>
      </c>
      <c r="H488" s="6" t="e" vm="14">
        <v>#VALUE!</v>
      </c>
    </row>
    <row r="489" spans="1:8" x14ac:dyDescent="0.25">
      <c r="A489" s="1">
        <v>572</v>
      </c>
      <c r="B489" s="1" t="s">
        <v>1946</v>
      </c>
      <c r="C489" s="1" t="s">
        <v>2369</v>
      </c>
      <c r="D489" s="1" t="s">
        <v>2370</v>
      </c>
      <c r="E489" s="1" t="s">
        <v>11</v>
      </c>
      <c r="F489" s="2" t="s">
        <v>4532</v>
      </c>
      <c r="G489" s="1" t="s">
        <v>13</v>
      </c>
      <c r="H489" s="6" t="e" vm="16">
        <v>#VALUE!</v>
      </c>
    </row>
    <row r="490" spans="1:8" x14ac:dyDescent="0.25">
      <c r="A490" s="1">
        <v>574</v>
      </c>
      <c r="B490" s="1" t="s">
        <v>1606</v>
      </c>
      <c r="C490" s="1" t="s">
        <v>2376</v>
      </c>
      <c r="D490" s="1" t="s">
        <v>2377</v>
      </c>
      <c r="E490" s="1" t="s">
        <v>18</v>
      </c>
      <c r="F490" s="2" t="s">
        <v>4533</v>
      </c>
      <c r="G490" s="1" t="s">
        <v>13</v>
      </c>
      <c r="H490" s="6" t="e" vm="72">
        <v>#VALUE!</v>
      </c>
    </row>
    <row r="491" spans="1:8" x14ac:dyDescent="0.25">
      <c r="A491" s="1">
        <v>575</v>
      </c>
      <c r="B491" s="1" t="s">
        <v>2379</v>
      </c>
      <c r="C491" s="1" t="s">
        <v>2380</v>
      </c>
      <c r="D491" s="1" t="s">
        <v>2381</v>
      </c>
      <c r="E491" s="1" t="s">
        <v>18</v>
      </c>
      <c r="F491" s="2" t="s">
        <v>4534</v>
      </c>
      <c r="G491" s="1" t="s">
        <v>13</v>
      </c>
      <c r="H491" s="6" t="s">
        <v>4037</v>
      </c>
    </row>
    <row r="492" spans="1:8" x14ac:dyDescent="0.25">
      <c r="A492" s="1">
        <v>577</v>
      </c>
      <c r="B492" s="1" t="s">
        <v>2386</v>
      </c>
      <c r="C492" s="1" t="s">
        <v>2387</v>
      </c>
      <c r="D492" s="1" t="s">
        <v>2388</v>
      </c>
      <c r="E492" s="1" t="s">
        <v>11</v>
      </c>
      <c r="F492" s="2" t="s">
        <v>4535</v>
      </c>
      <c r="G492" s="1" t="s">
        <v>13</v>
      </c>
      <c r="H492" s="6" t="e" vm="13">
        <v>#VALUE!</v>
      </c>
    </row>
    <row r="493" spans="1:8" x14ac:dyDescent="0.25">
      <c r="A493" s="1">
        <v>578</v>
      </c>
      <c r="B493" s="1" t="s">
        <v>2242</v>
      </c>
      <c r="C493" s="1" t="s">
        <v>2390</v>
      </c>
      <c r="D493" s="1" t="s">
        <v>2391</v>
      </c>
      <c r="E493" s="1" t="s">
        <v>18</v>
      </c>
      <c r="F493" s="2" t="s">
        <v>4536</v>
      </c>
      <c r="G493" s="1" t="s">
        <v>13</v>
      </c>
      <c r="H493" s="6" t="e" vm="42">
        <v>#VALUE!</v>
      </c>
    </row>
    <row r="494" spans="1:8" x14ac:dyDescent="0.25">
      <c r="A494" s="1">
        <v>579</v>
      </c>
      <c r="B494" s="1" t="s">
        <v>2393</v>
      </c>
      <c r="C494" s="1" t="s">
        <v>2394</v>
      </c>
      <c r="D494" s="1" t="s">
        <v>2395</v>
      </c>
      <c r="E494" s="1" t="s">
        <v>18</v>
      </c>
      <c r="F494" s="2" t="s">
        <v>4537</v>
      </c>
      <c r="G494" s="1" t="s">
        <v>13</v>
      </c>
      <c r="H494" s="6" t="e" vm="10">
        <v>#VALUE!</v>
      </c>
    </row>
    <row r="495" spans="1:8" x14ac:dyDescent="0.25">
      <c r="A495" s="1">
        <v>580</v>
      </c>
      <c r="B495" s="1" t="s">
        <v>2397</v>
      </c>
      <c r="C495" s="1" t="s">
        <v>2398</v>
      </c>
      <c r="D495" s="1" t="s">
        <v>2399</v>
      </c>
      <c r="E495" s="1" t="s">
        <v>11</v>
      </c>
      <c r="F495" s="2" t="s">
        <v>4538</v>
      </c>
      <c r="G495" s="1" t="s">
        <v>13</v>
      </c>
      <c r="H495" s="6" t="e" vm="52">
        <v>#VALUE!</v>
      </c>
    </row>
    <row r="496" spans="1:8" x14ac:dyDescent="0.25">
      <c r="A496" s="1">
        <v>581</v>
      </c>
      <c r="B496" s="1" t="s">
        <v>2401</v>
      </c>
      <c r="C496" s="1" t="s">
        <v>2402</v>
      </c>
      <c r="D496" s="1" t="s">
        <v>2403</v>
      </c>
      <c r="E496" s="1" t="s">
        <v>11</v>
      </c>
      <c r="F496" s="2" t="s">
        <v>4539</v>
      </c>
      <c r="G496" s="1" t="s">
        <v>13</v>
      </c>
      <c r="H496" s="6" t="e" vm="36">
        <v>#VALUE!</v>
      </c>
    </row>
    <row r="497" spans="1:8" x14ac:dyDescent="0.25">
      <c r="A497" s="1">
        <v>582</v>
      </c>
      <c r="B497" s="1" t="s">
        <v>2405</v>
      </c>
      <c r="C497" s="1" t="s">
        <v>2406</v>
      </c>
      <c r="D497" s="1" t="s">
        <v>2407</v>
      </c>
      <c r="E497" s="1" t="s">
        <v>18</v>
      </c>
      <c r="F497" s="2" t="s">
        <v>4540</v>
      </c>
      <c r="G497" s="1" t="s">
        <v>13</v>
      </c>
      <c r="H497" s="6" t="e" vm="71">
        <v>#VALUE!</v>
      </c>
    </row>
    <row r="498" spans="1:8" x14ac:dyDescent="0.25">
      <c r="A498" s="1">
        <v>583</v>
      </c>
      <c r="B498" s="1" t="s">
        <v>2409</v>
      </c>
      <c r="C498" s="1" t="s">
        <v>2410</v>
      </c>
      <c r="D498" s="1" t="s">
        <v>2411</v>
      </c>
      <c r="E498" s="1" t="s">
        <v>18</v>
      </c>
      <c r="F498" s="2" t="s">
        <v>4541</v>
      </c>
      <c r="G498" s="1" t="s">
        <v>13</v>
      </c>
      <c r="H498" s="6" t="e" vm="73">
        <v>#VALUE!</v>
      </c>
    </row>
    <row r="499" spans="1:8" x14ac:dyDescent="0.25">
      <c r="A499" s="1">
        <v>585</v>
      </c>
      <c r="B499" s="1" t="s">
        <v>2417</v>
      </c>
      <c r="C499" s="1" t="s">
        <v>2418</v>
      </c>
      <c r="D499" s="1" t="s">
        <v>2419</v>
      </c>
      <c r="E499" s="1" t="s">
        <v>4045</v>
      </c>
      <c r="F499" s="2" t="s">
        <v>4542</v>
      </c>
      <c r="G499" s="1" t="s">
        <v>13</v>
      </c>
      <c r="H499" s="6" t="e" vm="4">
        <v>#VALUE!</v>
      </c>
    </row>
    <row r="500" spans="1:8" x14ac:dyDescent="0.25">
      <c r="A500" s="1">
        <v>586</v>
      </c>
      <c r="B500" s="1" t="s">
        <v>2421</v>
      </c>
      <c r="C500" s="1" t="s">
        <v>2422</v>
      </c>
      <c r="D500" s="1" t="s">
        <v>2423</v>
      </c>
      <c r="E500" s="1" t="s">
        <v>18</v>
      </c>
      <c r="F500" s="2" t="s">
        <v>4543</v>
      </c>
      <c r="G500" s="1" t="s">
        <v>13</v>
      </c>
      <c r="H500" s="6" t="e" vm="48">
        <v>#VALUE!</v>
      </c>
    </row>
    <row r="501" spans="1:8" x14ac:dyDescent="0.25">
      <c r="A501" s="1">
        <v>587</v>
      </c>
      <c r="B501" s="1" t="s">
        <v>2425</v>
      </c>
      <c r="C501" s="1" t="s">
        <v>2426</v>
      </c>
      <c r="D501" s="1" t="s">
        <v>2427</v>
      </c>
      <c r="E501" s="1" t="s">
        <v>11</v>
      </c>
      <c r="F501" s="2" t="s">
        <v>4544</v>
      </c>
      <c r="G501" s="1" t="s">
        <v>13</v>
      </c>
      <c r="H501" s="6" t="e" vm="70">
        <v>#VALUE!</v>
      </c>
    </row>
    <row r="502" spans="1:8" x14ac:dyDescent="0.25">
      <c r="A502" s="1">
        <v>588</v>
      </c>
      <c r="B502" s="1" t="s">
        <v>2429</v>
      </c>
      <c r="C502" s="1" t="s">
        <v>2430</v>
      </c>
      <c r="D502" s="1" t="s">
        <v>2431</v>
      </c>
      <c r="E502" s="1" t="s">
        <v>18</v>
      </c>
      <c r="F502" s="2" t="s">
        <v>4545</v>
      </c>
      <c r="G502" s="1" t="s">
        <v>13</v>
      </c>
      <c r="H502" s="6" t="e" vm="27">
        <v>#VALUE!</v>
      </c>
    </row>
    <row r="503" spans="1:8" x14ac:dyDescent="0.25">
      <c r="A503" s="1">
        <v>589</v>
      </c>
      <c r="B503" s="1" t="s">
        <v>2433</v>
      </c>
      <c r="C503" s="1" t="s">
        <v>2434</v>
      </c>
      <c r="D503" s="1" t="s">
        <v>2435</v>
      </c>
      <c r="E503" s="1" t="s">
        <v>11</v>
      </c>
      <c r="F503" s="2" t="s">
        <v>4546</v>
      </c>
      <c r="G503" s="1" t="s">
        <v>13</v>
      </c>
      <c r="H503" s="6" t="e" vm="9">
        <v>#VALUE!</v>
      </c>
    </row>
    <row r="504" spans="1:8" x14ac:dyDescent="0.25">
      <c r="A504" s="1">
        <v>592</v>
      </c>
      <c r="B504" s="1" t="s">
        <v>2445</v>
      </c>
      <c r="C504" s="1" t="s">
        <v>2446</v>
      </c>
      <c r="D504" s="1" t="s">
        <v>2447</v>
      </c>
      <c r="E504" s="1" t="s">
        <v>11</v>
      </c>
      <c r="F504" s="2" t="s">
        <v>4547</v>
      </c>
      <c r="G504" s="1" t="s">
        <v>13</v>
      </c>
      <c r="H504" s="6" t="s">
        <v>4038</v>
      </c>
    </row>
    <row r="505" spans="1:8" x14ac:dyDescent="0.25">
      <c r="A505" s="1">
        <v>593</v>
      </c>
      <c r="B505" s="1" t="s">
        <v>2449</v>
      </c>
      <c r="C505" s="1" t="s">
        <v>2450</v>
      </c>
      <c r="D505" s="1" t="s">
        <v>2451</v>
      </c>
      <c r="E505" s="1" t="s">
        <v>11</v>
      </c>
      <c r="F505" s="2" t="s">
        <v>4548</v>
      </c>
      <c r="G505" s="1" t="s">
        <v>13</v>
      </c>
      <c r="H505" s="6" t="e" vm="9">
        <v>#VALUE!</v>
      </c>
    </row>
    <row r="506" spans="1:8" x14ac:dyDescent="0.25">
      <c r="A506" s="1">
        <v>595</v>
      </c>
      <c r="B506" s="1" t="s">
        <v>2457</v>
      </c>
      <c r="C506" s="1" t="s">
        <v>2458</v>
      </c>
      <c r="D506" s="1" t="s">
        <v>2459</v>
      </c>
      <c r="E506" s="1" t="s">
        <v>4045</v>
      </c>
      <c r="F506" s="2" t="s">
        <v>4549</v>
      </c>
      <c r="G506" s="1" t="s">
        <v>13</v>
      </c>
      <c r="H506" s="6" t="e" vm="16">
        <v>#VALUE!</v>
      </c>
    </row>
    <row r="507" spans="1:8" x14ac:dyDescent="0.25">
      <c r="A507" s="1">
        <v>596</v>
      </c>
      <c r="B507" s="1" t="s">
        <v>2461</v>
      </c>
      <c r="C507" s="1" t="s">
        <v>2462</v>
      </c>
      <c r="D507" s="1" t="s">
        <v>2463</v>
      </c>
      <c r="E507" s="1" t="s">
        <v>4045</v>
      </c>
      <c r="F507" s="2" t="s">
        <v>4550</v>
      </c>
      <c r="G507" s="1" t="s">
        <v>13</v>
      </c>
      <c r="H507" s="6" t="e" vm="41">
        <v>#VALUE!</v>
      </c>
    </row>
    <row r="508" spans="1:8" x14ac:dyDescent="0.25">
      <c r="A508" s="1">
        <v>597</v>
      </c>
      <c r="B508" s="1" t="s">
        <v>2465</v>
      </c>
      <c r="C508" s="1" t="s">
        <v>2466</v>
      </c>
      <c r="D508" s="1" t="s">
        <v>2467</v>
      </c>
      <c r="E508" s="1" t="s">
        <v>18</v>
      </c>
      <c r="F508" s="2" t="s">
        <v>4551</v>
      </c>
      <c r="G508" s="1" t="s">
        <v>13</v>
      </c>
      <c r="H508" s="6" t="e" vm="47">
        <v>#VALUE!</v>
      </c>
    </row>
    <row r="509" spans="1:8" x14ac:dyDescent="0.25">
      <c r="A509" s="1">
        <v>598</v>
      </c>
      <c r="B509" s="1" t="s">
        <v>2469</v>
      </c>
      <c r="C509" s="1" t="s">
        <v>2470</v>
      </c>
      <c r="D509" s="1" t="s">
        <v>2471</v>
      </c>
      <c r="E509" s="1" t="s">
        <v>11</v>
      </c>
      <c r="F509" s="2" t="s">
        <v>4552</v>
      </c>
      <c r="G509" s="1" t="s">
        <v>13</v>
      </c>
      <c r="H509" s="6" t="e" vm="11">
        <v>#VALUE!</v>
      </c>
    </row>
    <row r="510" spans="1:8" x14ac:dyDescent="0.25">
      <c r="A510" s="1">
        <v>599</v>
      </c>
      <c r="B510" s="1" t="s">
        <v>2473</v>
      </c>
      <c r="C510" s="1" t="s">
        <v>2474</v>
      </c>
      <c r="D510" s="1" t="s">
        <v>2475</v>
      </c>
      <c r="E510" s="1" t="s">
        <v>11</v>
      </c>
      <c r="F510" s="2" t="s">
        <v>4553</v>
      </c>
      <c r="G510" s="1" t="s">
        <v>13</v>
      </c>
      <c r="H510" s="6" t="e" vm="15">
        <v>#VALUE!</v>
      </c>
    </row>
    <row r="511" spans="1:8" x14ac:dyDescent="0.25">
      <c r="A511" s="1">
        <v>601</v>
      </c>
      <c r="B511" s="1" t="s">
        <v>2481</v>
      </c>
      <c r="C511" s="1" t="s">
        <v>2482</v>
      </c>
      <c r="D511" s="1" t="s">
        <v>2483</v>
      </c>
      <c r="E511" s="1" t="s">
        <v>11</v>
      </c>
      <c r="F511" s="2" t="s">
        <v>4554</v>
      </c>
      <c r="G511" s="1" t="s">
        <v>13</v>
      </c>
      <c r="H511" s="6" t="e" vm="35">
        <v>#VALUE!</v>
      </c>
    </row>
    <row r="512" spans="1:8" x14ac:dyDescent="0.25">
      <c r="A512" s="1">
        <v>602</v>
      </c>
      <c r="B512" s="1" t="s">
        <v>2485</v>
      </c>
      <c r="C512" s="1" t="s">
        <v>2486</v>
      </c>
      <c r="D512" s="1" t="s">
        <v>2487</v>
      </c>
      <c r="E512" s="1" t="s">
        <v>11</v>
      </c>
      <c r="F512" s="2" t="s">
        <v>4555</v>
      </c>
      <c r="G512" s="1" t="s">
        <v>13</v>
      </c>
      <c r="H512" s="6" t="e" vm="10">
        <v>#VALUE!</v>
      </c>
    </row>
    <row r="513" spans="1:8" x14ac:dyDescent="0.25">
      <c r="A513" s="1">
        <v>604</v>
      </c>
      <c r="B513" s="1" t="s">
        <v>2493</v>
      </c>
      <c r="C513" s="1" t="s">
        <v>2494</v>
      </c>
      <c r="D513" s="1" t="s">
        <v>2495</v>
      </c>
      <c r="E513" s="1" t="s">
        <v>18</v>
      </c>
      <c r="F513" s="2" t="s">
        <v>4556</v>
      </c>
      <c r="G513" s="1" t="s">
        <v>13</v>
      </c>
      <c r="H513" s="6" t="s">
        <v>4040</v>
      </c>
    </row>
    <row r="514" spans="1:8" x14ac:dyDescent="0.25">
      <c r="A514" s="1">
        <v>605</v>
      </c>
      <c r="B514" s="1" t="s">
        <v>2497</v>
      </c>
      <c r="C514" s="1" t="s">
        <v>2498</v>
      </c>
      <c r="D514" s="1" t="s">
        <v>2499</v>
      </c>
      <c r="E514" s="1" t="s">
        <v>18</v>
      </c>
      <c r="F514" s="2" t="s">
        <v>4557</v>
      </c>
      <c r="G514" s="1" t="s">
        <v>13</v>
      </c>
      <c r="H514" s="6" t="e" vm="11">
        <v>#VALUE!</v>
      </c>
    </row>
    <row r="515" spans="1:8" x14ac:dyDescent="0.25">
      <c r="A515" s="1">
        <v>606</v>
      </c>
      <c r="B515" s="1" t="s">
        <v>2501</v>
      </c>
      <c r="C515" s="1" t="s">
        <v>2502</v>
      </c>
      <c r="D515" s="1" t="s">
        <v>2503</v>
      </c>
      <c r="E515" s="1" t="s">
        <v>11</v>
      </c>
      <c r="F515" s="2" t="s">
        <v>4558</v>
      </c>
      <c r="G515" s="1" t="s">
        <v>13</v>
      </c>
      <c r="H515" s="6" t="e" vm="78">
        <v>#VALUE!</v>
      </c>
    </row>
    <row r="516" spans="1:8" x14ac:dyDescent="0.25">
      <c r="A516" s="1">
        <v>608</v>
      </c>
      <c r="B516" s="1" t="s">
        <v>2509</v>
      </c>
      <c r="C516" s="1" t="s">
        <v>2510</v>
      </c>
      <c r="D516" s="1" t="s">
        <v>2511</v>
      </c>
      <c r="E516" s="1" t="s">
        <v>11</v>
      </c>
      <c r="F516" s="2" t="s">
        <v>4559</v>
      </c>
      <c r="G516" s="1" t="s">
        <v>13</v>
      </c>
      <c r="H516" s="6" t="e" vm="69">
        <v>#VALUE!</v>
      </c>
    </row>
    <row r="517" spans="1:8" x14ac:dyDescent="0.25">
      <c r="A517" s="1">
        <v>611</v>
      </c>
      <c r="B517" s="1" t="s">
        <v>2521</v>
      </c>
      <c r="C517" s="1" t="s">
        <v>2522</v>
      </c>
      <c r="D517" s="1" t="s">
        <v>2523</v>
      </c>
      <c r="E517" s="1" t="s">
        <v>18</v>
      </c>
      <c r="F517" s="2" t="s">
        <v>4560</v>
      </c>
      <c r="G517" s="1" t="s">
        <v>13</v>
      </c>
      <c r="H517" s="6" t="e" vm="5">
        <v>#VALUE!</v>
      </c>
    </row>
    <row r="518" spans="1:8" x14ac:dyDescent="0.25">
      <c r="A518" s="1">
        <v>612</v>
      </c>
      <c r="B518" s="1" t="s">
        <v>2525</v>
      </c>
      <c r="C518" s="1" t="s">
        <v>2526</v>
      </c>
      <c r="D518" s="1" t="s">
        <v>2527</v>
      </c>
      <c r="E518" s="1" t="s">
        <v>18</v>
      </c>
      <c r="F518" s="2" t="s">
        <v>4561</v>
      </c>
      <c r="G518" s="1" t="s">
        <v>13</v>
      </c>
      <c r="H518" s="6" t="e" vm="44">
        <v>#VALUE!</v>
      </c>
    </row>
    <row r="519" spans="1:8" x14ac:dyDescent="0.25">
      <c r="A519" s="1">
        <v>614</v>
      </c>
      <c r="B519" s="1" t="s">
        <v>2533</v>
      </c>
      <c r="C519" s="1" t="s">
        <v>2534</v>
      </c>
      <c r="D519" s="1" t="s">
        <v>2535</v>
      </c>
      <c r="E519" s="1" t="s">
        <v>11</v>
      </c>
      <c r="F519" s="2" t="s">
        <v>4562</v>
      </c>
      <c r="G519" s="1" t="s">
        <v>13</v>
      </c>
      <c r="H519" s="6" t="e" vm="75">
        <v>#VALUE!</v>
      </c>
    </row>
    <row r="520" spans="1:8" x14ac:dyDescent="0.25">
      <c r="A520" s="1">
        <v>615</v>
      </c>
      <c r="B520" s="1" t="s">
        <v>2537</v>
      </c>
      <c r="C520" s="1" t="s">
        <v>2538</v>
      </c>
      <c r="D520" s="1" t="s">
        <v>2539</v>
      </c>
      <c r="E520" s="1" t="s">
        <v>11</v>
      </c>
      <c r="F520" s="2" t="s">
        <v>4563</v>
      </c>
      <c r="G520" s="1" t="s">
        <v>13</v>
      </c>
      <c r="H520" s="6" t="e" vm="61">
        <v>#VALUE!</v>
      </c>
    </row>
    <row r="521" spans="1:8" x14ac:dyDescent="0.25">
      <c r="A521" s="1">
        <v>616</v>
      </c>
      <c r="B521" s="1" t="s">
        <v>2541</v>
      </c>
      <c r="C521" s="1" t="s">
        <v>2542</v>
      </c>
      <c r="D521" s="1" t="s">
        <v>2543</v>
      </c>
      <c r="E521" s="1" t="s">
        <v>11</v>
      </c>
      <c r="F521" s="2" t="s">
        <v>4564</v>
      </c>
      <c r="G521" s="1" t="s">
        <v>13</v>
      </c>
      <c r="H521" s="6" t="e" vm="18">
        <v>#VALUE!</v>
      </c>
    </row>
    <row r="522" spans="1:8" x14ac:dyDescent="0.25">
      <c r="A522" s="1">
        <v>617</v>
      </c>
      <c r="B522" s="1" t="s">
        <v>2545</v>
      </c>
      <c r="C522" s="1" t="s">
        <v>2546</v>
      </c>
      <c r="D522" s="1" t="s">
        <v>2547</v>
      </c>
      <c r="E522" s="1" t="s">
        <v>18</v>
      </c>
      <c r="F522" s="2" t="s">
        <v>4565</v>
      </c>
      <c r="G522" s="1" t="s">
        <v>13</v>
      </c>
      <c r="H522" s="6" t="e" vm="9">
        <v>#VALUE!</v>
      </c>
    </row>
    <row r="523" spans="1:8" x14ac:dyDescent="0.25">
      <c r="A523" s="1">
        <v>618</v>
      </c>
      <c r="B523" s="1" t="s">
        <v>2549</v>
      </c>
      <c r="C523" s="1" t="s">
        <v>2550</v>
      </c>
      <c r="D523" s="1" t="s">
        <v>2551</v>
      </c>
      <c r="E523" s="1" t="s">
        <v>11</v>
      </c>
      <c r="F523" s="2" t="s">
        <v>4566</v>
      </c>
      <c r="G523" s="1" t="s">
        <v>13</v>
      </c>
      <c r="H523" s="6" t="e" vm="18">
        <v>#VALUE!</v>
      </c>
    </row>
    <row r="524" spans="1:8" x14ac:dyDescent="0.25">
      <c r="A524" s="1">
        <v>619</v>
      </c>
      <c r="B524" s="1" t="s">
        <v>2553</v>
      </c>
      <c r="C524" s="1" t="s">
        <v>2554</v>
      </c>
      <c r="D524" s="1" t="s">
        <v>2555</v>
      </c>
      <c r="E524" s="1" t="s">
        <v>18</v>
      </c>
      <c r="F524" s="2" t="s">
        <v>4567</v>
      </c>
      <c r="G524" s="1" t="s">
        <v>13</v>
      </c>
      <c r="H524" s="6" t="e" vm="57">
        <v>#VALUE!</v>
      </c>
    </row>
    <row r="525" spans="1:8" x14ac:dyDescent="0.25">
      <c r="A525" s="1">
        <v>620</v>
      </c>
      <c r="B525" s="1" t="s">
        <v>2557</v>
      </c>
      <c r="C525" s="1" t="s">
        <v>2558</v>
      </c>
      <c r="D525" s="1" t="s">
        <v>2559</v>
      </c>
      <c r="E525" s="1" t="s">
        <v>11</v>
      </c>
      <c r="F525" s="2" t="s">
        <v>4568</v>
      </c>
      <c r="G525" s="1" t="s">
        <v>13</v>
      </c>
      <c r="H525" s="6" t="e" vm="72">
        <v>#VALUE!</v>
      </c>
    </row>
    <row r="526" spans="1:8" x14ac:dyDescent="0.25">
      <c r="A526" s="1">
        <v>622</v>
      </c>
      <c r="B526" s="1" t="s">
        <v>2215</v>
      </c>
      <c r="C526" s="1" t="s">
        <v>2565</v>
      </c>
      <c r="D526" s="1" t="s">
        <v>2566</v>
      </c>
      <c r="E526" s="1" t="s">
        <v>18</v>
      </c>
      <c r="F526" s="2" t="s">
        <v>4569</v>
      </c>
      <c r="G526" s="1" t="s">
        <v>13</v>
      </c>
      <c r="H526" s="6" t="e" vm="81">
        <v>#VALUE!</v>
      </c>
    </row>
    <row r="527" spans="1:8" x14ac:dyDescent="0.25">
      <c r="A527" s="1">
        <v>623</v>
      </c>
      <c r="B527" s="1" t="s">
        <v>2568</v>
      </c>
      <c r="C527" s="1" t="s">
        <v>2569</v>
      </c>
      <c r="D527" s="1" t="s">
        <v>2570</v>
      </c>
      <c r="E527" s="1" t="s">
        <v>11</v>
      </c>
      <c r="F527" s="2" t="s">
        <v>4570</v>
      </c>
      <c r="G527" s="1" t="s">
        <v>13</v>
      </c>
      <c r="H527" s="6" t="e" vm="11">
        <v>#VALUE!</v>
      </c>
    </row>
    <row r="528" spans="1:8" x14ac:dyDescent="0.25">
      <c r="A528" s="1">
        <v>624</v>
      </c>
      <c r="B528" s="1" t="s">
        <v>2572</v>
      </c>
      <c r="C528" s="1" t="s">
        <v>2573</v>
      </c>
      <c r="D528" s="1" t="s">
        <v>2574</v>
      </c>
      <c r="E528" s="1" t="s">
        <v>11</v>
      </c>
      <c r="F528" s="2" t="s">
        <v>4571</v>
      </c>
      <c r="G528" s="1" t="s">
        <v>13</v>
      </c>
      <c r="H528" s="6" t="e" vm="11">
        <v>#VALUE!</v>
      </c>
    </row>
    <row r="529" spans="1:8" x14ac:dyDescent="0.25">
      <c r="A529" s="1">
        <v>627</v>
      </c>
      <c r="B529" s="1" t="s">
        <v>2584</v>
      </c>
      <c r="C529" s="1" t="s">
        <v>2585</v>
      </c>
      <c r="D529" s="1" t="s">
        <v>2586</v>
      </c>
      <c r="E529" s="1" t="s">
        <v>18</v>
      </c>
      <c r="F529" s="2" t="s">
        <v>4572</v>
      </c>
      <c r="G529" s="1" t="s">
        <v>13</v>
      </c>
      <c r="H529" s="6" t="e" vm="66">
        <v>#VALUE!</v>
      </c>
    </row>
    <row r="530" spans="1:8" x14ac:dyDescent="0.25">
      <c r="A530" s="1">
        <v>628</v>
      </c>
      <c r="B530" s="1" t="s">
        <v>2588</v>
      </c>
      <c r="C530" s="1" t="s">
        <v>2589</v>
      </c>
      <c r="D530" s="1" t="s">
        <v>2590</v>
      </c>
      <c r="E530" s="1" t="s">
        <v>11</v>
      </c>
      <c r="F530" s="2" t="s">
        <v>4573</v>
      </c>
      <c r="G530" s="1" t="s">
        <v>13</v>
      </c>
      <c r="H530" s="6" t="e" vm="7">
        <v>#VALUE!</v>
      </c>
    </row>
    <row r="531" spans="1:8" x14ac:dyDescent="0.25">
      <c r="A531" s="1">
        <v>629</v>
      </c>
      <c r="B531" s="1" t="s">
        <v>2592</v>
      </c>
      <c r="C531" s="1" t="s">
        <v>2593</v>
      </c>
      <c r="D531" s="1" t="s">
        <v>2594</v>
      </c>
      <c r="E531" s="1" t="s">
        <v>4045</v>
      </c>
      <c r="F531" s="2" t="s">
        <v>4574</v>
      </c>
      <c r="G531" s="1" t="s">
        <v>13</v>
      </c>
      <c r="H531" s="6" t="e" vm="6">
        <v>#VALUE!</v>
      </c>
    </row>
    <row r="532" spans="1:8" x14ac:dyDescent="0.25">
      <c r="A532" s="1">
        <v>630</v>
      </c>
      <c r="B532" s="1" t="s">
        <v>2596</v>
      </c>
      <c r="C532" s="1" t="s">
        <v>2597</v>
      </c>
      <c r="D532" s="1" t="s">
        <v>2598</v>
      </c>
      <c r="E532" s="1" t="s">
        <v>18</v>
      </c>
      <c r="F532" s="2" t="s">
        <v>4575</v>
      </c>
      <c r="G532" s="1" t="s">
        <v>13</v>
      </c>
      <c r="H532" s="6" t="s">
        <v>4040</v>
      </c>
    </row>
    <row r="533" spans="1:8" x14ac:dyDescent="0.25">
      <c r="A533" s="1">
        <v>631</v>
      </c>
      <c r="B533" s="1" t="s">
        <v>2600</v>
      </c>
      <c r="C533" s="1" t="s">
        <v>2601</v>
      </c>
      <c r="D533" s="1" t="s">
        <v>2602</v>
      </c>
      <c r="E533" s="1" t="s">
        <v>11</v>
      </c>
      <c r="F533" s="2" t="s">
        <v>4576</v>
      </c>
      <c r="G533" s="1" t="s">
        <v>13</v>
      </c>
      <c r="H533" s="6" t="e" vm="40">
        <v>#VALUE!</v>
      </c>
    </row>
    <row r="534" spans="1:8" x14ac:dyDescent="0.25">
      <c r="A534" s="1">
        <v>632</v>
      </c>
      <c r="B534" s="1" t="s">
        <v>2604</v>
      </c>
      <c r="C534" s="1" t="s">
        <v>2605</v>
      </c>
      <c r="D534" s="1" t="s">
        <v>2606</v>
      </c>
      <c r="E534" s="1" t="s">
        <v>4045</v>
      </c>
      <c r="F534" s="2" t="s">
        <v>4577</v>
      </c>
      <c r="G534" s="1" t="s">
        <v>13</v>
      </c>
      <c r="H534" s="6" t="e" vm="67">
        <v>#VALUE!</v>
      </c>
    </row>
    <row r="535" spans="1:8" x14ac:dyDescent="0.25">
      <c r="A535" s="1">
        <v>633</v>
      </c>
      <c r="B535" s="1" t="s">
        <v>2608</v>
      </c>
      <c r="C535" s="1" t="s">
        <v>2609</v>
      </c>
      <c r="D535" s="1" t="s">
        <v>2610</v>
      </c>
      <c r="E535" s="1" t="s">
        <v>11</v>
      </c>
      <c r="F535" s="2" t="s">
        <v>4578</v>
      </c>
      <c r="G535" s="1" t="s">
        <v>13</v>
      </c>
      <c r="H535" s="6" t="e" vm="5">
        <v>#VALUE!</v>
      </c>
    </row>
    <row r="536" spans="1:8" x14ac:dyDescent="0.25">
      <c r="A536" s="1">
        <v>635</v>
      </c>
      <c r="B536" s="1" t="s">
        <v>2615</v>
      </c>
      <c r="C536" s="1" t="s">
        <v>2616</v>
      </c>
      <c r="D536" s="1" t="s">
        <v>2617</v>
      </c>
      <c r="E536" s="1" t="s">
        <v>18</v>
      </c>
      <c r="F536" s="2" t="s">
        <v>4579</v>
      </c>
      <c r="G536" s="1" t="s">
        <v>13</v>
      </c>
      <c r="H536" s="6" t="e" vm="76">
        <v>#VALUE!</v>
      </c>
    </row>
    <row r="537" spans="1:8" x14ac:dyDescent="0.25">
      <c r="A537" s="1">
        <v>636</v>
      </c>
      <c r="B537" s="1" t="s">
        <v>2619</v>
      </c>
      <c r="C537" s="1" t="s">
        <v>2620</v>
      </c>
      <c r="D537" s="1" t="s">
        <v>2621</v>
      </c>
      <c r="E537" s="1" t="s">
        <v>11</v>
      </c>
      <c r="F537" s="2" t="s">
        <v>4580</v>
      </c>
      <c r="G537" s="1" t="s">
        <v>13</v>
      </c>
      <c r="H537" s="6" t="e" vm="18">
        <v>#VALUE!</v>
      </c>
    </row>
    <row r="538" spans="1:8" x14ac:dyDescent="0.25">
      <c r="A538" s="1">
        <v>637</v>
      </c>
      <c r="B538" s="1" t="s">
        <v>2623</v>
      </c>
      <c r="C538" s="1" t="s">
        <v>2624</v>
      </c>
      <c r="D538" s="1" t="s">
        <v>2625</v>
      </c>
      <c r="E538" s="1" t="s">
        <v>11</v>
      </c>
      <c r="F538" s="2" t="s">
        <v>4581</v>
      </c>
      <c r="G538" s="1" t="s">
        <v>13</v>
      </c>
      <c r="H538" s="6" t="e" vm="7">
        <v>#VALUE!</v>
      </c>
    </row>
    <row r="539" spans="1:8" x14ac:dyDescent="0.25">
      <c r="A539" s="1">
        <v>639</v>
      </c>
      <c r="B539" s="1" t="s">
        <v>2631</v>
      </c>
      <c r="C539" s="1" t="s">
        <v>2632</v>
      </c>
      <c r="D539" s="1" t="s">
        <v>2633</v>
      </c>
      <c r="E539" s="1" t="s">
        <v>18</v>
      </c>
      <c r="F539" s="2" t="s">
        <v>4582</v>
      </c>
      <c r="G539" s="1" t="s">
        <v>13</v>
      </c>
      <c r="H539" s="6" t="e" vm="48">
        <v>#VALUE!</v>
      </c>
    </row>
    <row r="540" spans="1:8" x14ac:dyDescent="0.25">
      <c r="A540" s="1">
        <v>640</v>
      </c>
      <c r="B540" s="1" t="s">
        <v>2635</v>
      </c>
      <c r="C540" s="1" t="s">
        <v>2636</v>
      </c>
      <c r="D540" s="1" t="s">
        <v>2637</v>
      </c>
      <c r="E540" s="1" t="s">
        <v>11</v>
      </c>
      <c r="F540" s="2" t="s">
        <v>4583</v>
      </c>
      <c r="G540" s="1" t="s">
        <v>13</v>
      </c>
      <c r="H540" s="6" t="s">
        <v>4041</v>
      </c>
    </row>
    <row r="541" spans="1:8" x14ac:dyDescent="0.25">
      <c r="A541" s="1">
        <v>641</v>
      </c>
      <c r="B541" s="1" t="s">
        <v>2639</v>
      </c>
      <c r="C541" s="1" t="s">
        <v>2640</v>
      </c>
      <c r="D541" s="1" t="s">
        <v>2641</v>
      </c>
      <c r="E541" s="1" t="s">
        <v>11</v>
      </c>
      <c r="F541" s="2" t="s">
        <v>4584</v>
      </c>
      <c r="G541" s="1" t="s">
        <v>13</v>
      </c>
      <c r="H541" s="6" t="e" vm="70">
        <v>#VALUE!</v>
      </c>
    </row>
    <row r="542" spans="1:8" x14ac:dyDescent="0.25">
      <c r="A542" s="1">
        <v>642</v>
      </c>
      <c r="B542" s="1" t="s">
        <v>2643</v>
      </c>
      <c r="C542" s="1" t="s">
        <v>2644</v>
      </c>
      <c r="D542" s="1" t="s">
        <v>2645</v>
      </c>
      <c r="E542" s="1" t="s">
        <v>11</v>
      </c>
      <c r="F542" s="2" t="s">
        <v>4585</v>
      </c>
      <c r="G542" s="1" t="s">
        <v>13</v>
      </c>
      <c r="H542" s="6" t="e" vm="70">
        <v>#VALUE!</v>
      </c>
    </row>
    <row r="543" spans="1:8" x14ac:dyDescent="0.25">
      <c r="A543" s="1">
        <v>643</v>
      </c>
      <c r="B543" s="1" t="s">
        <v>852</v>
      </c>
      <c r="C543" s="1" t="s">
        <v>2647</v>
      </c>
      <c r="D543" s="1" t="s">
        <v>2648</v>
      </c>
      <c r="E543" s="1" t="s">
        <v>11</v>
      </c>
      <c r="F543" s="2" t="s">
        <v>4586</v>
      </c>
      <c r="G543" s="1" t="s">
        <v>13</v>
      </c>
      <c r="H543" s="6" t="e" vm="33">
        <v>#VALUE!</v>
      </c>
    </row>
    <row r="544" spans="1:8" x14ac:dyDescent="0.25">
      <c r="A544" s="1">
        <v>644</v>
      </c>
      <c r="B544" s="1" t="s">
        <v>1783</v>
      </c>
      <c r="C544" s="1" t="s">
        <v>2650</v>
      </c>
      <c r="D544" s="1" t="s">
        <v>2651</v>
      </c>
      <c r="E544" s="1" t="s">
        <v>11</v>
      </c>
      <c r="F544" s="2" t="s">
        <v>4587</v>
      </c>
      <c r="G544" s="1" t="s">
        <v>13</v>
      </c>
      <c r="H544" s="6" t="e" vm="47">
        <v>#VALUE!</v>
      </c>
    </row>
    <row r="545" spans="1:8" x14ac:dyDescent="0.25">
      <c r="A545" s="1">
        <v>645</v>
      </c>
      <c r="B545" s="1" t="s">
        <v>2653</v>
      </c>
      <c r="C545" s="1" t="s">
        <v>2654</v>
      </c>
      <c r="D545" s="1" t="s">
        <v>2655</v>
      </c>
      <c r="E545" s="1" t="s">
        <v>18</v>
      </c>
      <c r="F545" s="2" t="s">
        <v>4588</v>
      </c>
      <c r="G545" s="1" t="s">
        <v>13</v>
      </c>
      <c r="H545" s="6" t="e" vm="23">
        <v>#VALUE!</v>
      </c>
    </row>
    <row r="546" spans="1:8" x14ac:dyDescent="0.25">
      <c r="A546" s="1">
        <v>646</v>
      </c>
      <c r="B546" s="1" t="s">
        <v>2657</v>
      </c>
      <c r="C546" s="1" t="s">
        <v>2658</v>
      </c>
      <c r="D546" s="1" t="s">
        <v>2659</v>
      </c>
      <c r="E546" s="1" t="s">
        <v>11</v>
      </c>
      <c r="F546" s="2" t="s">
        <v>4589</v>
      </c>
      <c r="G546" s="1" t="s">
        <v>13</v>
      </c>
      <c r="H546" s="6" t="e" vm="1">
        <v>#VALUE!</v>
      </c>
    </row>
    <row r="547" spans="1:8" x14ac:dyDescent="0.25">
      <c r="A547" s="1">
        <v>647</v>
      </c>
      <c r="B547" s="1" t="s">
        <v>2661</v>
      </c>
      <c r="C547" s="1" t="s">
        <v>2662</v>
      </c>
      <c r="D547" s="1" t="s">
        <v>2663</v>
      </c>
      <c r="E547" s="1" t="s">
        <v>18</v>
      </c>
      <c r="F547" s="2" t="s">
        <v>4590</v>
      </c>
      <c r="G547" s="1" t="s">
        <v>13</v>
      </c>
      <c r="H547" s="6" t="e" vm="64">
        <v>#VALUE!</v>
      </c>
    </row>
    <row r="548" spans="1:8" x14ac:dyDescent="0.25">
      <c r="A548" s="1">
        <v>648</v>
      </c>
      <c r="B548" s="1" t="s">
        <v>1767</v>
      </c>
      <c r="C548" s="1" t="s">
        <v>2665</v>
      </c>
      <c r="D548" s="1" t="s">
        <v>2666</v>
      </c>
      <c r="E548" s="1" t="s">
        <v>11</v>
      </c>
      <c r="F548" s="2" t="s">
        <v>4591</v>
      </c>
      <c r="G548" s="1" t="s">
        <v>13</v>
      </c>
      <c r="H548" s="6" t="e" vm="14">
        <v>#VALUE!</v>
      </c>
    </row>
    <row r="549" spans="1:8" x14ac:dyDescent="0.25">
      <c r="A549" s="1">
        <v>650</v>
      </c>
      <c r="B549" s="1" t="s">
        <v>2672</v>
      </c>
      <c r="C549" s="1" t="s">
        <v>2673</v>
      </c>
      <c r="D549" s="1" t="s">
        <v>2674</v>
      </c>
      <c r="E549" s="1" t="s">
        <v>11</v>
      </c>
      <c r="F549" s="2" t="s">
        <v>4592</v>
      </c>
      <c r="G549" s="1" t="s">
        <v>13</v>
      </c>
      <c r="H549" s="6" t="s">
        <v>4039</v>
      </c>
    </row>
    <row r="550" spans="1:8" x14ac:dyDescent="0.25">
      <c r="A550" s="1">
        <v>651</v>
      </c>
      <c r="B550" s="1" t="s">
        <v>2676</v>
      </c>
      <c r="C550" s="1" t="s">
        <v>2677</v>
      </c>
      <c r="D550" s="1" t="s">
        <v>2678</v>
      </c>
      <c r="E550" s="1" t="s">
        <v>11</v>
      </c>
      <c r="F550" s="2" t="s">
        <v>4593</v>
      </c>
      <c r="G550" s="1" t="s">
        <v>13</v>
      </c>
      <c r="H550" s="6" t="e" vm="36">
        <v>#VALUE!</v>
      </c>
    </row>
    <row r="551" spans="1:8" x14ac:dyDescent="0.25">
      <c r="A551" s="1">
        <v>652</v>
      </c>
      <c r="B551" s="1" t="s">
        <v>2680</v>
      </c>
      <c r="C551" s="1" t="s">
        <v>2681</v>
      </c>
      <c r="D551" s="1" t="s">
        <v>2682</v>
      </c>
      <c r="E551" s="1" t="s">
        <v>18</v>
      </c>
      <c r="F551" s="2" t="s">
        <v>4594</v>
      </c>
      <c r="G551" s="1" t="s">
        <v>13</v>
      </c>
      <c r="H551" s="6" t="e" vm="41">
        <v>#VALUE!</v>
      </c>
    </row>
    <row r="552" spans="1:8" x14ac:dyDescent="0.25">
      <c r="A552" s="1">
        <v>653</v>
      </c>
      <c r="B552" s="1" t="s">
        <v>2285</v>
      </c>
      <c r="C552" s="1" t="s">
        <v>2684</v>
      </c>
      <c r="D552" s="1" t="s">
        <v>2685</v>
      </c>
      <c r="E552" s="1" t="s">
        <v>18</v>
      </c>
      <c r="F552" s="2" t="s">
        <v>4595</v>
      </c>
      <c r="G552" s="1" t="s">
        <v>13</v>
      </c>
      <c r="H552" s="6" t="e" vm="66">
        <v>#VALUE!</v>
      </c>
    </row>
    <row r="553" spans="1:8" x14ac:dyDescent="0.25">
      <c r="A553" s="1">
        <v>654</v>
      </c>
      <c r="B553" s="1" t="s">
        <v>1912</v>
      </c>
      <c r="C553" s="1" t="s">
        <v>2687</v>
      </c>
      <c r="D553" s="1" t="s">
        <v>2688</v>
      </c>
      <c r="E553" s="1" t="s">
        <v>11</v>
      </c>
      <c r="F553" s="2" t="s">
        <v>4596</v>
      </c>
      <c r="G553" s="1" t="s">
        <v>13</v>
      </c>
      <c r="H553" s="6" t="e" vm="50">
        <v>#VALUE!</v>
      </c>
    </row>
    <row r="554" spans="1:8" x14ac:dyDescent="0.25">
      <c r="A554" s="1">
        <v>655</v>
      </c>
      <c r="B554" s="1" t="s">
        <v>2690</v>
      </c>
      <c r="C554" s="1" t="s">
        <v>2691</v>
      </c>
      <c r="D554" s="1" t="s">
        <v>2692</v>
      </c>
      <c r="E554" s="1" t="s">
        <v>11</v>
      </c>
      <c r="F554" s="2" t="s">
        <v>4597</v>
      </c>
      <c r="G554" s="1" t="s">
        <v>13</v>
      </c>
      <c r="H554" s="6" t="e" vm="69">
        <v>#VALUE!</v>
      </c>
    </row>
    <row r="555" spans="1:8" x14ac:dyDescent="0.25">
      <c r="A555" s="1">
        <v>656</v>
      </c>
      <c r="B555" s="1" t="s">
        <v>2694</v>
      </c>
      <c r="C555" s="1" t="s">
        <v>2695</v>
      </c>
      <c r="D555" s="1" t="s">
        <v>2696</v>
      </c>
      <c r="E555" s="1" t="s">
        <v>11</v>
      </c>
      <c r="F555" s="2" t="s">
        <v>4598</v>
      </c>
      <c r="G555" s="1" t="s">
        <v>13</v>
      </c>
      <c r="H555" s="6" t="e" vm="44">
        <v>#VALUE!</v>
      </c>
    </row>
    <row r="556" spans="1:8" x14ac:dyDescent="0.25">
      <c r="A556" s="1">
        <v>657</v>
      </c>
      <c r="B556" s="1" t="s">
        <v>2698</v>
      </c>
      <c r="C556" s="1" t="s">
        <v>2699</v>
      </c>
      <c r="D556" s="1" t="s">
        <v>2700</v>
      </c>
      <c r="E556" s="1" t="s">
        <v>11</v>
      </c>
      <c r="F556" s="2" t="s">
        <v>4599</v>
      </c>
      <c r="G556" s="1" t="s">
        <v>13</v>
      </c>
      <c r="H556" s="6" t="e" vm="20">
        <v>#VALUE!</v>
      </c>
    </row>
    <row r="557" spans="1:8" x14ac:dyDescent="0.25">
      <c r="A557" s="1">
        <v>658</v>
      </c>
      <c r="B557" s="1" t="s">
        <v>2702</v>
      </c>
      <c r="C557" s="1" t="s">
        <v>2703</v>
      </c>
      <c r="D557" s="1" t="s">
        <v>2704</v>
      </c>
      <c r="E557" s="1" t="s">
        <v>11</v>
      </c>
      <c r="F557" s="2" t="s">
        <v>4600</v>
      </c>
      <c r="G557" s="1" t="s">
        <v>13</v>
      </c>
      <c r="H557" s="6" t="e" vm="30">
        <v>#VALUE!</v>
      </c>
    </row>
    <row r="558" spans="1:8" x14ac:dyDescent="0.25">
      <c r="A558" s="1">
        <v>659</v>
      </c>
      <c r="B558" s="1" t="s">
        <v>2706</v>
      </c>
      <c r="C558" s="1" t="s">
        <v>2707</v>
      </c>
      <c r="D558" s="1" t="s">
        <v>2708</v>
      </c>
      <c r="E558" s="1" t="s">
        <v>18</v>
      </c>
      <c r="F558" s="2" t="s">
        <v>4601</v>
      </c>
      <c r="G558" s="1" t="s">
        <v>13</v>
      </c>
      <c r="H558" s="6" t="e" vm="15">
        <v>#VALUE!</v>
      </c>
    </row>
    <row r="559" spans="1:8" x14ac:dyDescent="0.25">
      <c r="A559" s="1">
        <v>660</v>
      </c>
      <c r="B559" s="1" t="s">
        <v>2710</v>
      </c>
      <c r="C559" s="1" t="s">
        <v>2711</v>
      </c>
      <c r="D559" s="1" t="s">
        <v>2712</v>
      </c>
      <c r="E559" s="1" t="s">
        <v>4045</v>
      </c>
      <c r="F559" s="2" t="s">
        <v>4602</v>
      </c>
      <c r="G559" s="1" t="s">
        <v>13</v>
      </c>
      <c r="H559" s="6" t="e" vm="63">
        <v>#VALUE!</v>
      </c>
    </row>
    <row r="560" spans="1:8" x14ac:dyDescent="0.25">
      <c r="A560" s="1">
        <v>661</v>
      </c>
      <c r="B560" s="1" t="s">
        <v>2714</v>
      </c>
      <c r="C560" s="1" t="s">
        <v>2715</v>
      </c>
      <c r="D560" s="1" t="s">
        <v>2716</v>
      </c>
      <c r="E560" s="1" t="s">
        <v>11</v>
      </c>
      <c r="F560" s="2" t="s">
        <v>4603</v>
      </c>
      <c r="G560" s="1" t="s">
        <v>13</v>
      </c>
      <c r="H560" s="6" t="e" vm="18">
        <v>#VALUE!</v>
      </c>
    </row>
    <row r="561" spans="1:8" x14ac:dyDescent="0.25">
      <c r="A561" s="1">
        <v>663</v>
      </c>
      <c r="B561" s="1" t="s">
        <v>2722</v>
      </c>
      <c r="C561" s="1" t="s">
        <v>2723</v>
      </c>
      <c r="D561" s="1" t="s">
        <v>2724</v>
      </c>
      <c r="E561" s="1" t="s">
        <v>11</v>
      </c>
      <c r="F561" s="2" t="s">
        <v>4604</v>
      </c>
      <c r="G561" s="1" t="s">
        <v>13</v>
      </c>
      <c r="H561" s="6" t="e" vm="17">
        <v>#VALUE!</v>
      </c>
    </row>
    <row r="562" spans="1:8" x14ac:dyDescent="0.25">
      <c r="A562" s="1">
        <v>664</v>
      </c>
      <c r="B562" s="1" t="s">
        <v>2726</v>
      </c>
      <c r="C562" s="1" t="s">
        <v>2727</v>
      </c>
      <c r="D562" s="1" t="s">
        <v>2728</v>
      </c>
      <c r="E562" s="1" t="s">
        <v>11</v>
      </c>
      <c r="F562" s="2" t="s">
        <v>4605</v>
      </c>
      <c r="G562" s="1" t="s">
        <v>13</v>
      </c>
      <c r="H562" s="6" t="e" vm="73">
        <v>#VALUE!</v>
      </c>
    </row>
    <row r="563" spans="1:8" x14ac:dyDescent="0.25">
      <c r="A563" s="1">
        <v>665</v>
      </c>
      <c r="B563" s="1" t="s">
        <v>2730</v>
      </c>
      <c r="C563" s="1" t="s">
        <v>2731</v>
      </c>
      <c r="D563" s="1" t="s">
        <v>2732</v>
      </c>
      <c r="E563" s="1" t="s">
        <v>18</v>
      </c>
      <c r="F563" s="2" t="s">
        <v>4606</v>
      </c>
      <c r="G563" s="1" t="s">
        <v>13</v>
      </c>
      <c r="H563" s="6" t="e" vm="76">
        <v>#VALUE!</v>
      </c>
    </row>
    <row r="564" spans="1:8" x14ac:dyDescent="0.25">
      <c r="A564" s="1">
        <v>666</v>
      </c>
      <c r="B564" s="1" t="s">
        <v>2734</v>
      </c>
      <c r="C564" s="1" t="s">
        <v>2735</v>
      </c>
      <c r="D564" s="1" t="s">
        <v>2736</v>
      </c>
      <c r="E564" s="1" t="s">
        <v>11</v>
      </c>
      <c r="F564" s="2" t="s">
        <v>4607</v>
      </c>
      <c r="G564" s="1" t="s">
        <v>13</v>
      </c>
      <c r="H564" s="6" t="e" vm="16">
        <v>#VALUE!</v>
      </c>
    </row>
    <row r="565" spans="1:8" x14ac:dyDescent="0.25">
      <c r="A565" s="1">
        <v>668</v>
      </c>
      <c r="B565" s="1" t="s">
        <v>2742</v>
      </c>
      <c r="C565" s="1" t="s">
        <v>2743</v>
      </c>
      <c r="D565" s="1" t="s">
        <v>2744</v>
      </c>
      <c r="E565" s="1" t="s">
        <v>18</v>
      </c>
      <c r="F565" s="2" t="s">
        <v>4608</v>
      </c>
      <c r="G565" s="1" t="s">
        <v>13</v>
      </c>
      <c r="H565" s="6" t="e" vm="47">
        <v>#VALUE!</v>
      </c>
    </row>
    <row r="566" spans="1:8" x14ac:dyDescent="0.25">
      <c r="A566" s="1">
        <v>669</v>
      </c>
      <c r="B566" s="1" t="s">
        <v>2746</v>
      </c>
      <c r="C566" s="1" t="s">
        <v>2747</v>
      </c>
      <c r="D566" s="1" t="s">
        <v>2748</v>
      </c>
      <c r="E566" s="1" t="s">
        <v>4045</v>
      </c>
      <c r="F566" s="2" t="s">
        <v>4609</v>
      </c>
      <c r="G566" s="1" t="s">
        <v>13</v>
      </c>
      <c r="H566" s="6" t="e" vm="24">
        <v>#VALUE!</v>
      </c>
    </row>
    <row r="567" spans="1:8" x14ac:dyDescent="0.25">
      <c r="A567" s="1">
        <v>670</v>
      </c>
      <c r="B567" s="1" t="s">
        <v>2750</v>
      </c>
      <c r="C567" s="1" t="s">
        <v>2751</v>
      </c>
      <c r="D567" s="1" t="s">
        <v>2752</v>
      </c>
      <c r="E567" s="1" t="s">
        <v>18</v>
      </c>
      <c r="F567" s="2" t="s">
        <v>4610</v>
      </c>
      <c r="G567" s="1" t="s">
        <v>13</v>
      </c>
      <c r="H567" s="6" t="e" vm="79">
        <v>#VALUE!</v>
      </c>
    </row>
    <row r="568" spans="1:8" x14ac:dyDescent="0.25">
      <c r="A568" s="1">
        <v>671</v>
      </c>
      <c r="B568" s="1" t="s">
        <v>2754</v>
      </c>
      <c r="C568" s="1" t="s">
        <v>2755</v>
      </c>
      <c r="D568" s="1" t="s">
        <v>2756</v>
      </c>
      <c r="E568" s="1" t="s">
        <v>11</v>
      </c>
      <c r="F568" s="2" t="s">
        <v>4611</v>
      </c>
      <c r="G568" s="1" t="s">
        <v>13</v>
      </c>
      <c r="H568" s="6" t="e" vm="38">
        <v>#VALUE!</v>
      </c>
    </row>
    <row r="569" spans="1:8" x14ac:dyDescent="0.25">
      <c r="A569" s="1">
        <v>672</v>
      </c>
      <c r="B569" s="1" t="s">
        <v>2758</v>
      </c>
      <c r="C569" s="1" t="s">
        <v>2759</v>
      </c>
      <c r="D569" s="1" t="s">
        <v>2760</v>
      </c>
      <c r="E569" s="1" t="s">
        <v>11</v>
      </c>
      <c r="F569" s="2" t="s">
        <v>4612</v>
      </c>
      <c r="G569" s="1" t="s">
        <v>13</v>
      </c>
      <c r="H569" s="6" t="e" vm="69">
        <v>#VALUE!</v>
      </c>
    </row>
    <row r="570" spans="1:8" x14ac:dyDescent="0.25">
      <c r="A570" s="1">
        <v>673</v>
      </c>
      <c r="B570" s="1" t="s">
        <v>2762</v>
      </c>
      <c r="C570" s="1" t="s">
        <v>2763</v>
      </c>
      <c r="D570" s="1" t="s">
        <v>2764</v>
      </c>
      <c r="E570" s="1" t="s">
        <v>18</v>
      </c>
      <c r="F570" s="2" t="s">
        <v>4613</v>
      </c>
      <c r="G570" s="1" t="s">
        <v>13</v>
      </c>
      <c r="H570" s="6" t="e" vm="70">
        <v>#VALUE!</v>
      </c>
    </row>
    <row r="571" spans="1:8" x14ac:dyDescent="0.25">
      <c r="A571" s="1">
        <v>674</v>
      </c>
      <c r="B571" s="1" t="s">
        <v>2766</v>
      </c>
      <c r="C571" s="1" t="s">
        <v>2767</v>
      </c>
      <c r="D571" s="1" t="s">
        <v>2768</v>
      </c>
      <c r="E571" s="1" t="s">
        <v>11</v>
      </c>
      <c r="F571" s="2" t="s">
        <v>4614</v>
      </c>
      <c r="G571" s="1" t="s">
        <v>13</v>
      </c>
      <c r="H571" s="6" t="e" vm="52">
        <v>#VALUE!</v>
      </c>
    </row>
    <row r="572" spans="1:8" x14ac:dyDescent="0.25">
      <c r="A572" s="1">
        <v>675</v>
      </c>
      <c r="B572" s="1" t="s">
        <v>2770</v>
      </c>
      <c r="C572" s="1" t="s">
        <v>2771</v>
      </c>
      <c r="D572" s="1" t="s">
        <v>2772</v>
      </c>
      <c r="E572" s="1" t="s">
        <v>18</v>
      </c>
      <c r="F572" s="2" t="s">
        <v>4615</v>
      </c>
      <c r="G572" s="1" t="s">
        <v>13</v>
      </c>
      <c r="H572" s="6" t="e" vm="29">
        <v>#VALUE!</v>
      </c>
    </row>
    <row r="573" spans="1:8" x14ac:dyDescent="0.25">
      <c r="A573" s="1">
        <v>676</v>
      </c>
      <c r="B573" s="1" t="s">
        <v>2774</v>
      </c>
      <c r="C573" s="1" t="s">
        <v>2775</v>
      </c>
      <c r="D573" s="1" t="s">
        <v>2776</v>
      </c>
      <c r="E573" s="1" t="s">
        <v>11</v>
      </c>
      <c r="F573" s="2" t="s">
        <v>4616</v>
      </c>
      <c r="G573" s="1" t="s">
        <v>13</v>
      </c>
      <c r="H573" s="6" t="e" vm="27">
        <v>#VALUE!</v>
      </c>
    </row>
    <row r="574" spans="1:8" x14ac:dyDescent="0.25">
      <c r="A574" s="1">
        <v>677</v>
      </c>
      <c r="B574" s="1" t="s">
        <v>2778</v>
      </c>
      <c r="C574" s="1" t="s">
        <v>2779</v>
      </c>
      <c r="D574" s="1" t="s">
        <v>2780</v>
      </c>
      <c r="E574" s="1" t="s">
        <v>11</v>
      </c>
      <c r="F574" s="2" t="s">
        <v>4617</v>
      </c>
      <c r="G574" s="1" t="s">
        <v>13</v>
      </c>
      <c r="H574" s="6" t="e" vm="17">
        <v>#VALUE!</v>
      </c>
    </row>
    <row r="575" spans="1:8" x14ac:dyDescent="0.25">
      <c r="A575" s="1">
        <v>679</v>
      </c>
      <c r="B575" s="1" t="s">
        <v>2785</v>
      </c>
      <c r="C575" s="1" t="s">
        <v>2786</v>
      </c>
      <c r="D575" s="1" t="s">
        <v>2787</v>
      </c>
      <c r="E575" s="1" t="s">
        <v>11</v>
      </c>
      <c r="F575" s="2" t="s">
        <v>4618</v>
      </c>
      <c r="G575" s="1" t="s">
        <v>13</v>
      </c>
      <c r="H575" s="6" t="e" vm="47">
        <v>#VALUE!</v>
      </c>
    </row>
    <row r="576" spans="1:8" x14ac:dyDescent="0.25">
      <c r="A576" s="1">
        <v>681</v>
      </c>
      <c r="B576" s="1" t="s">
        <v>2792</v>
      </c>
      <c r="C576" s="1" t="s">
        <v>2793</v>
      </c>
      <c r="D576" s="1" t="s">
        <v>2794</v>
      </c>
      <c r="E576" s="1" t="s">
        <v>11</v>
      </c>
      <c r="F576" s="2" t="s">
        <v>4619</v>
      </c>
      <c r="G576" s="1" t="s">
        <v>13</v>
      </c>
      <c r="H576" s="6" t="e" vm="52">
        <v>#VALUE!</v>
      </c>
    </row>
    <row r="577" spans="1:8" x14ac:dyDescent="0.25">
      <c r="A577" s="1">
        <v>682</v>
      </c>
      <c r="B577" s="1" t="s">
        <v>2796</v>
      </c>
      <c r="C577" s="1" t="s">
        <v>2797</v>
      </c>
      <c r="D577" s="1" t="s">
        <v>2798</v>
      </c>
      <c r="E577" s="1" t="s">
        <v>18</v>
      </c>
      <c r="F577" s="2" t="s">
        <v>4620</v>
      </c>
      <c r="G577" s="1" t="s">
        <v>13</v>
      </c>
      <c r="H577" s="6" t="e" vm="48">
        <v>#VALUE!</v>
      </c>
    </row>
    <row r="578" spans="1:8" x14ac:dyDescent="0.25">
      <c r="A578" s="1">
        <v>683</v>
      </c>
      <c r="B578" s="1" t="s">
        <v>2800</v>
      </c>
      <c r="C578" s="1" t="s">
        <v>2801</v>
      </c>
      <c r="D578" s="1" t="s">
        <v>2802</v>
      </c>
      <c r="E578" s="1" t="s">
        <v>11</v>
      </c>
      <c r="F578" s="2" t="s">
        <v>4621</v>
      </c>
      <c r="G578" s="1" t="s">
        <v>13</v>
      </c>
      <c r="H578" s="6" t="e" vm="58">
        <v>#VALUE!</v>
      </c>
    </row>
    <row r="579" spans="1:8" x14ac:dyDescent="0.25">
      <c r="A579" s="1">
        <v>684</v>
      </c>
      <c r="B579" s="1" t="s">
        <v>2804</v>
      </c>
      <c r="C579" s="1" t="s">
        <v>2805</v>
      </c>
      <c r="D579" s="1" t="s">
        <v>2806</v>
      </c>
      <c r="E579" s="1" t="s">
        <v>4045</v>
      </c>
      <c r="F579" s="2" t="s">
        <v>4622</v>
      </c>
      <c r="G579" s="1" t="s">
        <v>13</v>
      </c>
      <c r="H579" s="6" t="e" vm="80">
        <v>#VALUE!</v>
      </c>
    </row>
    <row r="580" spans="1:8" x14ac:dyDescent="0.25">
      <c r="A580" s="1">
        <v>685</v>
      </c>
      <c r="B580" s="1" t="s">
        <v>2808</v>
      </c>
      <c r="C580" s="1" t="s">
        <v>2809</v>
      </c>
      <c r="D580" s="1" t="s">
        <v>2810</v>
      </c>
      <c r="E580" s="1" t="s">
        <v>18</v>
      </c>
      <c r="F580" s="2" t="s">
        <v>4623</v>
      </c>
      <c r="G580" s="1" t="s">
        <v>13</v>
      </c>
      <c r="H580" s="6" t="e" vm="6">
        <v>#VALUE!</v>
      </c>
    </row>
    <row r="581" spans="1:8" x14ac:dyDescent="0.25">
      <c r="A581" s="1">
        <v>686</v>
      </c>
      <c r="B581" s="1" t="s">
        <v>2812</v>
      </c>
      <c r="C581" s="1" t="s">
        <v>2813</v>
      </c>
      <c r="D581" s="1" t="s">
        <v>2814</v>
      </c>
      <c r="E581" s="1" t="s">
        <v>18</v>
      </c>
      <c r="F581" s="2" t="s">
        <v>4624</v>
      </c>
      <c r="G581" s="1" t="s">
        <v>13</v>
      </c>
      <c r="H581" s="6" t="e" vm="51">
        <v>#VALUE!</v>
      </c>
    </row>
    <row r="582" spans="1:8" x14ac:dyDescent="0.25">
      <c r="A582" s="1">
        <v>688</v>
      </c>
      <c r="B582" s="1" t="s">
        <v>2820</v>
      </c>
      <c r="C582" s="1" t="s">
        <v>2821</v>
      </c>
      <c r="D582" s="1" t="s">
        <v>2822</v>
      </c>
      <c r="E582" s="1" t="s">
        <v>18</v>
      </c>
      <c r="F582" s="2" t="s">
        <v>4625</v>
      </c>
      <c r="G582" s="1" t="s">
        <v>13</v>
      </c>
      <c r="H582" s="6" t="e" vm="36">
        <v>#VALUE!</v>
      </c>
    </row>
    <row r="583" spans="1:8" x14ac:dyDescent="0.25">
      <c r="A583" s="1">
        <v>689</v>
      </c>
      <c r="B583" s="1" t="s">
        <v>2824</v>
      </c>
      <c r="C583" s="1" t="s">
        <v>2825</v>
      </c>
      <c r="D583" s="1" t="s">
        <v>2826</v>
      </c>
      <c r="E583" s="1" t="s">
        <v>11</v>
      </c>
      <c r="F583" s="2" t="s">
        <v>4626</v>
      </c>
      <c r="G583" s="1" t="s">
        <v>13</v>
      </c>
      <c r="H583" s="6" t="e" vm="47">
        <v>#VALUE!</v>
      </c>
    </row>
    <row r="584" spans="1:8" x14ac:dyDescent="0.25">
      <c r="A584" s="1">
        <v>690</v>
      </c>
      <c r="B584" s="1" t="s">
        <v>2828</v>
      </c>
      <c r="C584" s="1" t="s">
        <v>2829</v>
      </c>
      <c r="D584" s="1" t="s">
        <v>2830</v>
      </c>
      <c r="E584" s="1" t="s">
        <v>18</v>
      </c>
      <c r="F584" s="2" t="s">
        <v>4627</v>
      </c>
      <c r="G584" s="1" t="s">
        <v>13</v>
      </c>
      <c r="H584" s="6" t="s">
        <v>51</v>
      </c>
    </row>
    <row r="585" spans="1:8" x14ac:dyDescent="0.25">
      <c r="A585" s="1">
        <v>692</v>
      </c>
      <c r="B585" s="1" t="s">
        <v>2835</v>
      </c>
      <c r="C585" s="1" t="s">
        <v>2836</v>
      </c>
      <c r="D585" s="1" t="s">
        <v>2837</v>
      </c>
      <c r="E585" s="1" t="s">
        <v>18</v>
      </c>
      <c r="F585" s="2" t="s">
        <v>4628</v>
      </c>
      <c r="G585" s="1" t="s">
        <v>13</v>
      </c>
      <c r="H585" s="6" t="e" vm="79">
        <v>#VALUE!</v>
      </c>
    </row>
    <row r="586" spans="1:8" x14ac:dyDescent="0.25">
      <c r="A586" s="1">
        <v>694</v>
      </c>
      <c r="B586" s="1" t="s">
        <v>2843</v>
      </c>
      <c r="C586" s="1" t="s">
        <v>2844</v>
      </c>
      <c r="D586" s="1" t="s">
        <v>2845</v>
      </c>
      <c r="E586" s="1" t="s">
        <v>18</v>
      </c>
      <c r="F586" s="2" t="s">
        <v>4629</v>
      </c>
      <c r="G586" s="1" t="s">
        <v>13</v>
      </c>
      <c r="H586" s="6" t="e" vm="42">
        <v>#VALUE!</v>
      </c>
    </row>
    <row r="587" spans="1:8" x14ac:dyDescent="0.25">
      <c r="A587" s="1">
        <v>695</v>
      </c>
      <c r="B587" s="1" t="s">
        <v>2847</v>
      </c>
      <c r="C587" s="1" t="s">
        <v>2848</v>
      </c>
      <c r="D587" s="1" t="s">
        <v>2849</v>
      </c>
      <c r="E587" s="1" t="s">
        <v>18</v>
      </c>
      <c r="F587" s="2" t="s">
        <v>4630</v>
      </c>
      <c r="G587" s="1" t="s">
        <v>13</v>
      </c>
      <c r="H587" s="6" t="e" vm="42">
        <v>#VALUE!</v>
      </c>
    </row>
    <row r="588" spans="1:8" x14ac:dyDescent="0.25">
      <c r="A588" s="1">
        <v>696</v>
      </c>
      <c r="B588" s="1" t="s">
        <v>2851</v>
      </c>
      <c r="C588" s="1" t="s">
        <v>2852</v>
      </c>
      <c r="D588" s="1" t="s">
        <v>2853</v>
      </c>
      <c r="E588" s="1" t="s">
        <v>11</v>
      </c>
      <c r="F588" s="2" t="s">
        <v>4631</v>
      </c>
      <c r="G588" s="1" t="s">
        <v>13</v>
      </c>
      <c r="H588" s="6" t="e" vm="70">
        <v>#VALUE!</v>
      </c>
    </row>
    <row r="589" spans="1:8" x14ac:dyDescent="0.25">
      <c r="A589" s="1">
        <v>698</v>
      </c>
      <c r="B589" s="1" t="s">
        <v>2859</v>
      </c>
      <c r="C589" s="1" t="s">
        <v>2860</v>
      </c>
      <c r="D589" s="1" t="s">
        <v>2861</v>
      </c>
      <c r="E589" s="1" t="s">
        <v>18</v>
      </c>
      <c r="F589" s="2" t="s">
        <v>4632</v>
      </c>
      <c r="G589" s="1" t="s">
        <v>13</v>
      </c>
      <c r="H589" s="6" t="e" vm="15">
        <v>#VALUE!</v>
      </c>
    </row>
    <row r="590" spans="1:8" x14ac:dyDescent="0.25">
      <c r="A590" s="1">
        <v>699</v>
      </c>
      <c r="B590" s="1" t="s">
        <v>2863</v>
      </c>
      <c r="C590" s="1" t="s">
        <v>2864</v>
      </c>
      <c r="D590" s="1" t="s">
        <v>2865</v>
      </c>
      <c r="E590" s="1" t="s">
        <v>11</v>
      </c>
      <c r="F590" s="2" t="s">
        <v>4633</v>
      </c>
      <c r="G590" s="1" t="s">
        <v>13</v>
      </c>
      <c r="H590" s="6" t="e" vm="59">
        <v>#VALUE!</v>
      </c>
    </row>
    <row r="591" spans="1:8" x14ac:dyDescent="0.25">
      <c r="A591" s="1">
        <v>701</v>
      </c>
      <c r="B591" s="1" t="s">
        <v>2871</v>
      </c>
      <c r="C591" s="1" t="s">
        <v>2872</v>
      </c>
      <c r="D591" s="1" t="s">
        <v>2873</v>
      </c>
      <c r="E591" s="1" t="s">
        <v>4045</v>
      </c>
      <c r="F591" s="2" t="s">
        <v>4634</v>
      </c>
      <c r="G591" s="1" t="s">
        <v>13</v>
      </c>
      <c r="H591" s="6" t="e" vm="76">
        <v>#VALUE!</v>
      </c>
    </row>
    <row r="592" spans="1:8" x14ac:dyDescent="0.25">
      <c r="A592" s="1">
        <v>702</v>
      </c>
      <c r="B592" s="1" t="s">
        <v>2875</v>
      </c>
      <c r="C592" s="1" t="s">
        <v>2876</v>
      </c>
      <c r="D592" s="1" t="s">
        <v>2877</v>
      </c>
      <c r="E592" s="1" t="s">
        <v>11</v>
      </c>
      <c r="F592" s="2" t="s">
        <v>4635</v>
      </c>
      <c r="G592" s="1" t="s">
        <v>13</v>
      </c>
      <c r="H592" s="6" t="e" vm="63">
        <v>#VALUE!</v>
      </c>
    </row>
    <row r="593" spans="1:8" x14ac:dyDescent="0.25">
      <c r="A593" s="1">
        <v>703</v>
      </c>
      <c r="B593" s="1" t="s">
        <v>2879</v>
      </c>
      <c r="C593" s="1" t="s">
        <v>2204</v>
      </c>
      <c r="D593" s="1" t="s">
        <v>2880</v>
      </c>
      <c r="E593" s="1" t="s">
        <v>4045</v>
      </c>
      <c r="F593" s="2" t="s">
        <v>4636</v>
      </c>
      <c r="G593" s="1" t="s">
        <v>13</v>
      </c>
      <c r="H593" s="6" t="e" vm="18">
        <v>#VALUE!</v>
      </c>
    </row>
    <row r="594" spans="1:8" x14ac:dyDescent="0.25">
      <c r="A594" s="1">
        <v>704</v>
      </c>
      <c r="B594" s="1" t="s">
        <v>2882</v>
      </c>
      <c r="C594" s="1" t="s">
        <v>2883</v>
      </c>
      <c r="D594" s="1" t="s">
        <v>2884</v>
      </c>
      <c r="E594" s="1" t="s">
        <v>18</v>
      </c>
      <c r="F594" s="2" t="s">
        <v>4637</v>
      </c>
      <c r="G594" s="1" t="s">
        <v>13</v>
      </c>
      <c r="H594" s="6" t="e" vm="55">
        <v>#VALUE!</v>
      </c>
    </row>
    <row r="595" spans="1:8" x14ac:dyDescent="0.25">
      <c r="A595" s="1">
        <v>705</v>
      </c>
      <c r="B595" s="1" t="s">
        <v>2886</v>
      </c>
      <c r="C595" s="1" t="s">
        <v>2887</v>
      </c>
      <c r="D595" s="1" t="s">
        <v>2888</v>
      </c>
      <c r="E595" s="1" t="s">
        <v>18</v>
      </c>
      <c r="F595" s="2" t="s">
        <v>4638</v>
      </c>
      <c r="G595" s="1" t="s">
        <v>13</v>
      </c>
      <c r="H595" s="6" t="e" vm="30">
        <v>#VALUE!</v>
      </c>
    </row>
    <row r="596" spans="1:8" x14ac:dyDescent="0.25">
      <c r="A596" s="1">
        <v>706</v>
      </c>
      <c r="B596" s="1" t="s">
        <v>2890</v>
      </c>
      <c r="C596" s="1" t="s">
        <v>2891</v>
      </c>
      <c r="D596" s="1" t="s">
        <v>2892</v>
      </c>
      <c r="E596" s="1" t="s">
        <v>4045</v>
      </c>
      <c r="F596" s="2" t="s">
        <v>4639</v>
      </c>
      <c r="G596" s="1" t="s">
        <v>13</v>
      </c>
      <c r="H596" s="6" t="e" vm="49">
        <v>#VALUE!</v>
      </c>
    </row>
    <row r="597" spans="1:8" x14ac:dyDescent="0.25">
      <c r="A597" s="1">
        <v>707</v>
      </c>
      <c r="B597" s="1" t="s">
        <v>2894</v>
      </c>
      <c r="C597" s="1" t="s">
        <v>2895</v>
      </c>
      <c r="D597" s="1" t="s">
        <v>2896</v>
      </c>
      <c r="E597" s="1" t="s">
        <v>18</v>
      </c>
      <c r="F597" s="2" t="s">
        <v>4640</v>
      </c>
      <c r="G597" s="1" t="s">
        <v>13</v>
      </c>
      <c r="H597" s="6" t="e" vm="39">
        <v>#VALUE!</v>
      </c>
    </row>
    <row r="598" spans="1:8" x14ac:dyDescent="0.25">
      <c r="A598" s="1">
        <v>708</v>
      </c>
      <c r="B598" s="1" t="s">
        <v>1090</v>
      </c>
      <c r="C598" s="1" t="s">
        <v>2898</v>
      </c>
      <c r="D598" s="1" t="s">
        <v>2899</v>
      </c>
      <c r="E598" s="1" t="s">
        <v>18</v>
      </c>
      <c r="F598" s="2" t="s">
        <v>4641</v>
      </c>
      <c r="G598" s="1" t="s">
        <v>13</v>
      </c>
      <c r="H598" s="6" t="e" vm="83">
        <v>#VALUE!</v>
      </c>
    </row>
    <row r="599" spans="1:8" x14ac:dyDescent="0.25">
      <c r="A599" s="1">
        <v>709</v>
      </c>
      <c r="B599" s="1" t="s">
        <v>2901</v>
      </c>
      <c r="C599" s="1" t="s">
        <v>2902</v>
      </c>
      <c r="D599" s="1" t="s">
        <v>2903</v>
      </c>
      <c r="E599" s="1" t="s">
        <v>11</v>
      </c>
      <c r="F599" s="2" t="s">
        <v>4642</v>
      </c>
      <c r="G599" s="1" t="s">
        <v>13</v>
      </c>
      <c r="H599" s="6" t="e" vm="9">
        <v>#VALUE!</v>
      </c>
    </row>
    <row r="600" spans="1:8" x14ac:dyDescent="0.25">
      <c r="A600" s="1">
        <v>710</v>
      </c>
      <c r="B600" s="1" t="s">
        <v>2905</v>
      </c>
      <c r="C600" s="1" t="s">
        <v>2906</v>
      </c>
      <c r="D600" s="1" t="s">
        <v>2907</v>
      </c>
      <c r="E600" s="1" t="s">
        <v>18</v>
      </c>
      <c r="F600" s="2" t="s">
        <v>4643</v>
      </c>
      <c r="G600" s="1" t="s">
        <v>13</v>
      </c>
      <c r="H600" s="6" t="s">
        <v>4040</v>
      </c>
    </row>
    <row r="601" spans="1:8" x14ac:dyDescent="0.25">
      <c r="A601" s="1">
        <v>712</v>
      </c>
      <c r="B601" s="1" t="s">
        <v>2913</v>
      </c>
      <c r="C601" s="1" t="s">
        <v>2914</v>
      </c>
      <c r="D601" s="1" t="s">
        <v>2915</v>
      </c>
      <c r="E601" s="1" t="s">
        <v>18</v>
      </c>
      <c r="F601" s="2" t="s">
        <v>4644</v>
      </c>
      <c r="G601" s="1" t="s">
        <v>13</v>
      </c>
      <c r="H601" s="6" t="e" vm="76">
        <v>#VALUE!</v>
      </c>
    </row>
    <row r="602" spans="1:8" x14ac:dyDescent="0.25">
      <c r="A602" s="1">
        <v>713</v>
      </c>
      <c r="B602" s="1" t="s">
        <v>2917</v>
      </c>
      <c r="C602" s="1" t="s">
        <v>2918</v>
      </c>
      <c r="D602" s="1" t="s">
        <v>2919</v>
      </c>
      <c r="E602" s="1" t="s">
        <v>11</v>
      </c>
      <c r="F602" s="2" t="s">
        <v>4645</v>
      </c>
      <c r="G602" s="1" t="s">
        <v>13</v>
      </c>
      <c r="H602" s="6" t="e" vm="63">
        <v>#VALUE!</v>
      </c>
    </row>
    <row r="603" spans="1:8" x14ac:dyDescent="0.25">
      <c r="A603" s="1">
        <v>714</v>
      </c>
      <c r="B603" s="1" t="s">
        <v>2921</v>
      </c>
      <c r="C603" s="1" t="s">
        <v>2922</v>
      </c>
      <c r="D603" s="1" t="s">
        <v>2923</v>
      </c>
      <c r="E603" s="1" t="s">
        <v>18</v>
      </c>
      <c r="F603" s="2" t="s">
        <v>4646</v>
      </c>
      <c r="G603" s="1" t="s">
        <v>13</v>
      </c>
      <c r="H603" s="6" t="e" vm="26">
        <v>#VALUE!</v>
      </c>
    </row>
    <row r="604" spans="1:8" x14ac:dyDescent="0.25">
      <c r="A604" s="1">
        <v>715</v>
      </c>
      <c r="B604" s="1" t="s">
        <v>2925</v>
      </c>
      <c r="C604" s="1" t="s">
        <v>2926</v>
      </c>
      <c r="D604" s="1" t="s">
        <v>2927</v>
      </c>
      <c r="E604" s="1" t="s">
        <v>11</v>
      </c>
      <c r="F604" s="2" t="s">
        <v>4647</v>
      </c>
      <c r="G604" s="1" t="s">
        <v>13</v>
      </c>
      <c r="H604" s="6" t="e" vm="41">
        <v>#VALUE!</v>
      </c>
    </row>
    <row r="605" spans="1:8" x14ac:dyDescent="0.25">
      <c r="A605" s="1">
        <v>717</v>
      </c>
      <c r="B605" s="1" t="s">
        <v>2933</v>
      </c>
      <c r="C605" s="1" t="s">
        <v>2934</v>
      </c>
      <c r="D605" s="1" t="s">
        <v>2935</v>
      </c>
      <c r="E605" s="1" t="s">
        <v>11</v>
      </c>
      <c r="F605" s="2" t="s">
        <v>4648</v>
      </c>
      <c r="G605" s="1" t="s">
        <v>13</v>
      </c>
      <c r="H605" s="6" t="e" vm="9">
        <v>#VALUE!</v>
      </c>
    </row>
    <row r="606" spans="1:8" x14ac:dyDescent="0.25">
      <c r="A606" s="1">
        <v>719</v>
      </c>
      <c r="B606" s="1" t="s">
        <v>2941</v>
      </c>
      <c r="C606" s="1" t="s">
        <v>2942</v>
      </c>
      <c r="D606" s="1" t="s">
        <v>2943</v>
      </c>
      <c r="E606" s="1" t="s">
        <v>18</v>
      </c>
      <c r="F606" s="2" t="s">
        <v>4649</v>
      </c>
      <c r="G606" s="1" t="s">
        <v>13</v>
      </c>
      <c r="H606" s="6" t="e" vm="17">
        <v>#VALUE!</v>
      </c>
    </row>
    <row r="607" spans="1:8" x14ac:dyDescent="0.25">
      <c r="A607" s="1">
        <v>721</v>
      </c>
      <c r="B607" s="1" t="s">
        <v>2949</v>
      </c>
      <c r="C607" s="1" t="s">
        <v>2950</v>
      </c>
      <c r="D607" s="1" t="s">
        <v>2951</v>
      </c>
      <c r="E607" s="1" t="s">
        <v>18</v>
      </c>
      <c r="F607" s="2" t="s">
        <v>4650</v>
      </c>
      <c r="G607" s="1" t="s">
        <v>13</v>
      </c>
      <c r="H607" s="6" t="e" vm="24">
        <v>#VALUE!</v>
      </c>
    </row>
    <row r="608" spans="1:8" x14ac:dyDescent="0.25">
      <c r="A608" s="1">
        <v>722</v>
      </c>
      <c r="B608" s="1" t="s">
        <v>2953</v>
      </c>
      <c r="C608" s="1" t="s">
        <v>2954</v>
      </c>
      <c r="D608" s="1" t="s">
        <v>2955</v>
      </c>
      <c r="E608" s="1" t="s">
        <v>18</v>
      </c>
      <c r="F608" s="2" t="s">
        <v>4651</v>
      </c>
      <c r="G608" s="1" t="s">
        <v>13</v>
      </c>
      <c r="H608" s="6" t="e" vm="62">
        <v>#VALUE!</v>
      </c>
    </row>
    <row r="609" spans="1:8" x14ac:dyDescent="0.25">
      <c r="A609" s="1">
        <v>723</v>
      </c>
      <c r="B609" s="1" t="s">
        <v>2957</v>
      </c>
      <c r="C609" s="1" t="s">
        <v>2958</v>
      </c>
      <c r="D609" s="1" t="s">
        <v>2959</v>
      </c>
      <c r="E609" s="1" t="s">
        <v>18</v>
      </c>
      <c r="F609" s="2" t="s">
        <v>4652</v>
      </c>
      <c r="G609" s="1" t="s">
        <v>13</v>
      </c>
      <c r="H609" s="6" t="e" vm="7">
        <v>#VALUE!</v>
      </c>
    </row>
    <row r="610" spans="1:8" x14ac:dyDescent="0.25">
      <c r="A610" s="1">
        <v>724</v>
      </c>
      <c r="B610" s="1" t="s">
        <v>2961</v>
      </c>
      <c r="C610" s="1" t="s">
        <v>2962</v>
      </c>
      <c r="D610" s="1" t="s">
        <v>2963</v>
      </c>
      <c r="E610" s="1" t="s">
        <v>11</v>
      </c>
      <c r="F610" s="2" t="s">
        <v>4653</v>
      </c>
      <c r="G610" s="1" t="s">
        <v>13</v>
      </c>
      <c r="H610" s="6" t="e" vm="35">
        <v>#VALUE!</v>
      </c>
    </row>
    <row r="611" spans="1:8" x14ac:dyDescent="0.25">
      <c r="A611" s="1">
        <v>725</v>
      </c>
      <c r="B611" s="1" t="s">
        <v>2965</v>
      </c>
      <c r="C611" s="1" t="s">
        <v>2966</v>
      </c>
      <c r="D611" s="1" t="s">
        <v>2967</v>
      </c>
      <c r="E611" s="1" t="s">
        <v>11</v>
      </c>
      <c r="F611" s="2" t="s">
        <v>4654</v>
      </c>
      <c r="G611" s="1" t="s">
        <v>13</v>
      </c>
      <c r="H611" s="6" t="s">
        <v>4040</v>
      </c>
    </row>
    <row r="612" spans="1:8" x14ac:dyDescent="0.25">
      <c r="A612" s="1">
        <v>726</v>
      </c>
      <c r="B612" s="1" t="s">
        <v>2969</v>
      </c>
      <c r="C612" s="1" t="s">
        <v>2970</v>
      </c>
      <c r="D612" s="1" t="s">
        <v>2971</v>
      </c>
      <c r="E612" s="1" t="s">
        <v>11</v>
      </c>
      <c r="F612" s="2" t="s">
        <v>4655</v>
      </c>
      <c r="G612" s="1" t="s">
        <v>13</v>
      </c>
      <c r="H612" s="6" t="e" vm="3">
        <v>#VALUE!</v>
      </c>
    </row>
    <row r="613" spans="1:8" x14ac:dyDescent="0.25">
      <c r="A613" s="1">
        <v>727</v>
      </c>
      <c r="B613" s="1" t="s">
        <v>2973</v>
      </c>
      <c r="C613" s="1" t="s">
        <v>2974</v>
      </c>
      <c r="D613" s="1" t="s">
        <v>2975</v>
      </c>
      <c r="E613" s="1" t="s">
        <v>11</v>
      </c>
      <c r="F613" s="2" t="s">
        <v>4656</v>
      </c>
      <c r="G613" s="1" t="s">
        <v>13</v>
      </c>
      <c r="H613" s="6" t="e" vm="50">
        <v>#VALUE!</v>
      </c>
    </row>
    <row r="614" spans="1:8" x14ac:dyDescent="0.25">
      <c r="A614" s="1">
        <v>728</v>
      </c>
      <c r="B614" s="1" t="s">
        <v>1595</v>
      </c>
      <c r="C614" s="1" t="s">
        <v>2977</v>
      </c>
      <c r="D614" s="1" t="s">
        <v>2978</v>
      </c>
      <c r="E614" s="1" t="s">
        <v>4045</v>
      </c>
      <c r="F614" s="2" t="s">
        <v>4657</v>
      </c>
      <c r="G614" s="1" t="s">
        <v>13</v>
      </c>
      <c r="H614" s="6" t="e" vm="19">
        <v>#VALUE!</v>
      </c>
    </row>
    <row r="615" spans="1:8" x14ac:dyDescent="0.25">
      <c r="A615" s="1">
        <v>730</v>
      </c>
      <c r="B615" s="1" t="s">
        <v>2984</v>
      </c>
      <c r="C615" s="1" t="s">
        <v>2985</v>
      </c>
      <c r="D615" s="1" t="s">
        <v>2986</v>
      </c>
      <c r="E615" s="1" t="s">
        <v>11</v>
      </c>
      <c r="F615" s="2" t="s">
        <v>4658</v>
      </c>
      <c r="G615" s="1" t="s">
        <v>13</v>
      </c>
      <c r="H615" s="6" t="e" vm="18">
        <v>#VALUE!</v>
      </c>
    </row>
    <row r="616" spans="1:8" x14ac:dyDescent="0.25">
      <c r="A616" s="1">
        <v>731</v>
      </c>
      <c r="B616" s="1" t="s">
        <v>2988</v>
      </c>
      <c r="C616" s="1" t="s">
        <v>2989</v>
      </c>
      <c r="D616" s="1" t="s">
        <v>2990</v>
      </c>
      <c r="E616" s="1" t="s">
        <v>18</v>
      </c>
      <c r="F616" s="2" t="s">
        <v>4659</v>
      </c>
      <c r="G616" s="1" t="s">
        <v>13</v>
      </c>
      <c r="H616" s="6" t="e" vm="30">
        <v>#VALUE!</v>
      </c>
    </row>
    <row r="617" spans="1:8" x14ac:dyDescent="0.25">
      <c r="A617" s="1">
        <v>732</v>
      </c>
      <c r="B617" s="1" t="s">
        <v>2992</v>
      </c>
      <c r="C617" s="1" t="s">
        <v>1894</v>
      </c>
      <c r="D617" s="1" t="s">
        <v>2993</v>
      </c>
      <c r="E617" s="1" t="s">
        <v>11</v>
      </c>
      <c r="F617" s="2" t="s">
        <v>4660</v>
      </c>
      <c r="G617" s="1" t="s">
        <v>13</v>
      </c>
      <c r="H617" s="6" t="e" vm="34">
        <v>#VALUE!</v>
      </c>
    </row>
    <row r="618" spans="1:8" x14ac:dyDescent="0.25">
      <c r="A618" s="1">
        <v>733</v>
      </c>
      <c r="B618" s="1" t="s">
        <v>2995</v>
      </c>
      <c r="C618" s="1" t="s">
        <v>2996</v>
      </c>
      <c r="D618" s="1" t="s">
        <v>2997</v>
      </c>
      <c r="E618" s="1" t="s">
        <v>11</v>
      </c>
      <c r="F618" s="2" t="s">
        <v>4661</v>
      </c>
      <c r="G618" s="1" t="s">
        <v>13</v>
      </c>
      <c r="H618" s="6" t="e" vm="72">
        <v>#VALUE!</v>
      </c>
    </row>
    <row r="619" spans="1:8" x14ac:dyDescent="0.25">
      <c r="A619" s="1">
        <v>734</v>
      </c>
      <c r="B619" s="1" t="s">
        <v>2999</v>
      </c>
      <c r="C619" s="1" t="s">
        <v>3000</v>
      </c>
      <c r="D619" s="1" t="s">
        <v>3001</v>
      </c>
      <c r="E619" s="1" t="s">
        <v>18</v>
      </c>
      <c r="F619" s="2" t="s">
        <v>4662</v>
      </c>
      <c r="G619" s="1" t="s">
        <v>13</v>
      </c>
      <c r="H619" s="6" t="e" vm="57">
        <v>#VALUE!</v>
      </c>
    </row>
    <row r="620" spans="1:8" x14ac:dyDescent="0.25">
      <c r="A620" s="1">
        <v>737</v>
      </c>
      <c r="B620" s="1" t="s">
        <v>3009</v>
      </c>
      <c r="C620" s="1" t="s">
        <v>3010</v>
      </c>
      <c r="D620" s="1" t="s">
        <v>3011</v>
      </c>
      <c r="E620" s="1" t="s">
        <v>11</v>
      </c>
      <c r="F620" s="2" t="s">
        <v>4663</v>
      </c>
      <c r="G620" s="1" t="s">
        <v>13</v>
      </c>
      <c r="H620" s="6" t="e" vm="78">
        <v>#VALUE!</v>
      </c>
    </row>
    <row r="621" spans="1:8" x14ac:dyDescent="0.25">
      <c r="A621" s="1">
        <v>738</v>
      </c>
      <c r="B621" s="1" t="s">
        <v>426</v>
      </c>
      <c r="C621" s="1" t="s">
        <v>3013</v>
      </c>
      <c r="D621" s="1" t="s">
        <v>3014</v>
      </c>
      <c r="E621" s="1" t="s">
        <v>18</v>
      </c>
      <c r="F621" s="2" t="s">
        <v>4664</v>
      </c>
      <c r="G621" s="1" t="s">
        <v>13</v>
      </c>
      <c r="H621" s="6" t="e" vm="39">
        <v>#VALUE!</v>
      </c>
    </row>
    <row r="622" spans="1:8" x14ac:dyDescent="0.25">
      <c r="A622" s="1">
        <v>739</v>
      </c>
      <c r="B622" s="1" t="s">
        <v>3016</v>
      </c>
      <c r="C622" s="1" t="s">
        <v>3017</v>
      </c>
      <c r="D622" s="1" t="s">
        <v>3018</v>
      </c>
      <c r="E622" s="1" t="s">
        <v>18</v>
      </c>
      <c r="F622" s="2" t="s">
        <v>4665</v>
      </c>
      <c r="G622" s="1" t="s">
        <v>13</v>
      </c>
      <c r="H622" s="6" t="e" vm="69">
        <v>#VALUE!</v>
      </c>
    </row>
    <row r="623" spans="1:8" x14ac:dyDescent="0.25">
      <c r="A623" s="1">
        <v>740</v>
      </c>
      <c r="B623" s="1" t="s">
        <v>3020</v>
      </c>
      <c r="C623" s="1" t="s">
        <v>3021</v>
      </c>
      <c r="D623" s="1" t="s">
        <v>3022</v>
      </c>
      <c r="E623" s="1" t="s">
        <v>11</v>
      </c>
      <c r="F623" s="2" t="s">
        <v>4666</v>
      </c>
      <c r="G623" s="1" t="s">
        <v>13</v>
      </c>
      <c r="H623" s="6" t="e" vm="6">
        <v>#VALUE!</v>
      </c>
    </row>
    <row r="624" spans="1:8" x14ac:dyDescent="0.25">
      <c r="A624" s="1">
        <v>741</v>
      </c>
      <c r="B624" s="1" t="s">
        <v>3024</v>
      </c>
      <c r="C624" s="1" t="s">
        <v>3025</v>
      </c>
      <c r="D624" s="1" t="s">
        <v>3026</v>
      </c>
      <c r="E624" s="1" t="s">
        <v>11</v>
      </c>
      <c r="F624" s="2" t="s">
        <v>4667</v>
      </c>
      <c r="G624" s="1" t="s">
        <v>13</v>
      </c>
      <c r="H624" s="6" t="e" vm="52">
        <v>#VALUE!</v>
      </c>
    </row>
    <row r="625" spans="1:8" x14ac:dyDescent="0.25">
      <c r="A625" s="1">
        <v>742</v>
      </c>
      <c r="B625" s="1" t="s">
        <v>3028</v>
      </c>
      <c r="C625" s="1" t="s">
        <v>3029</v>
      </c>
      <c r="D625" s="1" t="s">
        <v>3030</v>
      </c>
      <c r="E625" s="1" t="s">
        <v>11</v>
      </c>
      <c r="F625" s="2" t="s">
        <v>4668</v>
      </c>
      <c r="G625" s="1" t="s">
        <v>13</v>
      </c>
      <c r="H625" s="6" t="e" vm="73">
        <v>#VALUE!</v>
      </c>
    </row>
    <row r="626" spans="1:8" x14ac:dyDescent="0.25">
      <c r="A626" s="1">
        <v>743</v>
      </c>
      <c r="B626" s="1" t="s">
        <v>3032</v>
      </c>
      <c r="C626" s="1" t="s">
        <v>3033</v>
      </c>
      <c r="D626" s="1" t="s">
        <v>3034</v>
      </c>
      <c r="E626" s="1" t="s">
        <v>18</v>
      </c>
      <c r="F626" s="2" t="s">
        <v>4669</v>
      </c>
      <c r="G626" s="1" t="s">
        <v>13</v>
      </c>
      <c r="H626" s="6" t="s">
        <v>4038</v>
      </c>
    </row>
    <row r="627" spans="1:8" x14ac:dyDescent="0.25">
      <c r="A627" s="1">
        <v>744</v>
      </c>
      <c r="B627" s="1" t="s">
        <v>3036</v>
      </c>
      <c r="C627" s="1" t="s">
        <v>3037</v>
      </c>
      <c r="D627" s="1" t="s">
        <v>3038</v>
      </c>
      <c r="E627" s="1" t="s">
        <v>11</v>
      </c>
      <c r="F627" s="2" t="s">
        <v>4670</v>
      </c>
      <c r="G627" s="1" t="s">
        <v>13</v>
      </c>
      <c r="H627" s="6" t="e" vm="62">
        <v>#VALUE!</v>
      </c>
    </row>
    <row r="628" spans="1:8" x14ac:dyDescent="0.25">
      <c r="A628" s="1">
        <v>745</v>
      </c>
      <c r="B628" s="1" t="s">
        <v>3040</v>
      </c>
      <c r="C628" s="1" t="s">
        <v>3041</v>
      </c>
      <c r="D628" s="1" t="s">
        <v>3042</v>
      </c>
      <c r="E628" s="1" t="s">
        <v>4045</v>
      </c>
      <c r="F628" s="2" t="s">
        <v>4671</v>
      </c>
      <c r="G628" s="1" t="s">
        <v>13</v>
      </c>
      <c r="H628" s="6" t="s">
        <v>4040</v>
      </c>
    </row>
    <row r="629" spans="1:8" x14ac:dyDescent="0.25">
      <c r="A629" s="1">
        <v>747</v>
      </c>
      <c r="B629" s="1" t="s">
        <v>3048</v>
      </c>
      <c r="C629" s="1" t="s">
        <v>3049</v>
      </c>
      <c r="D629" s="1" t="s">
        <v>3050</v>
      </c>
      <c r="E629" s="1" t="s">
        <v>18</v>
      </c>
      <c r="F629" s="2" t="s">
        <v>4672</v>
      </c>
      <c r="G629" s="1" t="s">
        <v>13</v>
      </c>
      <c r="H629" s="6" t="e" vm="62">
        <v>#VALUE!</v>
      </c>
    </row>
    <row r="630" spans="1:8" x14ac:dyDescent="0.25">
      <c r="A630" s="1">
        <v>749</v>
      </c>
      <c r="B630" s="1" t="s">
        <v>3054</v>
      </c>
      <c r="C630" s="1" t="s">
        <v>3055</v>
      </c>
      <c r="D630" s="1" t="s">
        <v>3056</v>
      </c>
      <c r="E630" s="1" t="s">
        <v>18</v>
      </c>
      <c r="F630" s="2" t="s">
        <v>4673</v>
      </c>
      <c r="G630" s="1" t="s">
        <v>13</v>
      </c>
      <c r="H630" s="6" t="e" vm="49">
        <v>#VALUE!</v>
      </c>
    </row>
    <row r="631" spans="1:8" x14ac:dyDescent="0.25">
      <c r="A631" s="1">
        <v>750</v>
      </c>
      <c r="B631" s="1" t="s">
        <v>3058</v>
      </c>
      <c r="C631" s="1" t="s">
        <v>3059</v>
      </c>
      <c r="D631" s="1" t="s">
        <v>3060</v>
      </c>
      <c r="E631" s="1" t="s">
        <v>18</v>
      </c>
      <c r="F631" s="2" t="s">
        <v>4674</v>
      </c>
      <c r="G631" s="1" t="s">
        <v>13</v>
      </c>
      <c r="H631" s="6" t="e" vm="61">
        <v>#VALUE!</v>
      </c>
    </row>
    <row r="632" spans="1:8" x14ac:dyDescent="0.25">
      <c r="A632" s="1">
        <v>751</v>
      </c>
      <c r="B632" s="1" t="s">
        <v>3062</v>
      </c>
      <c r="C632" s="1" t="s">
        <v>3063</v>
      </c>
      <c r="D632" s="1" t="s">
        <v>3064</v>
      </c>
      <c r="E632" s="1" t="s">
        <v>18</v>
      </c>
      <c r="F632" s="2" t="s">
        <v>4675</v>
      </c>
      <c r="G632" s="1" t="s">
        <v>13</v>
      </c>
      <c r="H632" s="6" t="e" vm="9">
        <v>#VALUE!</v>
      </c>
    </row>
    <row r="633" spans="1:8" x14ac:dyDescent="0.25">
      <c r="A633" s="1">
        <v>752</v>
      </c>
      <c r="B633" s="1" t="s">
        <v>2596</v>
      </c>
      <c r="C633" s="1" t="s">
        <v>3066</v>
      </c>
      <c r="D633" s="1" t="s">
        <v>3067</v>
      </c>
      <c r="E633" s="1" t="s">
        <v>18</v>
      </c>
      <c r="F633" s="2" t="s">
        <v>4676</v>
      </c>
      <c r="G633" s="1" t="s">
        <v>13</v>
      </c>
      <c r="H633" s="6" t="e" vm="84">
        <v>#VALUE!</v>
      </c>
    </row>
    <row r="634" spans="1:8" x14ac:dyDescent="0.25">
      <c r="A634" s="1">
        <v>753</v>
      </c>
      <c r="B634" s="1" t="s">
        <v>3069</v>
      </c>
      <c r="C634" s="1" t="s">
        <v>3070</v>
      </c>
      <c r="D634" s="1" t="s">
        <v>3071</v>
      </c>
      <c r="E634" s="1" t="s">
        <v>18</v>
      </c>
      <c r="F634" s="2" t="s">
        <v>4677</v>
      </c>
      <c r="G634" s="1" t="s">
        <v>13</v>
      </c>
      <c r="H634" s="6" t="e" vm="32">
        <v>#VALUE!</v>
      </c>
    </row>
    <row r="635" spans="1:8" x14ac:dyDescent="0.25">
      <c r="A635" s="1">
        <v>754</v>
      </c>
      <c r="B635" s="1" t="s">
        <v>1528</v>
      </c>
      <c r="C635" s="1" t="s">
        <v>3073</v>
      </c>
      <c r="D635" s="1" t="s">
        <v>3074</v>
      </c>
      <c r="E635" s="1" t="s">
        <v>11</v>
      </c>
      <c r="F635" s="2" t="s">
        <v>4678</v>
      </c>
      <c r="G635" s="1" t="s">
        <v>13</v>
      </c>
      <c r="H635" s="6" t="e" vm="75">
        <v>#VALUE!</v>
      </c>
    </row>
    <row r="636" spans="1:8" x14ac:dyDescent="0.25">
      <c r="A636" s="1">
        <v>755</v>
      </c>
      <c r="B636" s="1" t="s">
        <v>3076</v>
      </c>
      <c r="C636" s="1" t="s">
        <v>3077</v>
      </c>
      <c r="D636" s="1" t="s">
        <v>3078</v>
      </c>
      <c r="E636" s="1" t="s">
        <v>11</v>
      </c>
      <c r="F636" s="2" t="s">
        <v>4679</v>
      </c>
      <c r="G636" s="1" t="s">
        <v>13</v>
      </c>
      <c r="H636" s="6" t="e" vm="36">
        <v>#VALUE!</v>
      </c>
    </row>
    <row r="637" spans="1:8" x14ac:dyDescent="0.25">
      <c r="A637" s="1">
        <v>756</v>
      </c>
      <c r="B637" s="1" t="s">
        <v>3080</v>
      </c>
      <c r="C637" s="1" t="s">
        <v>3081</v>
      </c>
      <c r="D637" s="1" t="s">
        <v>3082</v>
      </c>
      <c r="E637" s="1" t="s">
        <v>11</v>
      </c>
      <c r="F637" s="2" t="s">
        <v>4680</v>
      </c>
      <c r="G637" s="1" t="s">
        <v>13</v>
      </c>
      <c r="H637" s="6" t="e" vm="64">
        <v>#VALUE!</v>
      </c>
    </row>
    <row r="638" spans="1:8" x14ac:dyDescent="0.25">
      <c r="A638" s="1">
        <v>757</v>
      </c>
      <c r="B638" s="1" t="s">
        <v>3084</v>
      </c>
      <c r="C638" s="1" t="s">
        <v>3085</v>
      </c>
      <c r="D638" s="1" t="s">
        <v>3086</v>
      </c>
      <c r="E638" s="1" t="s">
        <v>4045</v>
      </c>
      <c r="F638" s="2" t="s">
        <v>4681</v>
      </c>
      <c r="G638" s="1" t="s">
        <v>13</v>
      </c>
      <c r="H638" s="6" t="e" vm="24">
        <v>#VALUE!</v>
      </c>
    </row>
    <row r="639" spans="1:8" x14ac:dyDescent="0.25">
      <c r="A639" s="1">
        <v>758</v>
      </c>
      <c r="B639" s="1" t="s">
        <v>1946</v>
      </c>
      <c r="C639" s="1" t="s">
        <v>3088</v>
      </c>
      <c r="D639" s="1" t="s">
        <v>3089</v>
      </c>
      <c r="E639" s="1" t="s">
        <v>18</v>
      </c>
      <c r="F639" s="2" t="s">
        <v>4682</v>
      </c>
      <c r="G639" s="1" t="s">
        <v>13</v>
      </c>
      <c r="H639" s="6" t="e" vm="19">
        <v>#VALUE!</v>
      </c>
    </row>
    <row r="640" spans="1:8" x14ac:dyDescent="0.25">
      <c r="A640" s="1">
        <v>759</v>
      </c>
      <c r="B640" s="1" t="s">
        <v>3091</v>
      </c>
      <c r="C640" s="1" t="s">
        <v>3092</v>
      </c>
      <c r="D640" s="1" t="s">
        <v>3093</v>
      </c>
      <c r="E640" s="1" t="s">
        <v>18</v>
      </c>
      <c r="F640" s="2" t="s">
        <v>4683</v>
      </c>
      <c r="G640" s="1" t="s">
        <v>13</v>
      </c>
      <c r="H640" s="6" t="e" vm="61">
        <v>#VALUE!</v>
      </c>
    </row>
    <row r="641" spans="1:8" x14ac:dyDescent="0.25">
      <c r="A641" s="1">
        <v>760</v>
      </c>
      <c r="B641" s="1" t="s">
        <v>3095</v>
      </c>
      <c r="C641" s="1" t="s">
        <v>3096</v>
      </c>
      <c r="D641" s="1" t="s">
        <v>3097</v>
      </c>
      <c r="E641" s="1" t="s">
        <v>18</v>
      </c>
      <c r="F641" s="2" t="s">
        <v>4684</v>
      </c>
      <c r="G641" s="1" t="s">
        <v>13</v>
      </c>
      <c r="H641" s="6" t="e" vm="40">
        <v>#VALUE!</v>
      </c>
    </row>
    <row r="642" spans="1:8" x14ac:dyDescent="0.25">
      <c r="A642" s="1">
        <v>761</v>
      </c>
      <c r="B642" s="1" t="s">
        <v>3099</v>
      </c>
      <c r="C642" s="1" t="s">
        <v>3100</v>
      </c>
      <c r="D642" s="1" t="s">
        <v>3101</v>
      </c>
      <c r="E642" s="1" t="s">
        <v>18</v>
      </c>
      <c r="F642" s="2" t="s">
        <v>4685</v>
      </c>
      <c r="G642" s="1" t="s">
        <v>13</v>
      </c>
      <c r="H642" s="6" t="e" vm="10">
        <v>#VALUE!</v>
      </c>
    </row>
    <row r="643" spans="1:8" x14ac:dyDescent="0.25">
      <c r="A643" s="1">
        <v>762</v>
      </c>
      <c r="B643" s="1" t="s">
        <v>1140</v>
      </c>
      <c r="C643" s="1" t="s">
        <v>3103</v>
      </c>
      <c r="D643" s="1" t="s">
        <v>3104</v>
      </c>
      <c r="E643" s="1" t="s">
        <v>18</v>
      </c>
      <c r="F643" s="2" t="s">
        <v>4686</v>
      </c>
      <c r="G643" s="1" t="s">
        <v>13</v>
      </c>
      <c r="H643" s="6" t="e" vm="7">
        <v>#VALUE!</v>
      </c>
    </row>
    <row r="644" spans="1:8" x14ac:dyDescent="0.25">
      <c r="A644" s="1">
        <v>763</v>
      </c>
      <c r="B644" s="1" t="s">
        <v>3106</v>
      </c>
      <c r="C644" s="1" t="s">
        <v>3107</v>
      </c>
      <c r="D644" s="1" t="s">
        <v>3108</v>
      </c>
      <c r="E644" s="1" t="s">
        <v>11</v>
      </c>
      <c r="F644" s="2" t="s">
        <v>4687</v>
      </c>
      <c r="G644" s="1" t="s">
        <v>13</v>
      </c>
      <c r="H644" s="6" t="s">
        <v>4037</v>
      </c>
    </row>
    <row r="645" spans="1:8" x14ac:dyDescent="0.25">
      <c r="A645" s="1">
        <v>767</v>
      </c>
      <c r="B645" s="1" t="s">
        <v>3122</v>
      </c>
      <c r="C645" s="1" t="s">
        <v>3123</v>
      </c>
      <c r="D645" s="1" t="s">
        <v>3124</v>
      </c>
      <c r="E645" s="1" t="s">
        <v>11</v>
      </c>
      <c r="F645" s="2" t="s">
        <v>4688</v>
      </c>
      <c r="G645" s="1" t="s">
        <v>13</v>
      </c>
      <c r="H645" s="6" t="e" vm="7">
        <v>#VALUE!</v>
      </c>
    </row>
    <row r="646" spans="1:8" x14ac:dyDescent="0.25">
      <c r="A646" s="1">
        <v>768</v>
      </c>
      <c r="B646" s="1" t="s">
        <v>3126</v>
      </c>
      <c r="C646" s="1" t="s">
        <v>3127</v>
      </c>
      <c r="D646" s="1" t="s">
        <v>3128</v>
      </c>
      <c r="E646" s="1" t="s">
        <v>11</v>
      </c>
      <c r="F646" s="2" t="s">
        <v>4689</v>
      </c>
      <c r="G646" s="1" t="s">
        <v>13</v>
      </c>
      <c r="H646" s="6" t="e" vm="61">
        <v>#VALUE!</v>
      </c>
    </row>
    <row r="647" spans="1:8" x14ac:dyDescent="0.25">
      <c r="A647" s="1">
        <v>769</v>
      </c>
      <c r="B647" s="1" t="s">
        <v>3130</v>
      </c>
      <c r="C647" s="1" t="s">
        <v>3131</v>
      </c>
      <c r="D647" s="1" t="s">
        <v>3132</v>
      </c>
      <c r="E647" s="1" t="s">
        <v>18</v>
      </c>
      <c r="F647" s="2" t="s">
        <v>4690</v>
      </c>
      <c r="G647" s="1" t="s">
        <v>13</v>
      </c>
      <c r="H647" s="6" t="e" vm="2">
        <v>#VALUE!</v>
      </c>
    </row>
    <row r="648" spans="1:8" x14ac:dyDescent="0.25">
      <c r="A648" s="1">
        <v>770</v>
      </c>
      <c r="B648" s="1" t="s">
        <v>3134</v>
      </c>
      <c r="C648" s="1" t="s">
        <v>1401</v>
      </c>
      <c r="D648" s="1" t="s">
        <v>3135</v>
      </c>
      <c r="E648" s="1" t="s">
        <v>18</v>
      </c>
      <c r="F648" s="2" t="s">
        <v>4691</v>
      </c>
      <c r="G648" s="1" t="s">
        <v>13</v>
      </c>
      <c r="H648" s="6" t="e" vm="51">
        <v>#VALUE!</v>
      </c>
    </row>
    <row r="649" spans="1:8" x14ac:dyDescent="0.25">
      <c r="A649" s="1">
        <v>771</v>
      </c>
      <c r="B649" s="1" t="s">
        <v>3137</v>
      </c>
      <c r="C649" s="1" t="s">
        <v>3138</v>
      </c>
      <c r="D649" s="1" t="s">
        <v>3139</v>
      </c>
      <c r="E649" s="1" t="s">
        <v>11</v>
      </c>
      <c r="F649" s="2" t="s">
        <v>4692</v>
      </c>
      <c r="G649" s="1" t="s">
        <v>13</v>
      </c>
      <c r="H649" s="6" t="e" vm="47">
        <v>#VALUE!</v>
      </c>
    </row>
    <row r="650" spans="1:8" x14ac:dyDescent="0.25">
      <c r="A650" s="1">
        <v>772</v>
      </c>
      <c r="B650" s="1" t="s">
        <v>3141</v>
      </c>
      <c r="C650" s="1" t="s">
        <v>3142</v>
      </c>
      <c r="D650" s="1" t="s">
        <v>3143</v>
      </c>
      <c r="E650" s="1" t="s">
        <v>4045</v>
      </c>
      <c r="F650" s="2" t="s">
        <v>4693</v>
      </c>
      <c r="G650" s="1" t="s">
        <v>13</v>
      </c>
      <c r="H650" s="6" t="e" vm="49">
        <v>#VALUE!</v>
      </c>
    </row>
    <row r="651" spans="1:8" x14ac:dyDescent="0.25">
      <c r="A651" s="1">
        <v>773</v>
      </c>
      <c r="B651" s="1" t="s">
        <v>1805</v>
      </c>
      <c r="C651" s="1" t="s">
        <v>3145</v>
      </c>
      <c r="D651" s="1" t="s">
        <v>3146</v>
      </c>
      <c r="E651" s="1" t="s">
        <v>18</v>
      </c>
      <c r="F651" s="2" t="s">
        <v>4694</v>
      </c>
      <c r="G651" s="1" t="s">
        <v>13</v>
      </c>
      <c r="H651" s="6" t="e" vm="81">
        <v>#VALUE!</v>
      </c>
    </row>
    <row r="652" spans="1:8" x14ac:dyDescent="0.25">
      <c r="A652" s="1">
        <v>774</v>
      </c>
      <c r="B652" s="1" t="s">
        <v>3148</v>
      </c>
      <c r="C652" s="1" t="s">
        <v>3149</v>
      </c>
      <c r="D652" s="1" t="s">
        <v>3150</v>
      </c>
      <c r="E652" s="1" t="s">
        <v>11</v>
      </c>
      <c r="F652" s="2" t="s">
        <v>4695</v>
      </c>
      <c r="G652" s="1" t="s">
        <v>13</v>
      </c>
      <c r="H652" s="6" t="e" vm="74">
        <v>#VALUE!</v>
      </c>
    </row>
    <row r="653" spans="1:8" x14ac:dyDescent="0.25">
      <c r="A653" s="1">
        <v>775</v>
      </c>
      <c r="B653" s="1" t="s">
        <v>3152</v>
      </c>
      <c r="C653" s="1" t="s">
        <v>3153</v>
      </c>
      <c r="D653" s="1" t="s">
        <v>3154</v>
      </c>
      <c r="E653" s="1" t="s">
        <v>18</v>
      </c>
      <c r="F653" s="2" t="s">
        <v>4696</v>
      </c>
      <c r="G653" s="1" t="s">
        <v>13</v>
      </c>
      <c r="H653" s="6" t="e" vm="44">
        <v>#VALUE!</v>
      </c>
    </row>
    <row r="654" spans="1:8" x14ac:dyDescent="0.25">
      <c r="A654" s="1">
        <v>777</v>
      </c>
      <c r="B654" s="1" t="s">
        <v>3159</v>
      </c>
      <c r="C654" s="1" t="s">
        <v>3160</v>
      </c>
      <c r="D654" s="1" t="s">
        <v>3161</v>
      </c>
      <c r="E654" s="1" t="s">
        <v>11</v>
      </c>
      <c r="F654" s="2" t="s">
        <v>4697</v>
      </c>
      <c r="G654" s="1" t="s">
        <v>13</v>
      </c>
      <c r="H654" s="6" t="e" vm="1">
        <v>#VALUE!</v>
      </c>
    </row>
    <row r="655" spans="1:8" x14ac:dyDescent="0.25">
      <c r="A655" s="1">
        <v>778</v>
      </c>
      <c r="B655" s="1" t="s">
        <v>3163</v>
      </c>
      <c r="C655" s="1" t="s">
        <v>3164</v>
      </c>
      <c r="D655" s="1" t="s">
        <v>3165</v>
      </c>
      <c r="E655" s="1" t="s">
        <v>18</v>
      </c>
      <c r="F655" s="2" t="s">
        <v>4698</v>
      </c>
      <c r="G655" s="1" t="s">
        <v>13</v>
      </c>
      <c r="H655" s="6" t="e" vm="8">
        <v>#VALUE!</v>
      </c>
    </row>
    <row r="656" spans="1:8" x14ac:dyDescent="0.25">
      <c r="A656" s="1">
        <v>779</v>
      </c>
      <c r="B656" s="1" t="s">
        <v>2929</v>
      </c>
      <c r="C656" s="1" t="s">
        <v>3167</v>
      </c>
      <c r="D656" s="1" t="s">
        <v>3168</v>
      </c>
      <c r="E656" s="1" t="s">
        <v>18</v>
      </c>
      <c r="F656" s="2" t="s">
        <v>4699</v>
      </c>
      <c r="G656" s="1" t="s">
        <v>13</v>
      </c>
      <c r="H656" s="6" t="e" vm="22">
        <v>#VALUE!</v>
      </c>
    </row>
    <row r="657" spans="1:8" x14ac:dyDescent="0.25">
      <c r="A657" s="1">
        <v>780</v>
      </c>
      <c r="B657" s="1" t="s">
        <v>3170</v>
      </c>
      <c r="C657" s="1" t="s">
        <v>3171</v>
      </c>
      <c r="D657" s="1" t="s">
        <v>3172</v>
      </c>
      <c r="E657" s="1" t="s">
        <v>18</v>
      </c>
      <c r="F657" s="2" t="s">
        <v>4700</v>
      </c>
      <c r="G657" s="1" t="s">
        <v>13</v>
      </c>
      <c r="H657" s="6" t="e" vm="79">
        <v>#VALUE!</v>
      </c>
    </row>
    <row r="658" spans="1:8" x14ac:dyDescent="0.25">
      <c r="A658" s="1">
        <v>781</v>
      </c>
      <c r="B658" s="1" t="s">
        <v>3174</v>
      </c>
      <c r="C658" s="1" t="s">
        <v>3175</v>
      </c>
      <c r="D658" s="1" t="s">
        <v>3176</v>
      </c>
      <c r="E658" s="1" t="s">
        <v>11</v>
      </c>
      <c r="F658" s="2" t="s">
        <v>4701</v>
      </c>
      <c r="G658" s="1" t="s">
        <v>13</v>
      </c>
      <c r="H658" s="6" t="e" vm="5">
        <v>#VALUE!</v>
      </c>
    </row>
    <row r="659" spans="1:8" x14ac:dyDescent="0.25">
      <c r="A659" s="1">
        <v>783</v>
      </c>
      <c r="B659" s="1" t="s">
        <v>3181</v>
      </c>
      <c r="C659" s="1" t="s">
        <v>3182</v>
      </c>
      <c r="D659" s="1" t="s">
        <v>3183</v>
      </c>
      <c r="E659" s="1" t="s">
        <v>4045</v>
      </c>
      <c r="F659" s="2" t="s">
        <v>4702</v>
      </c>
      <c r="G659" s="1" t="s">
        <v>13</v>
      </c>
      <c r="H659" s="6" t="e" vm="48">
        <v>#VALUE!</v>
      </c>
    </row>
    <row r="660" spans="1:8" x14ac:dyDescent="0.25">
      <c r="A660" s="1">
        <v>784</v>
      </c>
      <c r="B660" s="1" t="s">
        <v>2148</v>
      </c>
      <c r="C660" s="1" t="s">
        <v>3185</v>
      </c>
      <c r="D660" s="1" t="s">
        <v>3186</v>
      </c>
      <c r="E660" s="1" t="s">
        <v>18</v>
      </c>
      <c r="F660" s="2" t="s">
        <v>4703</v>
      </c>
      <c r="G660" s="1" t="s">
        <v>13</v>
      </c>
      <c r="H660" s="6" t="e" vm="25">
        <v>#VALUE!</v>
      </c>
    </row>
    <row r="661" spans="1:8" x14ac:dyDescent="0.25">
      <c r="A661" s="1">
        <v>785</v>
      </c>
      <c r="B661" s="1" t="s">
        <v>3188</v>
      </c>
      <c r="C661" s="1" t="s">
        <v>3189</v>
      </c>
      <c r="D661" s="1" t="s">
        <v>3190</v>
      </c>
      <c r="E661" s="1" t="s">
        <v>18</v>
      </c>
      <c r="F661" s="2" t="s">
        <v>4704</v>
      </c>
      <c r="G661" s="1" t="s">
        <v>13</v>
      </c>
      <c r="H661" s="6" t="e" vm="51">
        <v>#VALUE!</v>
      </c>
    </row>
    <row r="662" spans="1:8" x14ac:dyDescent="0.25">
      <c r="A662" s="1">
        <v>786</v>
      </c>
      <c r="B662" s="1" t="s">
        <v>3192</v>
      </c>
      <c r="C662" s="1" t="s">
        <v>3193</v>
      </c>
      <c r="D662" s="1" t="s">
        <v>3194</v>
      </c>
      <c r="E662" s="1" t="s">
        <v>18</v>
      </c>
      <c r="F662" s="2" t="s">
        <v>4705</v>
      </c>
      <c r="G662" s="1" t="s">
        <v>13</v>
      </c>
      <c r="H662" s="6" t="e" vm="31">
        <v>#VALUE!</v>
      </c>
    </row>
    <row r="663" spans="1:8" x14ac:dyDescent="0.25">
      <c r="A663" s="1">
        <v>787</v>
      </c>
      <c r="B663" s="1" t="s">
        <v>3196</v>
      </c>
      <c r="C663" s="1" t="s">
        <v>3197</v>
      </c>
      <c r="D663" s="1" t="s">
        <v>3198</v>
      </c>
      <c r="E663" s="1" t="s">
        <v>11</v>
      </c>
      <c r="F663" s="2" t="s">
        <v>4706</v>
      </c>
      <c r="G663" s="1" t="s">
        <v>13</v>
      </c>
      <c r="H663" s="6" t="e" vm="49">
        <v>#VALUE!</v>
      </c>
    </row>
    <row r="664" spans="1:8" x14ac:dyDescent="0.25">
      <c r="A664" s="1">
        <v>788</v>
      </c>
      <c r="B664" s="1" t="s">
        <v>3200</v>
      </c>
      <c r="C664" s="1" t="s">
        <v>3201</v>
      </c>
      <c r="D664" s="1" t="s">
        <v>3202</v>
      </c>
      <c r="E664" s="1" t="s">
        <v>11</v>
      </c>
      <c r="F664" s="2" t="s">
        <v>4707</v>
      </c>
      <c r="G664" s="1" t="s">
        <v>13</v>
      </c>
      <c r="H664" s="6" t="e" vm="32">
        <v>#VALUE!</v>
      </c>
    </row>
    <row r="665" spans="1:8" x14ac:dyDescent="0.25">
      <c r="A665" s="1">
        <v>789</v>
      </c>
      <c r="B665" s="1" t="s">
        <v>3204</v>
      </c>
      <c r="C665" s="1" t="s">
        <v>3205</v>
      </c>
      <c r="D665" s="1" t="s">
        <v>3206</v>
      </c>
      <c r="E665" s="1" t="s">
        <v>18</v>
      </c>
      <c r="F665" s="2" t="s">
        <v>4708</v>
      </c>
      <c r="G665" s="1" t="s">
        <v>13</v>
      </c>
      <c r="H665" s="6" t="e" vm="47">
        <v>#VALUE!</v>
      </c>
    </row>
    <row r="666" spans="1:8" x14ac:dyDescent="0.25">
      <c r="A666" s="1">
        <v>790</v>
      </c>
      <c r="B666" s="1" t="s">
        <v>3208</v>
      </c>
      <c r="C666" s="1" t="s">
        <v>3209</v>
      </c>
      <c r="D666" s="1" t="s">
        <v>3210</v>
      </c>
      <c r="E666" s="1" t="s">
        <v>18</v>
      </c>
      <c r="F666" s="2" t="s">
        <v>4709</v>
      </c>
      <c r="G666" s="1" t="s">
        <v>13</v>
      </c>
      <c r="H666" s="6" t="e" vm="17">
        <v>#VALUE!</v>
      </c>
    </row>
    <row r="667" spans="1:8" x14ac:dyDescent="0.25">
      <c r="A667" s="1">
        <v>791</v>
      </c>
      <c r="B667" s="1" t="s">
        <v>3212</v>
      </c>
      <c r="C667" s="1" t="s">
        <v>3213</v>
      </c>
      <c r="D667" s="1" t="s">
        <v>3214</v>
      </c>
      <c r="E667" s="1" t="s">
        <v>18</v>
      </c>
      <c r="F667" s="2" t="s">
        <v>4710</v>
      </c>
      <c r="G667" s="1" t="s">
        <v>13</v>
      </c>
      <c r="H667" s="6" t="e" vm="44">
        <v>#VALUE!</v>
      </c>
    </row>
    <row r="668" spans="1:8" x14ac:dyDescent="0.25">
      <c r="A668" s="1">
        <v>792</v>
      </c>
      <c r="B668" s="1" t="s">
        <v>239</v>
      </c>
      <c r="C668" s="1" t="s">
        <v>3216</v>
      </c>
      <c r="D668" s="1" t="s">
        <v>3217</v>
      </c>
      <c r="E668" s="1" t="s">
        <v>4045</v>
      </c>
      <c r="F668" s="2" t="s">
        <v>4711</v>
      </c>
      <c r="G668" s="1" t="s">
        <v>13</v>
      </c>
      <c r="H668" s="6" t="e" vm="65">
        <v>#VALUE!</v>
      </c>
    </row>
    <row r="669" spans="1:8" x14ac:dyDescent="0.25">
      <c r="A669" s="1">
        <v>793</v>
      </c>
      <c r="B669" s="1" t="s">
        <v>3219</v>
      </c>
      <c r="C669" s="1" t="s">
        <v>3220</v>
      </c>
      <c r="D669" s="1" t="s">
        <v>3221</v>
      </c>
      <c r="E669" s="1" t="s">
        <v>18</v>
      </c>
      <c r="F669" s="2" t="s">
        <v>4712</v>
      </c>
      <c r="G669" s="1" t="s">
        <v>13</v>
      </c>
      <c r="H669" s="6" t="e" vm="34">
        <v>#VALUE!</v>
      </c>
    </row>
    <row r="670" spans="1:8" x14ac:dyDescent="0.25">
      <c r="A670" s="1">
        <v>794</v>
      </c>
      <c r="B670" s="1" t="s">
        <v>3223</v>
      </c>
      <c r="C670" s="1" t="s">
        <v>3224</v>
      </c>
      <c r="D670" s="1" t="s">
        <v>3225</v>
      </c>
      <c r="E670" s="1" t="s">
        <v>4045</v>
      </c>
      <c r="F670" s="2" t="s">
        <v>4713</v>
      </c>
      <c r="G670" s="1" t="s">
        <v>13</v>
      </c>
      <c r="H670" s="6" t="e" vm="15">
        <v>#VALUE!</v>
      </c>
    </row>
    <row r="671" spans="1:8" x14ac:dyDescent="0.25">
      <c r="A671" s="1">
        <v>795</v>
      </c>
      <c r="B671" s="1" t="s">
        <v>3227</v>
      </c>
      <c r="C671" s="1" t="s">
        <v>3228</v>
      </c>
      <c r="D671" s="1" t="s">
        <v>3229</v>
      </c>
      <c r="E671" s="1" t="s">
        <v>11</v>
      </c>
      <c r="F671" s="2" t="s">
        <v>4714</v>
      </c>
      <c r="G671" s="1" t="s">
        <v>13</v>
      </c>
      <c r="H671" s="6" t="e" vm="49">
        <v>#VALUE!</v>
      </c>
    </row>
    <row r="672" spans="1:8" x14ac:dyDescent="0.25">
      <c r="A672" s="1">
        <v>796</v>
      </c>
      <c r="B672" s="1" t="s">
        <v>3231</v>
      </c>
      <c r="C672" s="1" t="s">
        <v>3232</v>
      </c>
      <c r="D672" s="1" t="s">
        <v>3233</v>
      </c>
      <c r="E672" s="1" t="s">
        <v>11</v>
      </c>
      <c r="F672" s="2" t="s">
        <v>4715</v>
      </c>
      <c r="G672" s="1" t="s">
        <v>13</v>
      </c>
      <c r="H672" s="6" t="e" vm="45">
        <v>#VALUE!</v>
      </c>
    </row>
    <row r="673" spans="1:8" x14ac:dyDescent="0.25">
      <c r="A673" s="1">
        <v>797</v>
      </c>
      <c r="B673" s="1" t="s">
        <v>3235</v>
      </c>
      <c r="C673" s="1" t="s">
        <v>3236</v>
      </c>
      <c r="D673" s="1" t="s">
        <v>3237</v>
      </c>
      <c r="E673" s="1" t="s">
        <v>18</v>
      </c>
      <c r="F673" s="2" t="s">
        <v>4716</v>
      </c>
      <c r="G673" s="1" t="s">
        <v>13</v>
      </c>
      <c r="H673" s="6" t="e" vm="77">
        <v>#VALUE!</v>
      </c>
    </row>
    <row r="674" spans="1:8" x14ac:dyDescent="0.25">
      <c r="A674" s="1">
        <v>798</v>
      </c>
      <c r="B674" s="1" t="s">
        <v>3239</v>
      </c>
      <c r="C674" s="1" t="s">
        <v>3240</v>
      </c>
      <c r="D674" s="1" t="s">
        <v>3241</v>
      </c>
      <c r="E674" s="1" t="s">
        <v>18</v>
      </c>
      <c r="F674" s="2" t="s">
        <v>4717</v>
      </c>
      <c r="G674" s="1" t="s">
        <v>13</v>
      </c>
      <c r="H674" s="6" t="e" vm="44">
        <v>#VALUE!</v>
      </c>
    </row>
    <row r="675" spans="1:8" x14ac:dyDescent="0.25">
      <c r="A675" s="1">
        <v>800</v>
      </c>
      <c r="B675" s="1" t="s">
        <v>3246</v>
      </c>
      <c r="C675" s="1" t="s">
        <v>3247</v>
      </c>
      <c r="D675" s="1" t="s">
        <v>3248</v>
      </c>
      <c r="E675" s="1" t="s">
        <v>4045</v>
      </c>
      <c r="F675" s="2" t="s">
        <v>4718</v>
      </c>
      <c r="G675" s="1" t="s">
        <v>13</v>
      </c>
      <c r="H675" s="6" t="e" vm="47">
        <v>#VALUE!</v>
      </c>
    </row>
    <row r="676" spans="1:8" x14ac:dyDescent="0.25">
      <c r="A676" s="1">
        <v>801</v>
      </c>
      <c r="B676" s="1" t="s">
        <v>3223</v>
      </c>
      <c r="C676" s="1" t="s">
        <v>3171</v>
      </c>
      <c r="D676" s="1" t="s">
        <v>3250</v>
      </c>
      <c r="E676" s="1" t="s">
        <v>11</v>
      </c>
      <c r="F676" s="2" t="s">
        <v>4719</v>
      </c>
      <c r="G676" s="1" t="s">
        <v>13</v>
      </c>
      <c r="H676" s="6" t="e" vm="36">
        <v>#VALUE!</v>
      </c>
    </row>
    <row r="677" spans="1:8" x14ac:dyDescent="0.25">
      <c r="A677" s="1">
        <v>802</v>
      </c>
      <c r="B677" s="1" t="s">
        <v>3252</v>
      </c>
      <c r="C677" s="1" t="s">
        <v>3253</v>
      </c>
      <c r="D677" s="1" t="s">
        <v>3254</v>
      </c>
      <c r="E677" s="1" t="s">
        <v>18</v>
      </c>
      <c r="F677" s="2" t="s">
        <v>4720</v>
      </c>
      <c r="G677" s="1" t="s">
        <v>13</v>
      </c>
      <c r="H677" s="6" t="e" vm="65">
        <v>#VALUE!</v>
      </c>
    </row>
    <row r="678" spans="1:8" x14ac:dyDescent="0.25">
      <c r="A678" s="1">
        <v>803</v>
      </c>
      <c r="B678" s="1" t="s">
        <v>3256</v>
      </c>
      <c r="C678" s="1" t="s">
        <v>3257</v>
      </c>
      <c r="D678" s="1" t="s">
        <v>3258</v>
      </c>
      <c r="E678" s="1" t="s">
        <v>18</v>
      </c>
      <c r="F678" s="2" t="s">
        <v>4721</v>
      </c>
      <c r="G678" s="1" t="s">
        <v>13</v>
      </c>
      <c r="H678" s="6" t="e" vm="66">
        <v>#VALUE!</v>
      </c>
    </row>
    <row r="679" spans="1:8" x14ac:dyDescent="0.25">
      <c r="A679" s="1">
        <v>804</v>
      </c>
      <c r="B679" s="1" t="s">
        <v>3260</v>
      </c>
      <c r="C679" s="1" t="s">
        <v>3261</v>
      </c>
      <c r="D679" s="1" t="s">
        <v>3262</v>
      </c>
      <c r="E679" s="1" t="s">
        <v>18</v>
      </c>
      <c r="F679" s="2" t="s">
        <v>4722</v>
      </c>
      <c r="G679" s="1" t="s">
        <v>13</v>
      </c>
      <c r="H679" s="6" t="e" vm="43">
        <v>#VALUE!</v>
      </c>
    </row>
    <row r="680" spans="1:8" x14ac:dyDescent="0.25">
      <c r="A680" s="1">
        <v>806</v>
      </c>
      <c r="B680" s="1" t="s">
        <v>3268</v>
      </c>
      <c r="C680" s="1" t="s">
        <v>3269</v>
      </c>
      <c r="D680" s="1" t="s">
        <v>3270</v>
      </c>
      <c r="E680" s="1" t="s">
        <v>18</v>
      </c>
      <c r="F680" s="2" t="s">
        <v>4723</v>
      </c>
      <c r="G680" s="1" t="s">
        <v>13</v>
      </c>
      <c r="H680" s="6" t="e" vm="69">
        <v>#VALUE!</v>
      </c>
    </row>
    <row r="681" spans="1:8" x14ac:dyDescent="0.25">
      <c r="A681" s="1">
        <v>807</v>
      </c>
      <c r="B681" s="1" t="s">
        <v>3272</v>
      </c>
      <c r="C681" s="1" t="s">
        <v>3273</v>
      </c>
      <c r="D681" s="1" t="s">
        <v>3274</v>
      </c>
      <c r="E681" s="1" t="s">
        <v>18</v>
      </c>
      <c r="F681" s="2" t="s">
        <v>4724</v>
      </c>
      <c r="G681" s="1" t="s">
        <v>13</v>
      </c>
      <c r="H681" s="6" t="e" vm="22">
        <v>#VALUE!</v>
      </c>
    </row>
    <row r="682" spans="1:8" x14ac:dyDescent="0.25">
      <c r="A682" s="1">
        <v>808</v>
      </c>
      <c r="B682" s="1" t="s">
        <v>3276</v>
      </c>
      <c r="C682" s="1" t="s">
        <v>3277</v>
      </c>
      <c r="D682" s="1" t="s">
        <v>3278</v>
      </c>
      <c r="E682" s="1" t="s">
        <v>18</v>
      </c>
      <c r="F682" s="2" t="s">
        <v>4725</v>
      </c>
      <c r="G682" s="1" t="s">
        <v>13</v>
      </c>
      <c r="H682" s="6" t="e" vm="42">
        <v>#VALUE!</v>
      </c>
    </row>
    <row r="683" spans="1:8" x14ac:dyDescent="0.25">
      <c r="A683" s="1">
        <v>809</v>
      </c>
      <c r="B683" s="1" t="s">
        <v>3280</v>
      </c>
      <c r="C683" s="1" t="s">
        <v>3281</v>
      </c>
      <c r="D683" s="1" t="s">
        <v>3282</v>
      </c>
      <c r="E683" s="1" t="s">
        <v>11</v>
      </c>
      <c r="F683" s="2" t="s">
        <v>4726</v>
      </c>
      <c r="G683" s="1" t="s">
        <v>13</v>
      </c>
      <c r="H683" s="6" t="e" vm="43">
        <v>#VALUE!</v>
      </c>
    </row>
    <row r="684" spans="1:8" x14ac:dyDescent="0.25">
      <c r="A684" s="1">
        <v>810</v>
      </c>
      <c r="B684" s="1" t="s">
        <v>3284</v>
      </c>
      <c r="C684" s="1" t="s">
        <v>3285</v>
      </c>
      <c r="D684" s="1" t="s">
        <v>3286</v>
      </c>
      <c r="E684" s="1" t="s">
        <v>11</v>
      </c>
      <c r="F684" s="2" t="s">
        <v>4727</v>
      </c>
      <c r="G684" s="1" t="s">
        <v>13</v>
      </c>
      <c r="H684" s="6" t="e" vm="2">
        <v>#VALUE!</v>
      </c>
    </row>
    <row r="685" spans="1:8" x14ac:dyDescent="0.25">
      <c r="A685" s="1">
        <v>812</v>
      </c>
      <c r="B685" s="1" t="s">
        <v>3291</v>
      </c>
      <c r="C685" s="1" t="s">
        <v>3292</v>
      </c>
      <c r="D685" s="1" t="s">
        <v>3293</v>
      </c>
      <c r="E685" s="1" t="s">
        <v>18</v>
      </c>
      <c r="F685" s="2" t="s">
        <v>4728</v>
      </c>
      <c r="G685" s="1" t="s">
        <v>13</v>
      </c>
      <c r="H685" s="6" t="e" vm="34">
        <v>#VALUE!</v>
      </c>
    </row>
    <row r="686" spans="1:8" x14ac:dyDescent="0.25">
      <c r="A686" s="1">
        <v>814</v>
      </c>
      <c r="B686" s="1" t="s">
        <v>3299</v>
      </c>
      <c r="C686" s="1" t="s">
        <v>3300</v>
      </c>
      <c r="D686" s="1" t="s">
        <v>3301</v>
      </c>
      <c r="E686" s="1" t="s">
        <v>11</v>
      </c>
      <c r="F686" s="2" t="s">
        <v>4729</v>
      </c>
      <c r="G686" s="1" t="s">
        <v>13</v>
      </c>
      <c r="H686" s="6" t="e" vm="4">
        <v>#VALUE!</v>
      </c>
    </row>
    <row r="687" spans="1:8" x14ac:dyDescent="0.25">
      <c r="A687" s="1">
        <v>815</v>
      </c>
      <c r="B687" s="1" t="s">
        <v>3303</v>
      </c>
      <c r="C687" s="1" t="s">
        <v>3304</v>
      </c>
      <c r="D687" s="1" t="s">
        <v>3305</v>
      </c>
      <c r="E687" s="1" t="s">
        <v>11</v>
      </c>
      <c r="F687" s="2" t="s">
        <v>4730</v>
      </c>
      <c r="G687" s="1" t="s">
        <v>13</v>
      </c>
      <c r="H687" s="6" t="e" vm="26">
        <v>#VALUE!</v>
      </c>
    </row>
    <row r="688" spans="1:8" x14ac:dyDescent="0.25">
      <c r="A688" s="1">
        <v>816</v>
      </c>
      <c r="B688" s="1" t="s">
        <v>3307</v>
      </c>
      <c r="C688" s="1" t="s">
        <v>3308</v>
      </c>
      <c r="D688" s="1" t="s">
        <v>3309</v>
      </c>
      <c r="E688" s="1" t="s">
        <v>11</v>
      </c>
      <c r="F688" s="2" t="s">
        <v>4731</v>
      </c>
      <c r="G688" s="1" t="s">
        <v>13</v>
      </c>
      <c r="H688" s="6" t="e" vm="77">
        <v>#VALUE!</v>
      </c>
    </row>
    <row r="689" spans="1:8" x14ac:dyDescent="0.25">
      <c r="A689" s="1">
        <v>817</v>
      </c>
      <c r="B689" s="1" t="s">
        <v>3311</v>
      </c>
      <c r="C689" s="1" t="s">
        <v>3312</v>
      </c>
      <c r="D689" s="1" t="s">
        <v>3313</v>
      </c>
      <c r="E689" s="1" t="s">
        <v>11</v>
      </c>
      <c r="F689" s="2" t="s">
        <v>4732</v>
      </c>
      <c r="G689" s="1" t="s">
        <v>13</v>
      </c>
      <c r="H689" s="6" t="e" vm="76">
        <v>#VALUE!</v>
      </c>
    </row>
    <row r="690" spans="1:8" x14ac:dyDescent="0.25">
      <c r="A690" s="1">
        <v>818</v>
      </c>
      <c r="B690" s="1" t="s">
        <v>3315</v>
      </c>
      <c r="C690" s="1" t="s">
        <v>3316</v>
      </c>
      <c r="D690" s="1" t="s">
        <v>3317</v>
      </c>
      <c r="E690" s="1" t="s">
        <v>18</v>
      </c>
      <c r="F690" s="2" t="s">
        <v>4733</v>
      </c>
      <c r="G690" s="1" t="s">
        <v>13</v>
      </c>
      <c r="H690" s="6" t="e" vm="69">
        <v>#VALUE!</v>
      </c>
    </row>
    <row r="691" spans="1:8" x14ac:dyDescent="0.25">
      <c r="A691" s="1">
        <v>819</v>
      </c>
      <c r="B691" s="1" t="s">
        <v>3319</v>
      </c>
      <c r="C691" s="1" t="s">
        <v>3320</v>
      </c>
      <c r="D691" s="1" t="s">
        <v>3321</v>
      </c>
      <c r="E691" s="1" t="s">
        <v>11</v>
      </c>
      <c r="F691" s="2" t="s">
        <v>4734</v>
      </c>
      <c r="G691" s="1" t="s">
        <v>13</v>
      </c>
      <c r="H691" s="6" t="e" vm="17">
        <v>#VALUE!</v>
      </c>
    </row>
    <row r="692" spans="1:8" x14ac:dyDescent="0.25">
      <c r="A692" s="1">
        <v>820</v>
      </c>
      <c r="B692" s="1" t="s">
        <v>3323</v>
      </c>
      <c r="C692" s="1" t="s">
        <v>3324</v>
      </c>
      <c r="D692" s="1" t="s">
        <v>3325</v>
      </c>
      <c r="E692" s="1" t="s">
        <v>11</v>
      </c>
      <c r="F692" s="2" t="s">
        <v>4735</v>
      </c>
      <c r="G692" s="1" t="s">
        <v>13</v>
      </c>
      <c r="H692" s="6" t="e" vm="25">
        <v>#VALUE!</v>
      </c>
    </row>
    <row r="693" spans="1:8" x14ac:dyDescent="0.25">
      <c r="A693" s="1">
        <v>821</v>
      </c>
      <c r="B693" s="1" t="s">
        <v>3327</v>
      </c>
      <c r="C693" s="1" t="s">
        <v>3328</v>
      </c>
      <c r="D693" s="1" t="s">
        <v>3329</v>
      </c>
      <c r="E693" s="1" t="s">
        <v>11</v>
      </c>
      <c r="F693" s="2" t="s">
        <v>4736</v>
      </c>
      <c r="G693" s="1" t="s">
        <v>13</v>
      </c>
      <c r="H693" s="6" t="e" vm="2">
        <v>#VALUE!</v>
      </c>
    </row>
    <row r="694" spans="1:8" x14ac:dyDescent="0.25">
      <c r="A694" s="1">
        <v>822</v>
      </c>
      <c r="B694" s="1" t="s">
        <v>3331</v>
      </c>
      <c r="C694" s="1" t="s">
        <v>3332</v>
      </c>
      <c r="D694" s="1" t="s">
        <v>3333</v>
      </c>
      <c r="E694" s="1" t="s">
        <v>11</v>
      </c>
      <c r="F694" s="2" t="s">
        <v>4737</v>
      </c>
      <c r="G694" s="1" t="s">
        <v>13</v>
      </c>
      <c r="H694" s="6" t="s">
        <v>4038</v>
      </c>
    </row>
    <row r="695" spans="1:8" x14ac:dyDescent="0.25">
      <c r="A695" s="1">
        <v>823</v>
      </c>
      <c r="B695" s="1" t="s">
        <v>3335</v>
      </c>
      <c r="C695" s="1" t="s">
        <v>3336</v>
      </c>
      <c r="D695" s="1" t="s">
        <v>3337</v>
      </c>
      <c r="E695" s="1" t="s">
        <v>11</v>
      </c>
      <c r="F695" s="2" t="s">
        <v>4738</v>
      </c>
      <c r="G695" s="1" t="s">
        <v>13</v>
      </c>
      <c r="H695" s="6" t="e" vm="14">
        <v>#VALUE!</v>
      </c>
    </row>
    <row r="696" spans="1:8" x14ac:dyDescent="0.25">
      <c r="A696" s="1">
        <v>824</v>
      </c>
      <c r="B696" s="1" t="s">
        <v>3339</v>
      </c>
      <c r="C696" s="1" t="s">
        <v>3340</v>
      </c>
      <c r="D696" s="1" t="s">
        <v>3341</v>
      </c>
      <c r="E696" s="1" t="s">
        <v>18</v>
      </c>
      <c r="F696" s="2" t="s">
        <v>4739</v>
      </c>
      <c r="G696" s="1" t="s">
        <v>13</v>
      </c>
      <c r="H696" s="6" t="e" vm="18">
        <v>#VALUE!</v>
      </c>
    </row>
    <row r="697" spans="1:8" x14ac:dyDescent="0.25">
      <c r="A697" s="1">
        <v>827</v>
      </c>
      <c r="B697" s="1" t="s">
        <v>3351</v>
      </c>
      <c r="C697" s="1" t="s">
        <v>3352</v>
      </c>
      <c r="D697" s="1" t="s">
        <v>3353</v>
      </c>
      <c r="E697" s="1" t="s">
        <v>4045</v>
      </c>
      <c r="F697" s="2" t="s">
        <v>4740</v>
      </c>
      <c r="G697" s="1" t="s">
        <v>13</v>
      </c>
      <c r="H697" s="6" t="e" vm="1">
        <v>#VALUE!</v>
      </c>
    </row>
    <row r="698" spans="1:8" x14ac:dyDescent="0.25">
      <c r="A698" s="1">
        <v>828</v>
      </c>
      <c r="B698" s="1" t="s">
        <v>3355</v>
      </c>
      <c r="C698" s="1" t="s">
        <v>3356</v>
      </c>
      <c r="D698" s="1" t="s">
        <v>3357</v>
      </c>
      <c r="E698" s="1" t="s">
        <v>11</v>
      </c>
      <c r="F698" s="2" t="s">
        <v>4741</v>
      </c>
      <c r="G698" s="1" t="s">
        <v>13</v>
      </c>
      <c r="H698" s="6" t="e" vm="57">
        <v>#VALUE!</v>
      </c>
    </row>
    <row r="699" spans="1:8" x14ac:dyDescent="0.25">
      <c r="A699" s="1">
        <v>829</v>
      </c>
      <c r="B699" s="1" t="s">
        <v>3359</v>
      </c>
      <c r="C699" s="1" t="s">
        <v>3360</v>
      </c>
      <c r="D699" s="1" t="s">
        <v>3361</v>
      </c>
      <c r="E699" s="1" t="s">
        <v>18</v>
      </c>
      <c r="F699" s="2" t="s">
        <v>4742</v>
      </c>
      <c r="G699" s="1" t="s">
        <v>13</v>
      </c>
      <c r="H699" s="6" t="e" vm="53">
        <v>#VALUE!</v>
      </c>
    </row>
    <row r="700" spans="1:8" x14ac:dyDescent="0.25">
      <c r="A700" s="1">
        <v>830</v>
      </c>
      <c r="B700" s="1" t="s">
        <v>2800</v>
      </c>
      <c r="C700" s="1" t="s">
        <v>3363</v>
      </c>
      <c r="D700" s="1" t="s">
        <v>3364</v>
      </c>
      <c r="E700" s="1" t="s">
        <v>11</v>
      </c>
      <c r="F700" s="2" t="s">
        <v>4743</v>
      </c>
      <c r="G700" s="1" t="s">
        <v>13</v>
      </c>
      <c r="H700" s="6" t="e" vm="7">
        <v>#VALUE!</v>
      </c>
    </row>
    <row r="701" spans="1:8" x14ac:dyDescent="0.25">
      <c r="A701" s="1">
        <v>831</v>
      </c>
      <c r="B701" s="1" t="s">
        <v>3366</v>
      </c>
      <c r="C701" s="1" t="s">
        <v>3367</v>
      </c>
      <c r="D701" s="1" t="s">
        <v>3368</v>
      </c>
      <c r="E701" s="1" t="s">
        <v>18</v>
      </c>
      <c r="F701" s="2" t="s">
        <v>4744</v>
      </c>
      <c r="G701" s="1" t="s">
        <v>13</v>
      </c>
      <c r="H701" s="6" t="e" vm="54">
        <v>#VALUE!</v>
      </c>
    </row>
    <row r="702" spans="1:8" x14ac:dyDescent="0.25">
      <c r="A702" s="1">
        <v>832</v>
      </c>
      <c r="B702" s="1" t="s">
        <v>3370</v>
      </c>
      <c r="C702" s="1" t="s">
        <v>3371</v>
      </c>
      <c r="D702" s="1" t="s">
        <v>3372</v>
      </c>
      <c r="E702" s="1" t="s">
        <v>18</v>
      </c>
      <c r="F702" s="2" t="s">
        <v>4745</v>
      </c>
      <c r="G702" s="1" t="s">
        <v>13</v>
      </c>
      <c r="H702" s="6" t="e" vm="16">
        <v>#VALUE!</v>
      </c>
    </row>
    <row r="703" spans="1:8" x14ac:dyDescent="0.25">
      <c r="A703" s="1">
        <v>833</v>
      </c>
      <c r="B703" s="1" t="s">
        <v>3374</v>
      </c>
      <c r="C703" s="1" t="s">
        <v>3375</v>
      </c>
      <c r="D703" s="1" t="s">
        <v>3376</v>
      </c>
      <c r="E703" s="1" t="s">
        <v>11</v>
      </c>
      <c r="F703" s="2" t="s">
        <v>4746</v>
      </c>
      <c r="G703" s="1" t="s">
        <v>13</v>
      </c>
      <c r="H703" s="6" t="e" vm="71">
        <v>#VALUE!</v>
      </c>
    </row>
    <row r="704" spans="1:8" x14ac:dyDescent="0.25">
      <c r="A704" s="1">
        <v>834</v>
      </c>
      <c r="B704" s="1" t="s">
        <v>3378</v>
      </c>
      <c r="C704" s="1" t="s">
        <v>3379</v>
      </c>
      <c r="D704" s="1" t="s">
        <v>3380</v>
      </c>
      <c r="E704" s="1" t="s">
        <v>18</v>
      </c>
      <c r="F704" s="2" t="s">
        <v>4747</v>
      </c>
      <c r="G704" s="1" t="s">
        <v>13</v>
      </c>
      <c r="H704" s="6" t="e" vm="14">
        <v>#VALUE!</v>
      </c>
    </row>
    <row r="705" spans="1:8" x14ac:dyDescent="0.25">
      <c r="A705" s="1">
        <v>835</v>
      </c>
      <c r="B705" s="1" t="s">
        <v>393</v>
      </c>
      <c r="C705" s="1" t="s">
        <v>3382</v>
      </c>
      <c r="D705" s="1" t="s">
        <v>3383</v>
      </c>
      <c r="E705" s="1" t="s">
        <v>18</v>
      </c>
      <c r="F705" s="2" t="s">
        <v>4748</v>
      </c>
      <c r="G705" s="1" t="s">
        <v>13</v>
      </c>
      <c r="H705" s="6" t="e" vm="57">
        <v>#VALUE!</v>
      </c>
    </row>
    <row r="706" spans="1:8" x14ac:dyDescent="0.25">
      <c r="A706" s="1">
        <v>836</v>
      </c>
      <c r="B706" s="1" t="s">
        <v>3223</v>
      </c>
      <c r="C706" s="1" t="s">
        <v>3385</v>
      </c>
      <c r="D706" s="1" t="s">
        <v>3386</v>
      </c>
      <c r="E706" s="1" t="s">
        <v>11</v>
      </c>
      <c r="F706" s="2" t="s">
        <v>4749</v>
      </c>
      <c r="G706" s="1" t="s">
        <v>13</v>
      </c>
      <c r="H706" s="6" t="e" vm="33">
        <v>#VALUE!</v>
      </c>
    </row>
    <row r="707" spans="1:8" x14ac:dyDescent="0.25">
      <c r="A707" s="1">
        <v>837</v>
      </c>
      <c r="B707" s="1" t="s">
        <v>3388</v>
      </c>
      <c r="C707" s="1" t="s">
        <v>3389</v>
      </c>
      <c r="D707" s="1" t="s">
        <v>3390</v>
      </c>
      <c r="E707" s="1" t="s">
        <v>11</v>
      </c>
      <c r="F707" s="2" t="s">
        <v>4750</v>
      </c>
      <c r="G707" s="1" t="s">
        <v>13</v>
      </c>
      <c r="H707" s="6" t="e" vm="59">
        <v>#VALUE!</v>
      </c>
    </row>
    <row r="708" spans="1:8" x14ac:dyDescent="0.25">
      <c r="A708" s="1">
        <v>838</v>
      </c>
      <c r="B708" s="1" t="s">
        <v>3392</v>
      </c>
      <c r="C708" s="1" t="s">
        <v>3393</v>
      </c>
      <c r="D708" s="1" t="s">
        <v>3394</v>
      </c>
      <c r="E708" s="1" t="s">
        <v>18</v>
      </c>
      <c r="F708" s="2" t="s">
        <v>4751</v>
      </c>
      <c r="G708" s="1" t="s">
        <v>13</v>
      </c>
      <c r="H708" s="6" t="e" vm="37">
        <v>#VALUE!</v>
      </c>
    </row>
    <row r="709" spans="1:8" x14ac:dyDescent="0.25">
      <c r="A709" s="1">
        <v>841</v>
      </c>
      <c r="B709" s="1" t="s">
        <v>3404</v>
      </c>
      <c r="C709" s="1" t="s">
        <v>3405</v>
      </c>
      <c r="D709" s="1" t="s">
        <v>3406</v>
      </c>
      <c r="E709" s="1" t="s">
        <v>18</v>
      </c>
      <c r="F709" s="2" t="s">
        <v>4752</v>
      </c>
      <c r="G709" s="1" t="s">
        <v>13</v>
      </c>
      <c r="H709" s="6" t="e" vm="73">
        <v>#VALUE!</v>
      </c>
    </row>
    <row r="710" spans="1:8" x14ac:dyDescent="0.25">
      <c r="A710" s="1">
        <v>842</v>
      </c>
      <c r="B710" s="1" t="s">
        <v>3408</v>
      </c>
      <c r="C710" s="1" t="s">
        <v>3409</v>
      </c>
      <c r="D710" s="1" t="s">
        <v>3410</v>
      </c>
      <c r="E710" s="1" t="s">
        <v>11</v>
      </c>
      <c r="F710" s="2" t="s">
        <v>4753</v>
      </c>
      <c r="G710" s="1" t="s">
        <v>13</v>
      </c>
      <c r="H710" s="6" t="s">
        <v>4038</v>
      </c>
    </row>
    <row r="711" spans="1:8" x14ac:dyDescent="0.25">
      <c r="A711" s="1">
        <v>844</v>
      </c>
      <c r="B711" s="1" t="s">
        <v>3416</v>
      </c>
      <c r="C711" s="1" t="s">
        <v>3417</v>
      </c>
      <c r="D711" s="1" t="s">
        <v>3418</v>
      </c>
      <c r="E711" s="1" t="s">
        <v>18</v>
      </c>
      <c r="F711" s="2" t="s">
        <v>4754</v>
      </c>
      <c r="G711" s="1" t="s">
        <v>13</v>
      </c>
      <c r="H711" s="6" t="e" vm="58">
        <v>#VALUE!</v>
      </c>
    </row>
    <row r="712" spans="1:8" x14ac:dyDescent="0.25">
      <c r="A712" s="1">
        <v>845</v>
      </c>
      <c r="B712" s="1" t="s">
        <v>3420</v>
      </c>
      <c r="C712" s="1" t="s">
        <v>3421</v>
      </c>
      <c r="D712" s="1" t="s">
        <v>3422</v>
      </c>
      <c r="E712" s="1" t="s">
        <v>18</v>
      </c>
      <c r="F712" s="2" t="s">
        <v>4755</v>
      </c>
      <c r="G712" s="1" t="s">
        <v>13</v>
      </c>
      <c r="H712" s="6" t="e" vm="8">
        <v>#VALUE!</v>
      </c>
    </row>
    <row r="713" spans="1:8" x14ac:dyDescent="0.25">
      <c r="A713" s="1">
        <v>846</v>
      </c>
      <c r="B713" s="1" t="s">
        <v>3424</v>
      </c>
      <c r="C713" s="1" t="s">
        <v>3425</v>
      </c>
      <c r="D713" s="1" t="s">
        <v>3426</v>
      </c>
      <c r="E713" s="1" t="s">
        <v>11</v>
      </c>
      <c r="F713" s="2" t="s">
        <v>4756</v>
      </c>
      <c r="G713" s="1" t="s">
        <v>13</v>
      </c>
      <c r="H713" s="6" t="e" vm="35">
        <v>#VALUE!</v>
      </c>
    </row>
    <row r="714" spans="1:8" x14ac:dyDescent="0.25">
      <c r="A714" s="1">
        <v>847</v>
      </c>
      <c r="B714" s="1" t="s">
        <v>3428</v>
      </c>
      <c r="C714" s="1" t="s">
        <v>3429</v>
      </c>
      <c r="D714" s="1" t="s">
        <v>3430</v>
      </c>
      <c r="E714" s="1" t="s">
        <v>18</v>
      </c>
      <c r="F714" s="2" t="s">
        <v>4757</v>
      </c>
      <c r="G714" s="1" t="s">
        <v>13</v>
      </c>
      <c r="H714" s="6" t="e" vm="4">
        <v>#VALUE!</v>
      </c>
    </row>
    <row r="715" spans="1:8" x14ac:dyDescent="0.25">
      <c r="A715" s="1">
        <v>848</v>
      </c>
      <c r="B715" s="1" t="s">
        <v>3432</v>
      </c>
      <c r="C715" s="1" t="s">
        <v>3433</v>
      </c>
      <c r="D715" s="1" t="s">
        <v>3434</v>
      </c>
      <c r="E715" s="1" t="s">
        <v>11</v>
      </c>
      <c r="F715" s="2" t="s">
        <v>4758</v>
      </c>
      <c r="G715" s="1" t="s">
        <v>13</v>
      </c>
      <c r="H715" s="6" t="e" vm="10">
        <v>#VALUE!</v>
      </c>
    </row>
    <row r="716" spans="1:8" x14ac:dyDescent="0.25">
      <c r="A716" s="1">
        <v>849</v>
      </c>
      <c r="B716" s="1" t="s">
        <v>3436</v>
      </c>
      <c r="C716" s="1" t="s">
        <v>3437</v>
      </c>
      <c r="D716" s="1" t="s">
        <v>3438</v>
      </c>
      <c r="E716" s="1" t="s">
        <v>18</v>
      </c>
      <c r="F716" s="2" t="s">
        <v>4759</v>
      </c>
      <c r="G716" s="1" t="s">
        <v>13</v>
      </c>
      <c r="H716" s="6" t="e" vm="10">
        <v>#VALUE!</v>
      </c>
    </row>
    <row r="717" spans="1:8" x14ac:dyDescent="0.25">
      <c r="A717" s="1">
        <v>850</v>
      </c>
      <c r="B717" s="1" t="s">
        <v>3440</v>
      </c>
      <c r="C717" s="1" t="s">
        <v>3441</v>
      </c>
      <c r="D717" s="1" t="s">
        <v>3442</v>
      </c>
      <c r="E717" s="1" t="s">
        <v>18</v>
      </c>
      <c r="F717" s="2" t="s">
        <v>4760</v>
      </c>
      <c r="G717" s="1" t="s">
        <v>13</v>
      </c>
      <c r="H717" s="6" t="e" vm="47">
        <v>#VALUE!</v>
      </c>
    </row>
    <row r="718" spans="1:8" x14ac:dyDescent="0.25">
      <c r="A718" s="1">
        <v>851</v>
      </c>
      <c r="B718" s="1" t="s">
        <v>3444</v>
      </c>
      <c r="C718" s="1" t="s">
        <v>3445</v>
      </c>
      <c r="D718" s="1" t="s">
        <v>3446</v>
      </c>
      <c r="E718" s="1" t="s">
        <v>11</v>
      </c>
      <c r="F718" s="2" t="s">
        <v>4761</v>
      </c>
      <c r="G718" s="1" t="s">
        <v>13</v>
      </c>
      <c r="H718" s="6" t="e" vm="77">
        <v>#VALUE!</v>
      </c>
    </row>
    <row r="719" spans="1:8" x14ac:dyDescent="0.25">
      <c r="A719" s="1">
        <v>852</v>
      </c>
      <c r="B719" s="1" t="s">
        <v>3448</v>
      </c>
      <c r="C719" s="1" t="s">
        <v>3449</v>
      </c>
      <c r="D719" s="1" t="s">
        <v>3450</v>
      </c>
      <c r="E719" s="1" t="s">
        <v>18</v>
      </c>
      <c r="F719" s="2" t="s">
        <v>4762</v>
      </c>
      <c r="G719" s="1" t="s">
        <v>13</v>
      </c>
      <c r="H719" s="6" t="e" vm="40">
        <v>#VALUE!</v>
      </c>
    </row>
    <row r="720" spans="1:8" x14ac:dyDescent="0.25">
      <c r="A720" s="1">
        <v>853</v>
      </c>
      <c r="B720" s="1" t="s">
        <v>3452</v>
      </c>
      <c r="C720" s="1" t="s">
        <v>3453</v>
      </c>
      <c r="D720" s="1" t="s">
        <v>3454</v>
      </c>
      <c r="E720" s="1" t="s">
        <v>18</v>
      </c>
      <c r="F720" s="2" t="s">
        <v>4763</v>
      </c>
      <c r="G720" s="1" t="s">
        <v>13</v>
      </c>
      <c r="H720" s="6" t="e" vm="48">
        <v>#VALUE!</v>
      </c>
    </row>
    <row r="721" spans="1:8" x14ac:dyDescent="0.25">
      <c r="A721" s="1">
        <v>854</v>
      </c>
      <c r="B721" s="1" t="s">
        <v>3456</v>
      </c>
      <c r="C721" s="1" t="s">
        <v>3457</v>
      </c>
      <c r="D721" s="1" t="s">
        <v>3458</v>
      </c>
      <c r="E721" s="1" t="s">
        <v>11</v>
      </c>
      <c r="F721" s="2" t="s">
        <v>4764</v>
      </c>
      <c r="G721" s="1" t="s">
        <v>13</v>
      </c>
      <c r="H721" s="6" t="e" vm="24">
        <v>#VALUE!</v>
      </c>
    </row>
    <row r="722" spans="1:8" x14ac:dyDescent="0.25">
      <c r="A722" s="1">
        <v>855</v>
      </c>
      <c r="B722" s="1" t="s">
        <v>3460</v>
      </c>
      <c r="C722" s="1" t="s">
        <v>3461</v>
      </c>
      <c r="D722" s="1" t="s">
        <v>3462</v>
      </c>
      <c r="E722" s="1" t="s">
        <v>4045</v>
      </c>
      <c r="F722" s="2" t="s">
        <v>4765</v>
      </c>
      <c r="G722" s="1" t="s">
        <v>13</v>
      </c>
      <c r="H722" s="6" t="e" vm="69">
        <v>#VALUE!</v>
      </c>
    </row>
    <row r="723" spans="1:8" x14ac:dyDescent="0.25">
      <c r="A723" s="1">
        <v>856</v>
      </c>
      <c r="B723" s="1" t="s">
        <v>3464</v>
      </c>
      <c r="C723" s="1" t="s">
        <v>2699</v>
      </c>
      <c r="D723" s="1" t="s">
        <v>3465</v>
      </c>
      <c r="E723" s="1" t="s">
        <v>11</v>
      </c>
      <c r="F723" s="2" t="s">
        <v>4766</v>
      </c>
      <c r="G723" s="1" t="s">
        <v>13</v>
      </c>
      <c r="H723" s="6" t="e" vm="46">
        <v>#VALUE!</v>
      </c>
    </row>
    <row r="724" spans="1:8" x14ac:dyDescent="0.25">
      <c r="A724" s="1">
        <v>857</v>
      </c>
      <c r="B724" s="1" t="s">
        <v>2635</v>
      </c>
      <c r="C724" s="1" t="s">
        <v>3467</v>
      </c>
      <c r="D724" s="1" t="s">
        <v>3468</v>
      </c>
      <c r="E724" s="1" t="s">
        <v>11</v>
      </c>
      <c r="F724" s="2" t="s">
        <v>4767</v>
      </c>
      <c r="G724" s="1" t="s">
        <v>13</v>
      </c>
      <c r="H724" s="6" t="e" vm="79">
        <v>#VALUE!</v>
      </c>
    </row>
    <row r="725" spans="1:8" x14ac:dyDescent="0.25">
      <c r="A725" s="1">
        <v>859</v>
      </c>
      <c r="B725" s="1" t="s">
        <v>3473</v>
      </c>
      <c r="C725" s="1" t="s">
        <v>3474</v>
      </c>
      <c r="D725" s="1" t="s">
        <v>3475</v>
      </c>
      <c r="E725" s="1" t="s">
        <v>18</v>
      </c>
      <c r="F725" s="2" t="s">
        <v>4768</v>
      </c>
      <c r="G725" s="1" t="s">
        <v>13</v>
      </c>
      <c r="H725" s="6" t="e" vm="2">
        <v>#VALUE!</v>
      </c>
    </row>
    <row r="726" spans="1:8" x14ac:dyDescent="0.25">
      <c r="A726" s="1">
        <v>860</v>
      </c>
      <c r="B726" s="1" t="s">
        <v>3477</v>
      </c>
      <c r="C726" s="1" t="s">
        <v>3478</v>
      </c>
      <c r="D726" s="1" t="s">
        <v>3479</v>
      </c>
      <c r="E726" s="1" t="s">
        <v>18</v>
      </c>
      <c r="F726" s="2" t="s">
        <v>4769</v>
      </c>
      <c r="G726" s="1" t="s">
        <v>13</v>
      </c>
      <c r="H726" s="6" t="e" vm="1">
        <v>#VALUE!</v>
      </c>
    </row>
    <row r="727" spans="1:8" x14ac:dyDescent="0.25">
      <c r="A727" s="1">
        <v>861</v>
      </c>
      <c r="B727" s="1" t="s">
        <v>3481</v>
      </c>
      <c r="C727" s="1" t="s">
        <v>3482</v>
      </c>
      <c r="D727" s="1" t="s">
        <v>3483</v>
      </c>
      <c r="E727" s="1" t="s">
        <v>11</v>
      </c>
      <c r="F727" s="2" t="s">
        <v>4770</v>
      </c>
      <c r="G727" s="1" t="s">
        <v>13</v>
      </c>
      <c r="H727" s="6" t="e" vm="67">
        <v>#VALUE!</v>
      </c>
    </row>
    <row r="728" spans="1:8" x14ac:dyDescent="0.25">
      <c r="A728" s="1">
        <v>862</v>
      </c>
      <c r="B728" s="1" t="s">
        <v>3485</v>
      </c>
      <c r="C728" s="1" t="s">
        <v>3486</v>
      </c>
      <c r="D728" s="1" t="s">
        <v>3487</v>
      </c>
      <c r="E728" s="1" t="s">
        <v>18</v>
      </c>
      <c r="F728" s="2" t="s">
        <v>4771</v>
      </c>
      <c r="G728" s="1" t="s">
        <v>13</v>
      </c>
      <c r="H728" s="6" t="e" vm="62">
        <v>#VALUE!</v>
      </c>
    </row>
    <row r="729" spans="1:8" x14ac:dyDescent="0.25">
      <c r="A729" s="1">
        <v>863</v>
      </c>
      <c r="B729" s="1" t="s">
        <v>3489</v>
      </c>
      <c r="C729" s="1" t="s">
        <v>3490</v>
      </c>
      <c r="D729" s="1" t="s">
        <v>3491</v>
      </c>
      <c r="E729" s="1" t="s">
        <v>18</v>
      </c>
      <c r="F729" s="2" t="s">
        <v>4772</v>
      </c>
      <c r="G729" s="1" t="s">
        <v>13</v>
      </c>
      <c r="H729" s="6" t="e" vm="31">
        <v>#VALUE!</v>
      </c>
    </row>
    <row r="730" spans="1:8" x14ac:dyDescent="0.25">
      <c r="A730" s="1">
        <v>864</v>
      </c>
      <c r="B730" s="1" t="s">
        <v>3493</v>
      </c>
      <c r="C730" s="1" t="s">
        <v>3494</v>
      </c>
      <c r="D730" s="1" t="s">
        <v>3495</v>
      </c>
      <c r="E730" s="1" t="s">
        <v>11</v>
      </c>
      <c r="F730" s="2" t="s">
        <v>4773</v>
      </c>
      <c r="G730" s="1" t="s">
        <v>13</v>
      </c>
      <c r="H730" s="6" t="e" vm="55">
        <v>#VALUE!</v>
      </c>
    </row>
    <row r="731" spans="1:8" x14ac:dyDescent="0.25">
      <c r="A731" s="1">
        <v>866</v>
      </c>
      <c r="B731" s="1" t="s">
        <v>3501</v>
      </c>
      <c r="C731" s="1" t="s">
        <v>3502</v>
      </c>
      <c r="D731" s="1" t="s">
        <v>3503</v>
      </c>
      <c r="E731" s="1" t="s">
        <v>18</v>
      </c>
      <c r="F731" s="2" t="s">
        <v>4774</v>
      </c>
      <c r="G731" s="1" t="s">
        <v>13</v>
      </c>
      <c r="H731" s="6" t="s">
        <v>4037</v>
      </c>
    </row>
    <row r="732" spans="1:8" x14ac:dyDescent="0.25">
      <c r="A732" s="1">
        <v>867</v>
      </c>
      <c r="B732" s="1" t="s">
        <v>3505</v>
      </c>
      <c r="C732" s="1" t="s">
        <v>3506</v>
      </c>
      <c r="D732" s="1" t="s">
        <v>3507</v>
      </c>
      <c r="E732" s="1" t="s">
        <v>18</v>
      </c>
      <c r="F732" s="2" t="s">
        <v>4775</v>
      </c>
      <c r="G732" s="1" t="s">
        <v>13</v>
      </c>
      <c r="H732" s="6" t="s">
        <v>4038</v>
      </c>
    </row>
    <row r="733" spans="1:8" x14ac:dyDescent="0.25">
      <c r="A733" s="1">
        <v>868</v>
      </c>
      <c r="B733" s="1" t="s">
        <v>3509</v>
      </c>
      <c r="C733" s="1" t="s">
        <v>3510</v>
      </c>
      <c r="D733" s="1" t="s">
        <v>3511</v>
      </c>
      <c r="E733" s="1" t="s">
        <v>11</v>
      </c>
      <c r="F733" s="2" t="s">
        <v>4776</v>
      </c>
      <c r="G733" s="1" t="s">
        <v>13</v>
      </c>
      <c r="H733" s="6" t="e" vm="62">
        <v>#VALUE!</v>
      </c>
    </row>
    <row r="734" spans="1:8" x14ac:dyDescent="0.25">
      <c r="A734" s="1">
        <v>869</v>
      </c>
      <c r="B734" s="1" t="s">
        <v>3513</v>
      </c>
      <c r="C734" s="1" t="s">
        <v>3514</v>
      </c>
      <c r="D734" s="1" t="s">
        <v>3515</v>
      </c>
      <c r="E734" s="1" t="s">
        <v>11</v>
      </c>
      <c r="F734" s="2" t="s">
        <v>4777</v>
      </c>
      <c r="G734" s="1" t="s">
        <v>13</v>
      </c>
      <c r="H734" s="6" t="e" vm="53">
        <v>#VALUE!</v>
      </c>
    </row>
    <row r="735" spans="1:8" x14ac:dyDescent="0.25">
      <c r="A735" s="1">
        <v>870</v>
      </c>
      <c r="B735" s="1" t="s">
        <v>3517</v>
      </c>
      <c r="C735" s="1" t="s">
        <v>3518</v>
      </c>
      <c r="D735" s="1" t="s">
        <v>3519</v>
      </c>
      <c r="E735" s="1" t="s">
        <v>11</v>
      </c>
      <c r="F735" s="2" t="s">
        <v>4778</v>
      </c>
      <c r="G735" s="1" t="s">
        <v>13</v>
      </c>
      <c r="H735" s="6" t="e" vm="33">
        <v>#VALUE!</v>
      </c>
    </row>
    <row r="736" spans="1:8" x14ac:dyDescent="0.25">
      <c r="A736" s="1">
        <v>872</v>
      </c>
      <c r="B736" s="1" t="s">
        <v>3525</v>
      </c>
      <c r="C736" s="1" t="s">
        <v>3526</v>
      </c>
      <c r="D736" s="1" t="s">
        <v>3527</v>
      </c>
      <c r="E736" s="1" t="s">
        <v>11</v>
      </c>
      <c r="F736" s="2" t="s">
        <v>4779</v>
      </c>
      <c r="G736" s="1" t="s">
        <v>13</v>
      </c>
      <c r="H736" s="6" t="e" vm="63">
        <v>#VALUE!</v>
      </c>
    </row>
    <row r="737" spans="1:8" x14ac:dyDescent="0.25">
      <c r="A737" s="1">
        <v>873</v>
      </c>
      <c r="B737" s="1" t="s">
        <v>3529</v>
      </c>
      <c r="C737" s="1" t="s">
        <v>3530</v>
      </c>
      <c r="D737" s="1" t="s">
        <v>3531</v>
      </c>
      <c r="E737" s="1" t="s">
        <v>18</v>
      </c>
      <c r="F737" s="2" t="s">
        <v>4780</v>
      </c>
      <c r="G737" s="1" t="s">
        <v>13</v>
      </c>
      <c r="H737" s="6" t="e" vm="20">
        <v>#VALUE!</v>
      </c>
    </row>
    <row r="738" spans="1:8" x14ac:dyDescent="0.25">
      <c r="A738" s="1">
        <v>874</v>
      </c>
      <c r="B738" s="1" t="s">
        <v>3533</v>
      </c>
      <c r="C738" s="1" t="s">
        <v>3534</v>
      </c>
      <c r="D738" s="1" t="s">
        <v>3535</v>
      </c>
      <c r="E738" s="1" t="s">
        <v>11</v>
      </c>
      <c r="F738" s="2" t="s">
        <v>4781</v>
      </c>
      <c r="G738" s="1" t="s">
        <v>13</v>
      </c>
      <c r="H738" s="6" t="e" vm="23">
        <v>#VALUE!</v>
      </c>
    </row>
    <row r="739" spans="1:8" x14ac:dyDescent="0.25">
      <c r="A739" s="1">
        <v>875</v>
      </c>
      <c r="B739" s="1" t="s">
        <v>3537</v>
      </c>
      <c r="C739" s="1" t="s">
        <v>3538</v>
      </c>
      <c r="D739" s="1" t="s">
        <v>3539</v>
      </c>
      <c r="E739" s="1" t="s">
        <v>11</v>
      </c>
      <c r="F739" s="2" t="s">
        <v>4782</v>
      </c>
      <c r="G739" s="1" t="s">
        <v>13</v>
      </c>
      <c r="H739" s="6" t="e" vm="43">
        <v>#VALUE!</v>
      </c>
    </row>
    <row r="740" spans="1:8" x14ac:dyDescent="0.25">
      <c r="A740" s="1">
        <v>876</v>
      </c>
      <c r="B740" s="1" t="s">
        <v>3541</v>
      </c>
      <c r="C740" s="1" t="s">
        <v>1014</v>
      </c>
      <c r="D740" s="1" t="s">
        <v>3542</v>
      </c>
      <c r="E740" s="1" t="s">
        <v>11</v>
      </c>
      <c r="F740" s="2" t="s">
        <v>4783</v>
      </c>
      <c r="G740" s="1" t="s">
        <v>13</v>
      </c>
      <c r="H740" s="6" t="e" vm="24">
        <v>#VALUE!</v>
      </c>
    </row>
    <row r="741" spans="1:8" x14ac:dyDescent="0.25">
      <c r="A741" s="1">
        <v>877</v>
      </c>
      <c r="B741" s="1" t="s">
        <v>3544</v>
      </c>
      <c r="C741" s="1" t="s">
        <v>3545</v>
      </c>
      <c r="D741" s="1" t="s">
        <v>3546</v>
      </c>
      <c r="E741" s="1" t="s">
        <v>18</v>
      </c>
      <c r="F741" s="2" t="s">
        <v>4784</v>
      </c>
      <c r="G741" s="1" t="s">
        <v>13</v>
      </c>
      <c r="H741" s="6" t="e" vm="82">
        <v>#VALUE!</v>
      </c>
    </row>
    <row r="742" spans="1:8" x14ac:dyDescent="0.25">
      <c r="A742" s="1">
        <v>878</v>
      </c>
      <c r="B742" s="1" t="s">
        <v>3548</v>
      </c>
      <c r="C742" s="1" t="s">
        <v>3549</v>
      </c>
      <c r="D742" s="1" t="s">
        <v>3550</v>
      </c>
      <c r="E742" s="1" t="s">
        <v>11</v>
      </c>
      <c r="F742" s="2" t="s">
        <v>4785</v>
      </c>
      <c r="G742" s="1" t="s">
        <v>13</v>
      </c>
      <c r="H742" s="6" t="e" vm="24">
        <v>#VALUE!</v>
      </c>
    </row>
    <row r="743" spans="1:8" x14ac:dyDescent="0.25">
      <c r="A743" s="1">
        <v>879</v>
      </c>
      <c r="B743" s="1" t="s">
        <v>3552</v>
      </c>
      <c r="C743" s="1" t="s">
        <v>3553</v>
      </c>
      <c r="D743" s="1" t="s">
        <v>3554</v>
      </c>
      <c r="E743" s="1" t="s">
        <v>18</v>
      </c>
      <c r="F743" s="2" t="s">
        <v>4786</v>
      </c>
      <c r="G743" s="1" t="s">
        <v>13</v>
      </c>
      <c r="H743" s="6" t="e" vm="46">
        <v>#VALUE!</v>
      </c>
    </row>
    <row r="744" spans="1:8" x14ac:dyDescent="0.25">
      <c r="A744" s="1">
        <v>880</v>
      </c>
      <c r="B744" s="1" t="s">
        <v>3556</v>
      </c>
      <c r="C744" s="1" t="s">
        <v>3557</v>
      </c>
      <c r="D744" s="1" t="s">
        <v>3558</v>
      </c>
      <c r="E744" s="1" t="s">
        <v>18</v>
      </c>
      <c r="F744" s="2" t="s">
        <v>4787</v>
      </c>
      <c r="G744" s="1" t="s">
        <v>13</v>
      </c>
      <c r="H744" s="6" t="e" vm="4">
        <v>#VALUE!</v>
      </c>
    </row>
    <row r="745" spans="1:8" x14ac:dyDescent="0.25">
      <c r="A745" s="1">
        <v>881</v>
      </c>
      <c r="B745" s="1" t="s">
        <v>3560</v>
      </c>
      <c r="C745" s="1" t="s">
        <v>3561</v>
      </c>
      <c r="D745" s="1" t="s">
        <v>3562</v>
      </c>
      <c r="E745" s="1" t="s">
        <v>11</v>
      </c>
      <c r="F745" s="2" t="s">
        <v>4788</v>
      </c>
      <c r="G745" s="1" t="s">
        <v>13</v>
      </c>
      <c r="H745" s="6" t="e" vm="10">
        <v>#VALUE!</v>
      </c>
    </row>
    <row r="746" spans="1:8" x14ac:dyDescent="0.25">
      <c r="A746" s="1">
        <v>882</v>
      </c>
      <c r="B746" s="1" t="s">
        <v>3564</v>
      </c>
      <c r="C746" s="1" t="s">
        <v>3565</v>
      </c>
      <c r="D746" s="1" t="s">
        <v>3566</v>
      </c>
      <c r="E746" s="1" t="s">
        <v>18</v>
      </c>
      <c r="F746" s="2" t="s">
        <v>4789</v>
      </c>
      <c r="G746" s="1" t="s">
        <v>13</v>
      </c>
      <c r="H746" s="6" t="e" vm="59">
        <v>#VALUE!</v>
      </c>
    </row>
    <row r="747" spans="1:8" x14ac:dyDescent="0.25">
      <c r="A747" s="1">
        <v>883</v>
      </c>
      <c r="B747" s="1" t="s">
        <v>3568</v>
      </c>
      <c r="C747" s="1" t="s">
        <v>3569</v>
      </c>
      <c r="D747" s="1" t="s">
        <v>3570</v>
      </c>
      <c r="E747" s="1" t="s">
        <v>4045</v>
      </c>
      <c r="F747" s="2" t="s">
        <v>4790</v>
      </c>
      <c r="G747" s="1" t="s">
        <v>13</v>
      </c>
      <c r="H747" s="6" t="e" vm="6">
        <v>#VALUE!</v>
      </c>
    </row>
    <row r="748" spans="1:8" x14ac:dyDescent="0.25">
      <c r="A748" s="1">
        <v>884</v>
      </c>
      <c r="B748" s="1" t="s">
        <v>3572</v>
      </c>
      <c r="C748" s="1" t="s">
        <v>3573</v>
      </c>
      <c r="D748" s="1" t="s">
        <v>3574</v>
      </c>
      <c r="E748" s="1" t="s">
        <v>18</v>
      </c>
      <c r="F748" s="2" t="s">
        <v>4791</v>
      </c>
      <c r="G748" s="1" t="s">
        <v>13</v>
      </c>
      <c r="H748" s="6" t="e" vm="21">
        <v>#VALUE!</v>
      </c>
    </row>
    <row r="749" spans="1:8" x14ac:dyDescent="0.25">
      <c r="A749" s="1">
        <v>886</v>
      </c>
      <c r="B749" s="1" t="s">
        <v>3580</v>
      </c>
      <c r="C749" s="1" t="s">
        <v>3581</v>
      </c>
      <c r="D749" s="1" t="s">
        <v>3582</v>
      </c>
      <c r="E749" s="1" t="s">
        <v>11</v>
      </c>
      <c r="F749" s="2" t="s">
        <v>4792</v>
      </c>
      <c r="G749" s="1" t="s">
        <v>13</v>
      </c>
      <c r="H749" s="6" t="e" vm="37">
        <v>#VALUE!</v>
      </c>
    </row>
    <row r="750" spans="1:8" x14ac:dyDescent="0.25">
      <c r="A750" s="1">
        <v>887</v>
      </c>
      <c r="B750" s="1" t="s">
        <v>3584</v>
      </c>
      <c r="C750" s="1" t="s">
        <v>3585</v>
      </c>
      <c r="D750" s="1" t="s">
        <v>3586</v>
      </c>
      <c r="E750" s="1" t="s">
        <v>18</v>
      </c>
      <c r="F750" s="2" t="s">
        <v>4793</v>
      </c>
      <c r="G750" s="1" t="s">
        <v>13</v>
      </c>
      <c r="H750" s="6" t="e" vm="2">
        <v>#VALUE!</v>
      </c>
    </row>
    <row r="751" spans="1:8" x14ac:dyDescent="0.25">
      <c r="A751" s="1">
        <v>888</v>
      </c>
      <c r="B751" s="1" t="s">
        <v>3588</v>
      </c>
      <c r="C751" s="1" t="s">
        <v>3589</v>
      </c>
      <c r="D751" s="1" t="s">
        <v>3590</v>
      </c>
      <c r="E751" s="1" t="s">
        <v>18</v>
      </c>
      <c r="F751" s="2" t="s">
        <v>4794</v>
      </c>
      <c r="G751" s="1" t="s">
        <v>13</v>
      </c>
      <c r="H751" s="6" t="e" vm="3">
        <v>#VALUE!</v>
      </c>
    </row>
    <row r="752" spans="1:8" x14ac:dyDescent="0.25">
      <c r="A752" s="1">
        <v>889</v>
      </c>
      <c r="B752" s="1" t="s">
        <v>3592</v>
      </c>
      <c r="C752" s="1" t="s">
        <v>3593</v>
      </c>
      <c r="D752" s="1" t="s">
        <v>3594</v>
      </c>
      <c r="E752" s="1" t="s">
        <v>18</v>
      </c>
      <c r="F752" s="2" t="s">
        <v>4795</v>
      </c>
      <c r="G752" s="1" t="s">
        <v>13</v>
      </c>
      <c r="H752" s="6" t="e" vm="78">
        <v>#VALUE!</v>
      </c>
    </row>
    <row r="753" spans="1:8" x14ac:dyDescent="0.25">
      <c r="A753" s="1">
        <v>890</v>
      </c>
      <c r="B753" s="1" t="s">
        <v>892</v>
      </c>
      <c r="C753" s="1" t="s">
        <v>3596</v>
      </c>
      <c r="D753" s="1" t="s">
        <v>3597</v>
      </c>
      <c r="E753" s="1" t="s">
        <v>18</v>
      </c>
      <c r="F753" s="2" t="s">
        <v>4796</v>
      </c>
      <c r="G753" s="1" t="s">
        <v>13</v>
      </c>
      <c r="H753" s="6" t="e" vm="46">
        <v>#VALUE!</v>
      </c>
    </row>
    <row r="754" spans="1:8" x14ac:dyDescent="0.25">
      <c r="A754" s="1">
        <v>891</v>
      </c>
      <c r="B754" s="1" t="s">
        <v>3599</v>
      </c>
      <c r="C754" s="1" t="s">
        <v>3600</v>
      </c>
      <c r="D754" s="1" t="s">
        <v>3601</v>
      </c>
      <c r="E754" s="1" t="s">
        <v>11</v>
      </c>
      <c r="F754" s="2" t="s">
        <v>4797</v>
      </c>
      <c r="G754" s="1" t="s">
        <v>13</v>
      </c>
      <c r="H754" s="6" t="e" vm="10">
        <v>#VALUE!</v>
      </c>
    </row>
    <row r="755" spans="1:8" x14ac:dyDescent="0.25">
      <c r="A755" s="1">
        <v>893</v>
      </c>
      <c r="B755" s="1" t="s">
        <v>3607</v>
      </c>
      <c r="C755" s="1" t="s">
        <v>3608</v>
      </c>
      <c r="D755" s="1" t="s">
        <v>3609</v>
      </c>
      <c r="E755" s="1" t="s">
        <v>18</v>
      </c>
      <c r="F755" s="2" t="s">
        <v>4798</v>
      </c>
      <c r="G755" s="1" t="s">
        <v>13</v>
      </c>
      <c r="H755" s="6" t="e" vm="56">
        <v>#VALUE!</v>
      </c>
    </row>
    <row r="756" spans="1:8" x14ac:dyDescent="0.25">
      <c r="A756" s="1">
        <v>894</v>
      </c>
      <c r="B756" s="1" t="s">
        <v>3611</v>
      </c>
      <c r="C756" s="1" t="s">
        <v>3612</v>
      </c>
      <c r="D756" s="1" t="s">
        <v>3613</v>
      </c>
      <c r="E756" s="1" t="s">
        <v>18</v>
      </c>
      <c r="F756" s="2" t="s">
        <v>4799</v>
      </c>
      <c r="G756" s="1" t="s">
        <v>13</v>
      </c>
      <c r="H756" s="6" t="e" vm="70">
        <v>#VALUE!</v>
      </c>
    </row>
    <row r="757" spans="1:8" x14ac:dyDescent="0.25">
      <c r="A757" s="1">
        <v>896</v>
      </c>
      <c r="B757" s="1" t="s">
        <v>3619</v>
      </c>
      <c r="C757" s="1" t="s">
        <v>3620</v>
      </c>
      <c r="D757" s="1" t="s">
        <v>3621</v>
      </c>
      <c r="E757" s="1" t="s">
        <v>4045</v>
      </c>
      <c r="F757" s="2" t="s">
        <v>4800</v>
      </c>
      <c r="G757" s="1" t="s">
        <v>13</v>
      </c>
      <c r="H757" s="6" t="e" vm="24">
        <v>#VALUE!</v>
      </c>
    </row>
    <row r="758" spans="1:8" x14ac:dyDescent="0.25">
      <c r="A758" s="1">
        <v>897</v>
      </c>
      <c r="B758" s="1" t="s">
        <v>3623</v>
      </c>
      <c r="C758" s="1" t="s">
        <v>3624</v>
      </c>
      <c r="D758" s="1" t="s">
        <v>3625</v>
      </c>
      <c r="E758" s="1" t="s">
        <v>18</v>
      </c>
      <c r="F758" s="2" t="s">
        <v>4801</v>
      </c>
      <c r="G758" s="1" t="s">
        <v>13</v>
      </c>
      <c r="H758" s="6" t="s">
        <v>4037</v>
      </c>
    </row>
    <row r="759" spans="1:8" x14ac:dyDescent="0.25">
      <c r="A759" s="1">
        <v>898</v>
      </c>
      <c r="B759" s="1" t="s">
        <v>3627</v>
      </c>
      <c r="C759" s="1" t="s">
        <v>3628</v>
      </c>
      <c r="D759" s="1" t="s">
        <v>3629</v>
      </c>
      <c r="E759" s="1" t="s">
        <v>11</v>
      </c>
      <c r="F759" s="2" t="s">
        <v>4802</v>
      </c>
      <c r="G759" s="1" t="s">
        <v>13</v>
      </c>
      <c r="H759" s="6" t="s">
        <v>4037</v>
      </c>
    </row>
    <row r="760" spans="1:8" x14ac:dyDescent="0.25">
      <c r="A760" s="1">
        <v>899</v>
      </c>
      <c r="B760" s="1" t="s">
        <v>3631</v>
      </c>
      <c r="C760" s="1" t="s">
        <v>3632</v>
      </c>
      <c r="D760" s="1" t="s">
        <v>3633</v>
      </c>
      <c r="E760" s="1" t="s">
        <v>11</v>
      </c>
      <c r="F760" s="2" t="s">
        <v>4803</v>
      </c>
      <c r="G760" s="1" t="s">
        <v>13</v>
      </c>
      <c r="H760" s="6" t="e" vm="69">
        <v>#VALUE!</v>
      </c>
    </row>
    <row r="761" spans="1:8" x14ac:dyDescent="0.25">
      <c r="A761" s="1">
        <v>900</v>
      </c>
      <c r="B761" s="1" t="s">
        <v>3635</v>
      </c>
      <c r="C761" s="1" t="s">
        <v>3636</v>
      </c>
      <c r="D761" s="1" t="s">
        <v>3637</v>
      </c>
      <c r="E761" s="1" t="s">
        <v>18</v>
      </c>
      <c r="F761" s="2" t="s">
        <v>4804</v>
      </c>
      <c r="G761" s="1" t="s">
        <v>13</v>
      </c>
      <c r="H761" s="6" t="e" vm="47">
        <v>#VALUE!</v>
      </c>
    </row>
    <row r="762" spans="1:8" x14ac:dyDescent="0.25">
      <c r="A762" s="1">
        <v>901</v>
      </c>
      <c r="B762" s="1" t="s">
        <v>3639</v>
      </c>
      <c r="C762" s="1" t="s">
        <v>3640</v>
      </c>
      <c r="D762" s="1" t="s">
        <v>3641</v>
      </c>
      <c r="E762" s="1" t="s">
        <v>4045</v>
      </c>
      <c r="F762" s="2" t="s">
        <v>4805</v>
      </c>
      <c r="G762" s="1" t="s">
        <v>13</v>
      </c>
      <c r="H762" s="6" t="e" vm="58">
        <v>#VALUE!</v>
      </c>
    </row>
    <row r="763" spans="1:8" x14ac:dyDescent="0.25">
      <c r="A763" s="1">
        <v>902</v>
      </c>
      <c r="B763" s="1" t="s">
        <v>3643</v>
      </c>
      <c r="C763" s="1" t="s">
        <v>3644</v>
      </c>
      <c r="D763" s="1" t="s">
        <v>3645</v>
      </c>
      <c r="E763" s="1" t="s">
        <v>18</v>
      </c>
      <c r="F763" s="2" t="s">
        <v>4806</v>
      </c>
      <c r="G763" s="1" t="s">
        <v>13</v>
      </c>
      <c r="H763" s="6" t="e" vm="68">
        <v>#VALUE!</v>
      </c>
    </row>
    <row r="764" spans="1:8" x14ac:dyDescent="0.25">
      <c r="A764" s="1">
        <v>905</v>
      </c>
      <c r="B764" s="1" t="s">
        <v>3655</v>
      </c>
      <c r="C764" s="1" t="s">
        <v>3656</v>
      </c>
      <c r="D764" s="1" t="s">
        <v>3657</v>
      </c>
      <c r="E764" s="1" t="s">
        <v>18</v>
      </c>
      <c r="F764" s="2" t="s">
        <v>4807</v>
      </c>
      <c r="G764" s="1" t="s">
        <v>13</v>
      </c>
      <c r="H764" s="6" t="e" vm="14">
        <v>#VALUE!</v>
      </c>
    </row>
    <row r="765" spans="1:8" x14ac:dyDescent="0.25">
      <c r="A765" s="1">
        <v>906</v>
      </c>
      <c r="B765" s="1" t="s">
        <v>3659</v>
      </c>
      <c r="C765" s="1" t="s">
        <v>3660</v>
      </c>
      <c r="D765" s="1" t="s">
        <v>3661</v>
      </c>
      <c r="E765" s="1" t="s">
        <v>11</v>
      </c>
      <c r="F765" s="2" t="s">
        <v>4808</v>
      </c>
      <c r="G765" s="1" t="s">
        <v>13</v>
      </c>
      <c r="H765" s="6" t="e" vm="83">
        <v>#VALUE!</v>
      </c>
    </row>
    <row r="766" spans="1:8" x14ac:dyDescent="0.25">
      <c r="A766" s="1">
        <v>907</v>
      </c>
      <c r="B766" s="1" t="s">
        <v>3663</v>
      </c>
      <c r="C766" s="1" t="s">
        <v>3664</v>
      </c>
      <c r="D766" s="1" t="s">
        <v>3665</v>
      </c>
      <c r="E766" s="1" t="s">
        <v>18</v>
      </c>
      <c r="F766" s="2" t="s">
        <v>4809</v>
      </c>
      <c r="G766" s="1" t="s">
        <v>13</v>
      </c>
      <c r="H766" s="6" t="e" vm="30">
        <v>#VALUE!</v>
      </c>
    </row>
    <row r="767" spans="1:8" x14ac:dyDescent="0.25">
      <c r="A767" s="1">
        <v>908</v>
      </c>
      <c r="B767" s="1" t="s">
        <v>3667</v>
      </c>
      <c r="C767" s="1" t="s">
        <v>3668</v>
      </c>
      <c r="D767" s="1" t="s">
        <v>3669</v>
      </c>
      <c r="E767" s="1" t="s">
        <v>11</v>
      </c>
      <c r="F767" s="2" t="s">
        <v>4810</v>
      </c>
      <c r="G767" s="1" t="s">
        <v>13</v>
      </c>
      <c r="H767" s="6" t="s">
        <v>4039</v>
      </c>
    </row>
    <row r="768" spans="1:8" x14ac:dyDescent="0.25">
      <c r="A768" s="1">
        <v>909</v>
      </c>
      <c r="B768" s="1" t="s">
        <v>3671</v>
      </c>
      <c r="C768" s="1" t="s">
        <v>3672</v>
      </c>
      <c r="D768" s="1" t="s">
        <v>3673</v>
      </c>
      <c r="E768" s="1" t="s">
        <v>11</v>
      </c>
      <c r="F768" s="2" t="s">
        <v>4811</v>
      </c>
      <c r="G768" s="1" t="s">
        <v>13</v>
      </c>
      <c r="H768" s="6" t="e" vm="36">
        <v>#VALUE!</v>
      </c>
    </row>
    <row r="769" spans="1:8" x14ac:dyDescent="0.25">
      <c r="A769" s="1">
        <v>911</v>
      </c>
      <c r="B769" s="1" t="s">
        <v>3678</v>
      </c>
      <c r="C769" s="1" t="s">
        <v>2438</v>
      </c>
      <c r="D769" s="1" t="s">
        <v>3679</v>
      </c>
      <c r="E769" s="1" t="s">
        <v>18</v>
      </c>
      <c r="F769" s="2" t="s">
        <v>4812</v>
      </c>
      <c r="G769" s="1" t="s">
        <v>13</v>
      </c>
      <c r="H769" s="6" t="e" vm="74">
        <v>#VALUE!</v>
      </c>
    </row>
    <row r="770" spans="1:8" x14ac:dyDescent="0.25">
      <c r="A770" s="1">
        <v>912</v>
      </c>
      <c r="B770" s="1" t="s">
        <v>3681</v>
      </c>
      <c r="C770" s="1" t="s">
        <v>3682</v>
      </c>
      <c r="D770" s="1" t="s">
        <v>3683</v>
      </c>
      <c r="E770" s="1" t="s">
        <v>18</v>
      </c>
      <c r="F770" s="2" t="s">
        <v>4813</v>
      </c>
      <c r="G770" s="1" t="s">
        <v>13</v>
      </c>
      <c r="H770" s="6" t="e" vm="32">
        <v>#VALUE!</v>
      </c>
    </row>
    <row r="771" spans="1:8" x14ac:dyDescent="0.25">
      <c r="A771" s="1">
        <v>914</v>
      </c>
      <c r="B771" s="1" t="s">
        <v>3688</v>
      </c>
      <c r="C771" s="1" t="s">
        <v>3689</v>
      </c>
      <c r="D771" s="1" t="s">
        <v>3690</v>
      </c>
      <c r="E771" s="1" t="s">
        <v>11</v>
      </c>
      <c r="F771" s="2" t="s">
        <v>4814</v>
      </c>
      <c r="G771" s="1" t="s">
        <v>13</v>
      </c>
      <c r="H771" s="6" t="e" vm="15">
        <v>#VALUE!</v>
      </c>
    </row>
    <row r="772" spans="1:8" x14ac:dyDescent="0.25">
      <c r="A772" s="1">
        <v>915</v>
      </c>
      <c r="B772" s="1" t="s">
        <v>3692</v>
      </c>
      <c r="C772" s="1" t="s">
        <v>3693</v>
      </c>
      <c r="D772" s="1" t="s">
        <v>3694</v>
      </c>
      <c r="E772" s="1" t="s">
        <v>11</v>
      </c>
      <c r="F772" s="2" t="s">
        <v>4815</v>
      </c>
      <c r="G772" s="1" t="s">
        <v>13</v>
      </c>
      <c r="H772" s="6" t="e" vm="81">
        <v>#VALUE!</v>
      </c>
    </row>
    <row r="773" spans="1:8" x14ac:dyDescent="0.25">
      <c r="A773" s="1">
        <v>916</v>
      </c>
      <c r="B773" s="1" t="s">
        <v>3696</v>
      </c>
      <c r="C773" s="1" t="s">
        <v>3697</v>
      </c>
      <c r="D773" s="1" t="s">
        <v>3698</v>
      </c>
      <c r="E773" s="1" t="s">
        <v>11</v>
      </c>
      <c r="F773" s="2" t="s">
        <v>4816</v>
      </c>
      <c r="G773" s="1" t="s">
        <v>13</v>
      </c>
      <c r="H773" s="6" t="e" vm="55">
        <v>#VALUE!</v>
      </c>
    </row>
    <row r="774" spans="1:8" x14ac:dyDescent="0.25">
      <c r="A774" s="1">
        <v>917</v>
      </c>
      <c r="B774" s="1" t="s">
        <v>3700</v>
      </c>
      <c r="C774" s="1" t="s">
        <v>3701</v>
      </c>
      <c r="D774" s="1" t="s">
        <v>3702</v>
      </c>
      <c r="E774" s="1" t="s">
        <v>11</v>
      </c>
      <c r="F774" s="2" t="s">
        <v>4817</v>
      </c>
      <c r="G774" s="1" t="s">
        <v>13</v>
      </c>
      <c r="H774" s="6" t="e" vm="29">
        <v>#VALUE!</v>
      </c>
    </row>
    <row r="775" spans="1:8" x14ac:dyDescent="0.25">
      <c r="A775" s="1">
        <v>918</v>
      </c>
      <c r="B775" s="1" t="s">
        <v>1783</v>
      </c>
      <c r="C775" s="1" t="s">
        <v>3704</v>
      </c>
      <c r="D775" s="1" t="s">
        <v>3705</v>
      </c>
      <c r="E775" s="1" t="s">
        <v>18</v>
      </c>
      <c r="F775" s="2" t="s">
        <v>4818</v>
      </c>
      <c r="G775" s="1" t="s">
        <v>13</v>
      </c>
      <c r="H775" s="6" t="e" vm="22">
        <v>#VALUE!</v>
      </c>
    </row>
    <row r="776" spans="1:8" x14ac:dyDescent="0.25">
      <c r="A776" s="1">
        <v>919</v>
      </c>
      <c r="B776" s="1" t="s">
        <v>3707</v>
      </c>
      <c r="C776" s="1" t="s">
        <v>3708</v>
      </c>
      <c r="D776" s="1" t="s">
        <v>3709</v>
      </c>
      <c r="E776" s="1" t="s">
        <v>11</v>
      </c>
      <c r="F776" s="2" t="s">
        <v>4819</v>
      </c>
      <c r="G776" s="1" t="s">
        <v>13</v>
      </c>
      <c r="H776" s="6" t="s">
        <v>4037</v>
      </c>
    </row>
    <row r="777" spans="1:8" x14ac:dyDescent="0.25">
      <c r="A777" s="1">
        <v>921</v>
      </c>
      <c r="B777" s="1" t="s">
        <v>3715</v>
      </c>
      <c r="C777" s="1" t="s">
        <v>3716</v>
      </c>
      <c r="D777" s="1" t="s">
        <v>3717</v>
      </c>
      <c r="E777" s="1" t="s">
        <v>18</v>
      </c>
      <c r="F777" s="2" t="s">
        <v>4820</v>
      </c>
      <c r="G777" s="1" t="s">
        <v>13</v>
      </c>
      <c r="H777" s="6" t="e" vm="1">
        <v>#VALUE!</v>
      </c>
    </row>
    <row r="778" spans="1:8" x14ac:dyDescent="0.25">
      <c r="A778" s="1">
        <v>922</v>
      </c>
      <c r="B778" s="1" t="s">
        <v>518</v>
      </c>
      <c r="C778" s="1" t="s">
        <v>3719</v>
      </c>
      <c r="D778" s="1" t="s">
        <v>3720</v>
      </c>
      <c r="E778" s="1" t="s">
        <v>4045</v>
      </c>
      <c r="F778" s="2" t="s">
        <v>4821</v>
      </c>
      <c r="G778" s="1" t="s">
        <v>13</v>
      </c>
      <c r="H778" s="6" t="e" vm="76">
        <v>#VALUE!</v>
      </c>
    </row>
    <row r="779" spans="1:8" x14ac:dyDescent="0.25">
      <c r="A779" s="1">
        <v>923</v>
      </c>
      <c r="B779" s="1" t="s">
        <v>3722</v>
      </c>
      <c r="C779" s="1" t="s">
        <v>2673</v>
      </c>
      <c r="D779" s="1" t="s">
        <v>3723</v>
      </c>
      <c r="E779" s="1" t="s">
        <v>11</v>
      </c>
      <c r="F779" s="2" t="s">
        <v>4822</v>
      </c>
      <c r="G779" s="1" t="s">
        <v>13</v>
      </c>
      <c r="H779" s="6" t="s">
        <v>4038</v>
      </c>
    </row>
    <row r="780" spans="1:8" x14ac:dyDescent="0.25">
      <c r="A780" s="1">
        <v>924</v>
      </c>
      <c r="B780" s="1" t="s">
        <v>3725</v>
      </c>
      <c r="C780" s="1" t="s">
        <v>3726</v>
      </c>
      <c r="D780" s="1" t="s">
        <v>3727</v>
      </c>
      <c r="E780" s="1" t="s">
        <v>11</v>
      </c>
      <c r="F780" s="2" t="s">
        <v>4823</v>
      </c>
      <c r="G780" s="1" t="s">
        <v>13</v>
      </c>
      <c r="H780" s="6" t="e" vm="9">
        <v>#VALUE!</v>
      </c>
    </row>
    <row r="781" spans="1:8" x14ac:dyDescent="0.25">
      <c r="A781" s="1">
        <v>925</v>
      </c>
      <c r="B781" s="1" t="s">
        <v>3729</v>
      </c>
      <c r="C781" s="1" t="s">
        <v>3730</v>
      </c>
      <c r="D781" s="1" t="s">
        <v>3731</v>
      </c>
      <c r="E781" s="1" t="s">
        <v>11</v>
      </c>
      <c r="F781" s="2" t="s">
        <v>4824</v>
      </c>
      <c r="G781" s="1" t="s">
        <v>13</v>
      </c>
      <c r="H781" s="6" t="e" vm="54">
        <v>#VALUE!</v>
      </c>
    </row>
    <row r="782" spans="1:8" x14ac:dyDescent="0.25">
      <c r="A782" s="1">
        <v>927</v>
      </c>
      <c r="B782" s="1" t="s">
        <v>3736</v>
      </c>
      <c r="C782" s="1" t="s">
        <v>3737</v>
      </c>
      <c r="D782" s="1" t="s">
        <v>3738</v>
      </c>
      <c r="E782" s="1" t="s">
        <v>18</v>
      </c>
      <c r="F782" s="2" t="s">
        <v>4825</v>
      </c>
      <c r="G782" s="1" t="s">
        <v>13</v>
      </c>
      <c r="H782" s="6" t="e" vm="58">
        <v>#VALUE!</v>
      </c>
    </row>
    <row r="783" spans="1:8" x14ac:dyDescent="0.25">
      <c r="A783" s="1">
        <v>928</v>
      </c>
      <c r="B783" s="1" t="s">
        <v>3740</v>
      </c>
      <c r="C783" s="1" t="s">
        <v>3741</v>
      </c>
      <c r="D783" s="1" t="s">
        <v>3742</v>
      </c>
      <c r="E783" s="1" t="s">
        <v>11</v>
      </c>
      <c r="F783" s="2" t="s">
        <v>4826</v>
      </c>
      <c r="G783" s="1" t="s">
        <v>13</v>
      </c>
      <c r="H783" s="6" t="e" vm="46">
        <v>#VALUE!</v>
      </c>
    </row>
    <row r="784" spans="1:8" x14ac:dyDescent="0.25">
      <c r="A784" s="1">
        <v>929</v>
      </c>
      <c r="B784" s="1" t="s">
        <v>3744</v>
      </c>
      <c r="C784" s="1" t="s">
        <v>3745</v>
      </c>
      <c r="D784" s="1" t="s">
        <v>3746</v>
      </c>
      <c r="E784" s="1" t="s">
        <v>11</v>
      </c>
      <c r="F784" s="2" t="s">
        <v>4827</v>
      </c>
      <c r="G784" s="1" t="s">
        <v>13</v>
      </c>
      <c r="H784" s="6" t="e" vm="46">
        <v>#VALUE!</v>
      </c>
    </row>
    <row r="785" spans="1:8" x14ac:dyDescent="0.25">
      <c r="A785" s="1">
        <v>930</v>
      </c>
      <c r="B785" s="1" t="s">
        <v>3748</v>
      </c>
      <c r="C785" s="1" t="s">
        <v>3749</v>
      </c>
      <c r="D785" s="1" t="s">
        <v>3750</v>
      </c>
      <c r="E785" s="1" t="s">
        <v>11</v>
      </c>
      <c r="F785" s="2" t="s">
        <v>4828</v>
      </c>
      <c r="G785" s="1" t="s">
        <v>13</v>
      </c>
      <c r="H785" s="6" t="s">
        <v>4041</v>
      </c>
    </row>
    <row r="786" spans="1:8" x14ac:dyDescent="0.25">
      <c r="A786" s="1">
        <v>931</v>
      </c>
      <c r="B786" s="1" t="s">
        <v>1893</v>
      </c>
      <c r="C786" s="1" t="s">
        <v>3752</v>
      </c>
      <c r="D786" s="1" t="s">
        <v>3753</v>
      </c>
      <c r="E786" s="1" t="s">
        <v>18</v>
      </c>
      <c r="F786" s="2" t="s">
        <v>4829</v>
      </c>
      <c r="G786" s="1" t="s">
        <v>13</v>
      </c>
      <c r="H786" s="6" t="e" vm="23">
        <v>#VALUE!</v>
      </c>
    </row>
    <row r="787" spans="1:8" x14ac:dyDescent="0.25">
      <c r="A787" s="1">
        <v>933</v>
      </c>
      <c r="B787" s="1" t="s">
        <v>3758</v>
      </c>
      <c r="C787" s="1" t="s">
        <v>3759</v>
      </c>
      <c r="D787" s="1" t="s">
        <v>3760</v>
      </c>
      <c r="E787" s="1" t="s">
        <v>11</v>
      </c>
      <c r="F787" s="2" t="s">
        <v>4830</v>
      </c>
      <c r="G787" s="1" t="s">
        <v>13</v>
      </c>
      <c r="H787" s="6" t="e" vm="23">
        <v>#VALUE!</v>
      </c>
    </row>
    <row r="788" spans="1:8" x14ac:dyDescent="0.25">
      <c r="A788" s="1">
        <v>935</v>
      </c>
      <c r="B788" s="1" t="s">
        <v>3766</v>
      </c>
      <c r="C788" s="1" t="s">
        <v>3767</v>
      </c>
      <c r="D788" s="1" t="s">
        <v>3768</v>
      </c>
      <c r="E788" s="1" t="s">
        <v>11</v>
      </c>
      <c r="F788" s="2" t="s">
        <v>4831</v>
      </c>
      <c r="G788" s="1" t="s">
        <v>13</v>
      </c>
      <c r="H788" s="6" t="e" vm="68">
        <v>#VALUE!</v>
      </c>
    </row>
    <row r="789" spans="1:8" x14ac:dyDescent="0.25">
      <c r="A789" s="1">
        <v>936</v>
      </c>
      <c r="B789" s="1" t="s">
        <v>3770</v>
      </c>
      <c r="C789" s="1" t="s">
        <v>3771</v>
      </c>
      <c r="D789" s="1" t="s">
        <v>3772</v>
      </c>
      <c r="E789" s="1" t="s">
        <v>18</v>
      </c>
      <c r="F789" s="2" t="s">
        <v>4832</v>
      </c>
      <c r="G789" s="1" t="s">
        <v>13</v>
      </c>
      <c r="H789" s="6" t="e" vm="11">
        <v>#VALUE!</v>
      </c>
    </row>
    <row r="790" spans="1:8" x14ac:dyDescent="0.25">
      <c r="A790" s="1">
        <v>937</v>
      </c>
      <c r="B790" s="1" t="s">
        <v>3774</v>
      </c>
      <c r="C790" s="1" t="s">
        <v>3775</v>
      </c>
      <c r="D790" s="1" t="s">
        <v>3776</v>
      </c>
      <c r="E790" s="1" t="s">
        <v>11</v>
      </c>
      <c r="F790" s="2" t="s">
        <v>4833</v>
      </c>
      <c r="G790" s="1" t="s">
        <v>13</v>
      </c>
      <c r="H790" s="6" t="e" vm="26">
        <v>#VALUE!</v>
      </c>
    </row>
    <row r="791" spans="1:8" x14ac:dyDescent="0.25">
      <c r="A791" s="1">
        <v>938</v>
      </c>
      <c r="B791" s="1" t="s">
        <v>3778</v>
      </c>
      <c r="C791" s="1" t="s">
        <v>3779</v>
      </c>
      <c r="D791" s="1" t="s">
        <v>3780</v>
      </c>
      <c r="E791" s="1" t="s">
        <v>18</v>
      </c>
      <c r="F791" s="2" t="s">
        <v>4834</v>
      </c>
      <c r="G791" s="1" t="s">
        <v>13</v>
      </c>
      <c r="H791" s="6" t="e" vm="68">
        <v>#VALUE!</v>
      </c>
    </row>
    <row r="792" spans="1:8" x14ac:dyDescent="0.25">
      <c r="A792" s="1">
        <v>939</v>
      </c>
      <c r="B792" s="1" t="s">
        <v>3782</v>
      </c>
      <c r="C792" s="1" t="s">
        <v>3783</v>
      </c>
      <c r="D792" s="1" t="s">
        <v>3784</v>
      </c>
      <c r="E792" s="1" t="s">
        <v>18</v>
      </c>
      <c r="F792" s="2" t="s">
        <v>4835</v>
      </c>
      <c r="G792" s="1" t="s">
        <v>13</v>
      </c>
      <c r="H792" s="6" t="e" vm="66">
        <v>#VALUE!</v>
      </c>
    </row>
    <row r="793" spans="1:8" x14ac:dyDescent="0.25">
      <c r="A793" s="1">
        <v>940</v>
      </c>
      <c r="B793" s="1" t="s">
        <v>3786</v>
      </c>
      <c r="C793" s="1" t="s">
        <v>3787</v>
      </c>
      <c r="D793" s="1" t="s">
        <v>3788</v>
      </c>
      <c r="E793" s="1" t="s">
        <v>4045</v>
      </c>
      <c r="F793" s="2" t="s">
        <v>4836</v>
      </c>
      <c r="G793" s="1" t="s">
        <v>13</v>
      </c>
      <c r="H793" s="6" t="e" vm="39">
        <v>#VALUE!</v>
      </c>
    </row>
    <row r="794" spans="1:8" x14ac:dyDescent="0.25">
      <c r="A794" s="1">
        <v>941</v>
      </c>
      <c r="B794" s="1" t="s">
        <v>3790</v>
      </c>
      <c r="C794" s="1" t="s">
        <v>3791</v>
      </c>
      <c r="D794" s="1" t="s">
        <v>3792</v>
      </c>
      <c r="E794" s="1" t="s">
        <v>11</v>
      </c>
      <c r="F794" s="2" t="s">
        <v>4837</v>
      </c>
      <c r="G794" s="1" t="s">
        <v>13</v>
      </c>
      <c r="H794" s="6" t="e" vm="36">
        <v>#VALUE!</v>
      </c>
    </row>
    <row r="795" spans="1:8" x14ac:dyDescent="0.25">
      <c r="A795" s="1">
        <v>942</v>
      </c>
      <c r="B795" s="1" t="s">
        <v>3794</v>
      </c>
      <c r="C795" s="1" t="s">
        <v>3795</v>
      </c>
      <c r="D795" s="1" t="s">
        <v>3796</v>
      </c>
      <c r="E795" s="1" t="s">
        <v>11</v>
      </c>
      <c r="F795" s="2" t="s">
        <v>4838</v>
      </c>
      <c r="G795" s="1" t="s">
        <v>13</v>
      </c>
      <c r="H795" s="6" t="e" vm="2">
        <v>#VALUE!</v>
      </c>
    </row>
    <row r="796" spans="1:8" x14ac:dyDescent="0.25">
      <c r="A796" s="1">
        <v>943</v>
      </c>
      <c r="B796" s="1" t="s">
        <v>3798</v>
      </c>
      <c r="C796" s="1" t="s">
        <v>3799</v>
      </c>
      <c r="D796" s="1" t="s">
        <v>3800</v>
      </c>
      <c r="E796" s="1" t="s">
        <v>11</v>
      </c>
      <c r="F796" s="2" t="s">
        <v>4839</v>
      </c>
      <c r="G796" s="1" t="s">
        <v>13</v>
      </c>
      <c r="H796" s="6" t="e" vm="54">
        <v>#VALUE!</v>
      </c>
    </row>
    <row r="797" spans="1:8" x14ac:dyDescent="0.25">
      <c r="A797" s="1">
        <v>944</v>
      </c>
      <c r="B797" s="1" t="s">
        <v>3802</v>
      </c>
      <c r="C797" s="1" t="s">
        <v>3803</v>
      </c>
      <c r="D797" s="1" t="s">
        <v>3804</v>
      </c>
      <c r="E797" s="1" t="s">
        <v>18</v>
      </c>
      <c r="F797" s="2" t="s">
        <v>4840</v>
      </c>
      <c r="G797" s="1" t="s">
        <v>13</v>
      </c>
      <c r="H797" s="6" t="e" vm="44">
        <v>#VALUE!</v>
      </c>
    </row>
    <row r="798" spans="1:8" x14ac:dyDescent="0.25">
      <c r="A798" s="1">
        <v>945</v>
      </c>
      <c r="B798" s="1" t="s">
        <v>3806</v>
      </c>
      <c r="C798" s="1" t="s">
        <v>3807</v>
      </c>
      <c r="D798" s="1" t="s">
        <v>3808</v>
      </c>
      <c r="E798" s="1" t="s">
        <v>11</v>
      </c>
      <c r="F798" s="2" t="s">
        <v>4841</v>
      </c>
      <c r="G798" s="1" t="s">
        <v>13</v>
      </c>
      <c r="H798" s="6" t="e" vm="46">
        <v>#VALUE!</v>
      </c>
    </row>
    <row r="799" spans="1:8" x14ac:dyDescent="0.25">
      <c r="A799" s="1">
        <v>946</v>
      </c>
      <c r="B799" s="1" t="s">
        <v>3810</v>
      </c>
      <c r="C799" s="1" t="s">
        <v>3811</v>
      </c>
      <c r="D799" s="1" t="s">
        <v>3812</v>
      </c>
      <c r="E799" s="1" t="s">
        <v>11</v>
      </c>
      <c r="F799" s="2" t="s">
        <v>4842</v>
      </c>
      <c r="G799" s="1" t="s">
        <v>13</v>
      </c>
      <c r="H799" s="6" t="e" vm="5">
        <v>#VALUE!</v>
      </c>
    </row>
    <row r="800" spans="1:8" x14ac:dyDescent="0.25">
      <c r="A800" s="1">
        <v>947</v>
      </c>
      <c r="B800" s="1" t="s">
        <v>3814</v>
      </c>
      <c r="C800" s="1" t="s">
        <v>3815</v>
      </c>
      <c r="D800" s="1" t="s">
        <v>3816</v>
      </c>
      <c r="E800" s="1" t="s">
        <v>11</v>
      </c>
      <c r="F800" s="2" t="s">
        <v>4843</v>
      </c>
      <c r="G800" s="1" t="s">
        <v>13</v>
      </c>
      <c r="H800" s="6" t="e" vm="16">
        <v>#VALUE!</v>
      </c>
    </row>
    <row r="801" spans="1:8" x14ac:dyDescent="0.25">
      <c r="A801" s="1">
        <v>948</v>
      </c>
      <c r="B801" s="1" t="s">
        <v>576</v>
      </c>
      <c r="C801" s="1" t="s">
        <v>3818</v>
      </c>
      <c r="D801" s="1" t="s">
        <v>3819</v>
      </c>
      <c r="E801" s="1" t="s">
        <v>18</v>
      </c>
      <c r="F801" s="2" t="s">
        <v>4844</v>
      </c>
      <c r="G801" s="1" t="s">
        <v>13</v>
      </c>
      <c r="H801" s="6" t="e" vm="67">
        <v>#VALUE!</v>
      </c>
    </row>
    <row r="802" spans="1:8" x14ac:dyDescent="0.25">
      <c r="A802" s="1">
        <v>949</v>
      </c>
      <c r="B802" s="1" t="s">
        <v>3607</v>
      </c>
      <c r="C802" s="1" t="s">
        <v>3821</v>
      </c>
      <c r="D802" s="1" t="s">
        <v>3822</v>
      </c>
      <c r="E802" s="1" t="s">
        <v>18</v>
      </c>
      <c r="F802" s="2" t="s">
        <v>4845</v>
      </c>
      <c r="G802" s="1" t="s">
        <v>13</v>
      </c>
      <c r="H802" s="6" t="e" vm="21">
        <v>#VALUE!</v>
      </c>
    </row>
    <row r="803" spans="1:8" x14ac:dyDescent="0.25">
      <c r="A803" s="1">
        <v>951</v>
      </c>
      <c r="B803" s="1" t="s">
        <v>3828</v>
      </c>
      <c r="C803" s="1" t="s">
        <v>3829</v>
      </c>
      <c r="D803" s="1" t="s">
        <v>3830</v>
      </c>
      <c r="E803" s="1" t="s">
        <v>18</v>
      </c>
      <c r="F803" s="2" t="s">
        <v>4846</v>
      </c>
      <c r="G803" s="1" t="s">
        <v>13</v>
      </c>
      <c r="H803" s="6" t="e" vm="1">
        <v>#VALUE!</v>
      </c>
    </row>
    <row r="804" spans="1:8" x14ac:dyDescent="0.25">
      <c r="A804" s="1">
        <v>954</v>
      </c>
      <c r="B804" s="1" t="s">
        <v>3840</v>
      </c>
      <c r="C804" s="1" t="s">
        <v>3841</v>
      </c>
      <c r="D804" s="1" t="s">
        <v>3842</v>
      </c>
      <c r="E804" s="1" t="s">
        <v>18</v>
      </c>
      <c r="F804" s="2" t="s">
        <v>4847</v>
      </c>
      <c r="G804" s="1" t="s">
        <v>13</v>
      </c>
      <c r="H804" s="6" t="e" vm="34">
        <v>#VALUE!</v>
      </c>
    </row>
    <row r="805" spans="1:8" x14ac:dyDescent="0.25">
      <c r="A805" s="1">
        <v>955</v>
      </c>
      <c r="B805" s="1" t="s">
        <v>3844</v>
      </c>
      <c r="C805" s="1" t="s">
        <v>3845</v>
      </c>
      <c r="D805" s="1" t="s">
        <v>3846</v>
      </c>
      <c r="E805" s="1" t="s">
        <v>11</v>
      </c>
      <c r="F805" s="2" t="s">
        <v>4848</v>
      </c>
      <c r="G805" s="1" t="s">
        <v>13</v>
      </c>
      <c r="H805" s="6" t="e" vm="46">
        <v>#VALUE!</v>
      </c>
    </row>
    <row r="806" spans="1:8" x14ac:dyDescent="0.25">
      <c r="A806" s="1">
        <v>956</v>
      </c>
      <c r="B806" s="1" t="s">
        <v>3848</v>
      </c>
      <c r="C806" s="1" t="s">
        <v>3849</v>
      </c>
      <c r="D806" s="1" t="s">
        <v>3850</v>
      </c>
      <c r="E806" s="1" t="s">
        <v>11</v>
      </c>
      <c r="F806" s="2" t="s">
        <v>4849</v>
      </c>
      <c r="G806" s="1" t="s">
        <v>13</v>
      </c>
      <c r="H806" s="6" t="e" vm="32">
        <v>#VALUE!</v>
      </c>
    </row>
    <row r="807" spans="1:8" x14ac:dyDescent="0.25">
      <c r="A807" s="1">
        <v>957</v>
      </c>
      <c r="B807" s="1" t="s">
        <v>3852</v>
      </c>
      <c r="C807" s="1" t="s">
        <v>3853</v>
      </c>
      <c r="D807" s="1" t="s">
        <v>3854</v>
      </c>
      <c r="E807" s="1" t="s">
        <v>11</v>
      </c>
      <c r="F807" s="2" t="s">
        <v>4850</v>
      </c>
      <c r="G807" s="1" t="s">
        <v>13</v>
      </c>
      <c r="H807" s="6" t="e" vm="50">
        <v>#VALUE!</v>
      </c>
    </row>
    <row r="808" spans="1:8" x14ac:dyDescent="0.25">
      <c r="A808" s="1">
        <v>958</v>
      </c>
      <c r="B808" s="1" t="s">
        <v>2393</v>
      </c>
      <c r="C808" s="1" t="s">
        <v>3856</v>
      </c>
      <c r="D808" s="1" t="s">
        <v>3857</v>
      </c>
      <c r="E808" s="1" t="s">
        <v>11</v>
      </c>
      <c r="F808" s="2" t="s">
        <v>4851</v>
      </c>
      <c r="G808" s="1" t="s">
        <v>13</v>
      </c>
      <c r="H808" s="6" t="e" vm="31">
        <v>#VALUE!</v>
      </c>
    </row>
    <row r="809" spans="1:8" x14ac:dyDescent="0.25">
      <c r="A809" s="1">
        <v>959</v>
      </c>
      <c r="B809" s="1" t="s">
        <v>3859</v>
      </c>
      <c r="C809" s="1" t="s">
        <v>3860</v>
      </c>
      <c r="D809" s="1" t="s">
        <v>3861</v>
      </c>
      <c r="E809" s="1" t="s">
        <v>18</v>
      </c>
      <c r="F809" s="2" t="s">
        <v>4852</v>
      </c>
      <c r="G809" s="1" t="s">
        <v>13</v>
      </c>
      <c r="H809" s="6" t="e" vm="47">
        <v>#VALUE!</v>
      </c>
    </row>
    <row r="810" spans="1:8" x14ac:dyDescent="0.25">
      <c r="A810" s="1">
        <v>961</v>
      </c>
      <c r="B810" s="1" t="s">
        <v>3867</v>
      </c>
      <c r="C810" s="1" t="s">
        <v>3868</v>
      </c>
      <c r="D810" s="1" t="s">
        <v>3869</v>
      </c>
      <c r="E810" s="1" t="s">
        <v>18</v>
      </c>
      <c r="F810" s="2" t="s">
        <v>4853</v>
      </c>
      <c r="G810" s="1" t="s">
        <v>13</v>
      </c>
      <c r="H810" s="6" t="e" vm="48">
        <v>#VALUE!</v>
      </c>
    </row>
    <row r="811" spans="1:8" x14ac:dyDescent="0.25">
      <c r="A811" s="1">
        <v>962</v>
      </c>
      <c r="B811" s="1" t="s">
        <v>3871</v>
      </c>
      <c r="C811" s="1" t="s">
        <v>3872</v>
      </c>
      <c r="D811" s="1" t="s">
        <v>3873</v>
      </c>
      <c r="E811" s="1" t="s">
        <v>18</v>
      </c>
      <c r="F811" s="2" t="s">
        <v>4854</v>
      </c>
      <c r="G811" s="1" t="s">
        <v>13</v>
      </c>
      <c r="H811" s="6" t="e" vm="82">
        <v>#VALUE!</v>
      </c>
    </row>
    <row r="812" spans="1:8" x14ac:dyDescent="0.25">
      <c r="A812" s="1">
        <v>963</v>
      </c>
      <c r="B812" s="1" t="s">
        <v>3875</v>
      </c>
      <c r="C812" s="1" t="s">
        <v>3876</v>
      </c>
      <c r="D812" s="1" t="s">
        <v>3877</v>
      </c>
      <c r="E812" s="1" t="s">
        <v>11</v>
      </c>
      <c r="F812" s="2" t="s">
        <v>4855</v>
      </c>
      <c r="G812" s="1" t="s">
        <v>13</v>
      </c>
      <c r="H812" s="6" t="e" vm="68">
        <v>#VALUE!</v>
      </c>
    </row>
    <row r="813" spans="1:8" x14ac:dyDescent="0.25">
      <c r="A813" s="1">
        <v>965</v>
      </c>
      <c r="B813" s="1" t="s">
        <v>3339</v>
      </c>
      <c r="C813" s="1" t="s">
        <v>3883</v>
      </c>
      <c r="D813" s="1" t="s">
        <v>3884</v>
      </c>
      <c r="E813" s="1" t="s">
        <v>18</v>
      </c>
      <c r="F813" s="2" t="s">
        <v>4856</v>
      </c>
      <c r="G813" s="1" t="s">
        <v>13</v>
      </c>
      <c r="H813" s="6" t="e" vm="23">
        <v>#VALUE!</v>
      </c>
    </row>
    <row r="814" spans="1:8" x14ac:dyDescent="0.25">
      <c r="A814" s="1">
        <v>966</v>
      </c>
      <c r="B814" s="1" t="s">
        <v>3886</v>
      </c>
      <c r="C814" s="1" t="s">
        <v>3887</v>
      </c>
      <c r="D814" s="1" t="s">
        <v>3888</v>
      </c>
      <c r="E814" s="1" t="s">
        <v>18</v>
      </c>
      <c r="F814" s="2" t="s">
        <v>4857</v>
      </c>
      <c r="G814" s="1" t="s">
        <v>13</v>
      </c>
      <c r="H814" s="6" t="e" vm="75">
        <v>#VALUE!</v>
      </c>
    </row>
    <row r="815" spans="1:8" x14ac:dyDescent="0.25">
      <c r="A815" s="1">
        <v>967</v>
      </c>
      <c r="B815" s="1" t="s">
        <v>3890</v>
      </c>
      <c r="C815" s="1" t="s">
        <v>3891</v>
      </c>
      <c r="D815" s="1" t="s">
        <v>3892</v>
      </c>
      <c r="E815" s="1" t="s">
        <v>11</v>
      </c>
      <c r="F815" s="2" t="s">
        <v>4858</v>
      </c>
      <c r="G815" s="1" t="s">
        <v>13</v>
      </c>
      <c r="H815" s="6" t="e" vm="61">
        <v>#VALUE!</v>
      </c>
    </row>
    <row r="816" spans="1:8" x14ac:dyDescent="0.25">
      <c r="A816" s="1">
        <v>968</v>
      </c>
      <c r="B816" s="1" t="s">
        <v>3894</v>
      </c>
      <c r="C816" s="1" t="s">
        <v>3895</v>
      </c>
      <c r="D816" s="1" t="s">
        <v>3896</v>
      </c>
      <c r="E816" s="1" t="s">
        <v>11</v>
      </c>
      <c r="F816" s="2" t="s">
        <v>4859</v>
      </c>
      <c r="G816" s="1" t="s">
        <v>13</v>
      </c>
      <c r="H816" s="6" t="e" vm="36">
        <v>#VALUE!</v>
      </c>
    </row>
    <row r="817" spans="1:8" x14ac:dyDescent="0.25">
      <c r="A817" s="1">
        <v>969</v>
      </c>
      <c r="B817" s="1" t="s">
        <v>3898</v>
      </c>
      <c r="C817" s="1" t="s">
        <v>3899</v>
      </c>
      <c r="D817" s="1" t="s">
        <v>3900</v>
      </c>
      <c r="E817" s="1" t="s">
        <v>11</v>
      </c>
      <c r="F817" s="2" t="s">
        <v>4860</v>
      </c>
      <c r="G817" s="1" t="s">
        <v>13</v>
      </c>
      <c r="H817" s="6" t="e" vm="37">
        <v>#VALUE!</v>
      </c>
    </row>
    <row r="818" spans="1:8" x14ac:dyDescent="0.25">
      <c r="A818" s="1">
        <v>970</v>
      </c>
      <c r="B818" s="1" t="s">
        <v>3902</v>
      </c>
      <c r="C818" s="1" t="s">
        <v>3903</v>
      </c>
      <c r="D818" s="1" t="s">
        <v>3904</v>
      </c>
      <c r="E818" s="1" t="s">
        <v>18</v>
      </c>
      <c r="F818" s="2" t="s">
        <v>4861</v>
      </c>
      <c r="G818" s="1" t="s">
        <v>13</v>
      </c>
      <c r="H818" s="6" t="e" vm="22">
        <v>#VALUE!</v>
      </c>
    </row>
    <row r="819" spans="1:8" x14ac:dyDescent="0.25">
      <c r="A819" s="1">
        <v>971</v>
      </c>
      <c r="B819" s="1" t="s">
        <v>3906</v>
      </c>
      <c r="C819" s="1" t="s">
        <v>3907</v>
      </c>
      <c r="D819" s="1" t="s">
        <v>3908</v>
      </c>
      <c r="E819" s="1" t="s">
        <v>11</v>
      </c>
      <c r="F819" s="2" t="s">
        <v>4862</v>
      </c>
      <c r="G819" s="1" t="s">
        <v>13</v>
      </c>
      <c r="H819" s="6" t="e" vm="9">
        <v>#VALUE!</v>
      </c>
    </row>
    <row r="820" spans="1:8" x14ac:dyDescent="0.25">
      <c r="A820" s="1">
        <v>972</v>
      </c>
      <c r="B820" s="1" t="s">
        <v>3910</v>
      </c>
      <c r="C820" s="1" t="s">
        <v>3911</v>
      </c>
      <c r="D820" s="1" t="s">
        <v>3912</v>
      </c>
      <c r="E820" s="1" t="s">
        <v>18</v>
      </c>
      <c r="F820" s="2" t="s">
        <v>4863</v>
      </c>
      <c r="G820" s="1" t="s">
        <v>13</v>
      </c>
      <c r="H820" s="6" t="e" vm="17">
        <v>#VALUE!</v>
      </c>
    </row>
    <row r="821" spans="1:8" x14ac:dyDescent="0.25">
      <c r="A821" s="1">
        <v>973</v>
      </c>
      <c r="B821" s="1" t="s">
        <v>3914</v>
      </c>
      <c r="C821" s="1" t="s">
        <v>3915</v>
      </c>
      <c r="D821" s="1" t="s">
        <v>3916</v>
      </c>
      <c r="E821" s="1" t="s">
        <v>18</v>
      </c>
      <c r="F821" s="2" t="s">
        <v>4864</v>
      </c>
      <c r="G821" s="1" t="s">
        <v>13</v>
      </c>
      <c r="H821" s="6" t="e" vm="7">
        <v>#VALUE!</v>
      </c>
    </row>
    <row r="822" spans="1:8" x14ac:dyDescent="0.25">
      <c r="A822" s="1">
        <v>974</v>
      </c>
      <c r="B822" s="1" t="s">
        <v>3918</v>
      </c>
      <c r="C822" s="1" t="s">
        <v>3919</v>
      </c>
      <c r="D822" s="1" t="s">
        <v>3920</v>
      </c>
      <c r="E822" s="1" t="s">
        <v>18</v>
      </c>
      <c r="F822" s="2" t="s">
        <v>4865</v>
      </c>
      <c r="G822" s="1" t="s">
        <v>13</v>
      </c>
      <c r="H822" s="6" t="e" vm="3">
        <v>#VALUE!</v>
      </c>
    </row>
    <row r="823" spans="1:8" x14ac:dyDescent="0.25">
      <c r="A823" s="1">
        <v>975</v>
      </c>
      <c r="B823" s="1" t="s">
        <v>3922</v>
      </c>
      <c r="C823" s="1" t="s">
        <v>3923</v>
      </c>
      <c r="D823" s="1" t="s">
        <v>3924</v>
      </c>
      <c r="E823" s="1" t="s">
        <v>11</v>
      </c>
      <c r="F823" s="2" t="s">
        <v>4866</v>
      </c>
      <c r="G823" s="1" t="s">
        <v>13</v>
      </c>
      <c r="H823" s="6" t="e" vm="8">
        <v>#VALUE!</v>
      </c>
    </row>
    <row r="824" spans="1:8" x14ac:dyDescent="0.25">
      <c r="A824" s="1">
        <v>976</v>
      </c>
      <c r="B824" s="1" t="s">
        <v>77</v>
      </c>
      <c r="C824" s="1" t="s">
        <v>3926</v>
      </c>
      <c r="D824" s="1" t="s">
        <v>3927</v>
      </c>
      <c r="E824" s="1" t="s">
        <v>11</v>
      </c>
      <c r="F824" s="2" t="s">
        <v>4867</v>
      </c>
      <c r="G824" s="1" t="s">
        <v>13</v>
      </c>
      <c r="H824" s="6" t="e" vm="64">
        <v>#VALUE!</v>
      </c>
    </row>
    <row r="825" spans="1:8" x14ac:dyDescent="0.25">
      <c r="A825" s="1">
        <v>977</v>
      </c>
      <c r="B825" s="1" t="s">
        <v>2882</v>
      </c>
      <c r="C825" s="1" t="s">
        <v>3929</v>
      </c>
      <c r="D825" s="1" t="s">
        <v>3930</v>
      </c>
      <c r="E825" s="1" t="s">
        <v>18</v>
      </c>
      <c r="F825" s="2" t="s">
        <v>4868</v>
      </c>
      <c r="G825" s="1" t="s">
        <v>13</v>
      </c>
      <c r="H825" s="6" t="e" vm="3">
        <v>#VALUE!</v>
      </c>
    </row>
    <row r="826" spans="1:8" x14ac:dyDescent="0.25">
      <c r="A826" s="1">
        <v>978</v>
      </c>
      <c r="B826" s="1" t="s">
        <v>3932</v>
      </c>
      <c r="C826" s="1" t="s">
        <v>3933</v>
      </c>
      <c r="D826" s="1" t="s">
        <v>3934</v>
      </c>
      <c r="E826" s="1" t="s">
        <v>4045</v>
      </c>
      <c r="F826" s="2" t="s">
        <v>4869</v>
      </c>
      <c r="G826" s="1" t="s">
        <v>13</v>
      </c>
      <c r="H826" s="6" t="e" vm="41">
        <v>#VALUE!</v>
      </c>
    </row>
    <row r="827" spans="1:8" x14ac:dyDescent="0.25">
      <c r="A827" s="1">
        <v>979</v>
      </c>
      <c r="B827" s="1" t="s">
        <v>3936</v>
      </c>
      <c r="C827" s="1" t="s">
        <v>3937</v>
      </c>
      <c r="D827" s="1" t="s">
        <v>3938</v>
      </c>
      <c r="E827" s="1" t="s">
        <v>18</v>
      </c>
      <c r="F827" s="2" t="s">
        <v>4870</v>
      </c>
      <c r="G827" s="1" t="s">
        <v>13</v>
      </c>
      <c r="H827" s="6" t="e" vm="7">
        <v>#VALUE!</v>
      </c>
    </row>
    <row r="828" spans="1:8" x14ac:dyDescent="0.25">
      <c r="A828" s="1">
        <v>980</v>
      </c>
      <c r="B828" s="1" t="s">
        <v>3940</v>
      </c>
      <c r="C828" s="1" t="s">
        <v>3941</v>
      </c>
      <c r="D828" s="1" t="s">
        <v>3942</v>
      </c>
      <c r="E828" s="1" t="s">
        <v>4045</v>
      </c>
      <c r="F828" s="2" t="s">
        <v>4871</v>
      </c>
      <c r="G828" s="1" t="s">
        <v>13</v>
      </c>
      <c r="H828" s="6" t="e" vm="24">
        <v>#VALUE!</v>
      </c>
    </row>
    <row r="829" spans="1:8" x14ac:dyDescent="0.25">
      <c r="A829" s="1">
        <v>981</v>
      </c>
      <c r="B829" s="1" t="s">
        <v>3944</v>
      </c>
      <c r="C829" s="1" t="s">
        <v>3945</v>
      </c>
      <c r="D829" s="1" t="s">
        <v>3946</v>
      </c>
      <c r="E829" s="1" t="s">
        <v>18</v>
      </c>
      <c r="F829" s="2" t="s">
        <v>4872</v>
      </c>
      <c r="G829" s="1" t="s">
        <v>13</v>
      </c>
      <c r="H829" s="6" t="e" vm="11">
        <v>#VALUE!</v>
      </c>
    </row>
    <row r="830" spans="1:8" x14ac:dyDescent="0.25">
      <c r="A830" s="1">
        <v>982</v>
      </c>
      <c r="B830" s="1" t="s">
        <v>3948</v>
      </c>
      <c r="C830" s="1" t="s">
        <v>3949</v>
      </c>
      <c r="D830" s="1" t="s">
        <v>3950</v>
      </c>
      <c r="E830" s="1" t="s">
        <v>11</v>
      </c>
      <c r="F830" s="2" t="s">
        <v>4873</v>
      </c>
      <c r="G830" s="1" t="s">
        <v>13</v>
      </c>
      <c r="H830" s="6" t="e" vm="18">
        <v>#VALUE!</v>
      </c>
    </row>
    <row r="831" spans="1:8" x14ac:dyDescent="0.25">
      <c r="A831" s="1">
        <v>984</v>
      </c>
      <c r="B831" s="1" t="s">
        <v>3956</v>
      </c>
      <c r="C831" s="1" t="s">
        <v>3957</v>
      </c>
      <c r="D831" s="1" t="s">
        <v>3958</v>
      </c>
      <c r="E831" s="1" t="s">
        <v>18</v>
      </c>
      <c r="F831" s="2" t="s">
        <v>4874</v>
      </c>
      <c r="G831" s="1" t="s">
        <v>13</v>
      </c>
      <c r="H831" s="6" t="e" vm="27">
        <v>#VALUE!</v>
      </c>
    </row>
    <row r="832" spans="1:8" x14ac:dyDescent="0.25">
      <c r="A832" s="1">
        <v>985</v>
      </c>
      <c r="B832" s="1" t="s">
        <v>3960</v>
      </c>
      <c r="C832" s="1" t="s">
        <v>3961</v>
      </c>
      <c r="D832" s="1" t="s">
        <v>3962</v>
      </c>
      <c r="E832" s="1" t="s">
        <v>18</v>
      </c>
      <c r="F832" s="2" t="s">
        <v>4875</v>
      </c>
      <c r="G832" s="1" t="s">
        <v>13</v>
      </c>
      <c r="H832" s="6" t="s">
        <v>4041</v>
      </c>
    </row>
    <row r="833" spans="1:8" x14ac:dyDescent="0.25">
      <c r="A833" s="1">
        <v>987</v>
      </c>
      <c r="B833" s="1" t="s">
        <v>3968</v>
      </c>
      <c r="C833" s="1" t="s">
        <v>3969</v>
      </c>
      <c r="D833" s="1" t="s">
        <v>3970</v>
      </c>
      <c r="E833" s="1" t="s">
        <v>18</v>
      </c>
      <c r="F833" s="2" t="s">
        <v>4876</v>
      </c>
      <c r="G833" s="1" t="s">
        <v>13</v>
      </c>
      <c r="H833" s="6" t="e" vm="7">
        <v>#VALUE!</v>
      </c>
    </row>
    <row r="834" spans="1:8" x14ac:dyDescent="0.25">
      <c r="A834" s="1">
        <v>988</v>
      </c>
      <c r="B834" s="1" t="s">
        <v>3972</v>
      </c>
      <c r="C834" s="1" t="s">
        <v>3973</v>
      </c>
      <c r="D834" s="1" t="s">
        <v>3974</v>
      </c>
      <c r="E834" s="1" t="s">
        <v>11</v>
      </c>
      <c r="F834" s="2" t="s">
        <v>4877</v>
      </c>
      <c r="G834" s="1" t="s">
        <v>13</v>
      </c>
      <c r="H834" s="6" t="e" vm="30">
        <v>#VALUE!</v>
      </c>
    </row>
    <row r="835" spans="1:8" x14ac:dyDescent="0.25">
      <c r="A835" s="1">
        <v>989</v>
      </c>
      <c r="B835" s="1" t="s">
        <v>3976</v>
      </c>
      <c r="C835" s="1" t="s">
        <v>3977</v>
      </c>
      <c r="D835" s="1" t="s">
        <v>3978</v>
      </c>
      <c r="E835" s="1" t="s">
        <v>18</v>
      </c>
      <c r="F835" s="2" t="s">
        <v>4878</v>
      </c>
      <c r="G835" s="1" t="s">
        <v>13</v>
      </c>
      <c r="H835" s="6" t="e" vm="22">
        <v>#VALUE!</v>
      </c>
    </row>
    <row r="836" spans="1:8" x14ac:dyDescent="0.25">
      <c r="A836" s="1">
        <v>990</v>
      </c>
      <c r="B836" s="1" t="s">
        <v>3980</v>
      </c>
      <c r="C836" s="1" t="s">
        <v>3981</v>
      </c>
      <c r="D836" s="1" t="s">
        <v>3982</v>
      </c>
      <c r="E836" s="1" t="s">
        <v>11</v>
      </c>
      <c r="F836" s="2" t="s">
        <v>4879</v>
      </c>
      <c r="G836" s="1" t="s">
        <v>13</v>
      </c>
      <c r="H836" s="6" t="e" vm="46">
        <v>#VALUE!</v>
      </c>
    </row>
    <row r="837" spans="1:8" x14ac:dyDescent="0.25">
      <c r="A837" s="1">
        <v>991</v>
      </c>
      <c r="B837" s="1" t="s">
        <v>3984</v>
      </c>
      <c r="C837" s="1" t="s">
        <v>3985</v>
      </c>
      <c r="D837" s="1" t="s">
        <v>3986</v>
      </c>
      <c r="E837" s="1" t="s">
        <v>11</v>
      </c>
      <c r="F837" s="2" t="s">
        <v>4880</v>
      </c>
      <c r="G837" s="1" t="s">
        <v>13</v>
      </c>
      <c r="H837" s="6" t="e" vm="72">
        <v>#VALUE!</v>
      </c>
    </row>
    <row r="838" spans="1:8" x14ac:dyDescent="0.25">
      <c r="A838" s="1">
        <v>992</v>
      </c>
      <c r="B838" s="1" t="s">
        <v>3988</v>
      </c>
      <c r="C838" s="1" t="s">
        <v>3989</v>
      </c>
      <c r="D838" s="1" t="s">
        <v>3990</v>
      </c>
      <c r="E838" s="1" t="s">
        <v>18</v>
      </c>
      <c r="F838" s="2" t="s">
        <v>4881</v>
      </c>
      <c r="G838" s="1" t="s">
        <v>13</v>
      </c>
      <c r="H838" s="6" t="e" vm="61">
        <v>#VALUE!</v>
      </c>
    </row>
    <row r="839" spans="1:8" x14ac:dyDescent="0.25">
      <c r="A839" s="1">
        <v>993</v>
      </c>
      <c r="B839" s="1" t="s">
        <v>3992</v>
      </c>
      <c r="C839" s="1" t="s">
        <v>3993</v>
      </c>
      <c r="D839" s="1" t="s">
        <v>3994</v>
      </c>
      <c r="E839" s="1" t="s">
        <v>18</v>
      </c>
      <c r="F839" s="2" t="s">
        <v>4882</v>
      </c>
      <c r="G839" s="1" t="s">
        <v>13</v>
      </c>
      <c r="H839" s="6" t="e" vm="43">
        <v>#VALUE!</v>
      </c>
    </row>
    <row r="840" spans="1:8" x14ac:dyDescent="0.25">
      <c r="A840" s="1">
        <v>994</v>
      </c>
      <c r="B840" s="1" t="s">
        <v>3996</v>
      </c>
      <c r="C840" s="1" t="s">
        <v>3997</v>
      </c>
      <c r="D840" s="1" t="s">
        <v>3998</v>
      </c>
      <c r="E840" s="1" t="s">
        <v>18</v>
      </c>
      <c r="F840" s="2" t="s">
        <v>4883</v>
      </c>
      <c r="G840" s="1" t="s">
        <v>13</v>
      </c>
      <c r="H840" s="6" t="e" vm="25">
        <v>#VALUE!</v>
      </c>
    </row>
    <row r="841" spans="1:8" x14ac:dyDescent="0.25">
      <c r="A841" s="1">
        <v>996</v>
      </c>
      <c r="B841" s="1" t="s">
        <v>4004</v>
      </c>
      <c r="C841" s="1" t="s">
        <v>4005</v>
      </c>
      <c r="D841" s="1" t="s">
        <v>4006</v>
      </c>
      <c r="E841" s="1" t="s">
        <v>18</v>
      </c>
      <c r="F841" s="2" t="s">
        <v>4884</v>
      </c>
      <c r="G841" s="1" t="s">
        <v>13</v>
      </c>
      <c r="H841" s="6" t="e" vm="75">
        <v>#VALUE!</v>
      </c>
    </row>
    <row r="842" spans="1:8" x14ac:dyDescent="0.25">
      <c r="A842" s="1">
        <v>997</v>
      </c>
      <c r="B842" s="1" t="s">
        <v>4008</v>
      </c>
      <c r="C842" s="1" t="s">
        <v>4009</v>
      </c>
      <c r="D842" s="1" t="s">
        <v>4010</v>
      </c>
      <c r="E842" s="1" t="s">
        <v>11</v>
      </c>
      <c r="F842" s="2" t="s">
        <v>4885</v>
      </c>
      <c r="G842" s="1" t="s">
        <v>13</v>
      </c>
      <c r="H842" s="6" t="s">
        <v>4038</v>
      </c>
    </row>
    <row r="843" spans="1:8" x14ac:dyDescent="0.25">
      <c r="A843" s="1">
        <v>998</v>
      </c>
      <c r="B843" s="1" t="s">
        <v>4012</v>
      </c>
      <c r="C843" s="1" t="s">
        <v>4013</v>
      </c>
      <c r="D843" s="1" t="s">
        <v>4014</v>
      </c>
      <c r="E843" s="1" t="s">
        <v>11</v>
      </c>
      <c r="F843" s="2" t="s">
        <v>4886</v>
      </c>
      <c r="G843" s="1" t="s">
        <v>13</v>
      </c>
      <c r="H843" s="6" t="e" vm="24">
        <v>#VALUE!</v>
      </c>
    </row>
    <row r="844" spans="1:8" x14ac:dyDescent="0.25">
      <c r="A844" s="1">
        <v>1000</v>
      </c>
      <c r="B844" s="1" t="s">
        <v>4020</v>
      </c>
      <c r="C844" s="1" t="s">
        <v>4021</v>
      </c>
      <c r="D844" s="1" t="s">
        <v>4022</v>
      </c>
      <c r="E844" s="1" t="s">
        <v>11</v>
      </c>
      <c r="F844" s="2" t="s">
        <v>4887</v>
      </c>
      <c r="G844" s="1" t="s">
        <v>13</v>
      </c>
      <c r="H844" s="6" t="e" vm="80">
        <v>#VALUE!</v>
      </c>
    </row>
  </sheetData>
  <autoFilter ref="A1:H1" xr:uid="{6B636451-82AD-42A2-9135-3DAD916D84B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Cleaning Process</vt:lpstr>
      <vt:lpstr>Final 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Abrar Zarif</dc:creator>
  <cp:lastModifiedBy>Abrar Zarif</cp:lastModifiedBy>
  <dcterms:created xsi:type="dcterms:W3CDTF">2026-07-06T17:54:24Z</dcterms:created>
  <dcterms:modified xsi:type="dcterms:W3CDTF">2026-07-06T17:54:24Z</dcterms:modified>
</cp:coreProperties>
</file>